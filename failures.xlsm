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 defaultThemeVersion="124226"/>
  <bookViews>
    <workbookView xWindow="480" yWindow="435" windowWidth="27795" windowHeight="11715"/>
  </bookViews>
  <sheets>
    <sheet name="FAILURES" sheetId="1" r:id="rId1"/>
    <sheet name="ORDERS" sheetId="3" r:id="rId2"/>
    <sheet name="PRODUCTION" sheetId="8" r:id="rId3"/>
  </sheets>
  <calcPr calcId="145621"/>
</workbook>
</file>

<file path=xl/calcChain.xml><?xml version="1.0" encoding="utf-8"?>
<calcChain xmlns="http://schemas.openxmlformats.org/spreadsheetml/2006/main">
  <c r="B4" i="8" l="1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8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Z679" i="1" l="1"/>
  <c r="AA679" i="1"/>
  <c r="AB679" i="1"/>
  <c r="AC679" i="1"/>
  <c r="AD679" i="1"/>
  <c r="AE679" i="1"/>
  <c r="AF679" i="1"/>
  <c r="AG679" i="1"/>
  <c r="AH679" i="1"/>
  <c r="AI679" i="1"/>
  <c r="AJ679" i="1"/>
  <c r="AK679" i="1"/>
  <c r="AL679" i="1"/>
  <c r="AM679" i="1"/>
  <c r="AN679" i="1"/>
  <c r="AO679" i="1"/>
  <c r="AP679" i="1"/>
  <c r="AQ679" i="1"/>
  <c r="AR679" i="1"/>
  <c r="Z678" i="1"/>
  <c r="AA678" i="1"/>
  <c r="AB678" i="1"/>
  <c r="AC678" i="1"/>
  <c r="AD678" i="1"/>
  <c r="AE678" i="1"/>
  <c r="AF678" i="1"/>
  <c r="AG678" i="1"/>
  <c r="AH678" i="1"/>
  <c r="AI678" i="1"/>
  <c r="AJ678" i="1"/>
  <c r="AK678" i="1"/>
  <c r="AL678" i="1"/>
  <c r="AM678" i="1"/>
  <c r="AN678" i="1"/>
  <c r="AO678" i="1"/>
  <c r="AP678" i="1"/>
  <c r="AQ678" i="1"/>
  <c r="AR678" i="1"/>
  <c r="Z677" i="1"/>
  <c r="AA677" i="1"/>
  <c r="AB677" i="1"/>
  <c r="AC677" i="1"/>
  <c r="AD677" i="1"/>
  <c r="AE677" i="1"/>
  <c r="AF677" i="1"/>
  <c r="AG677" i="1"/>
  <c r="AH677" i="1"/>
  <c r="AI677" i="1"/>
  <c r="AJ677" i="1"/>
  <c r="AK677" i="1"/>
  <c r="AL677" i="1"/>
  <c r="AM677" i="1"/>
  <c r="AN677" i="1"/>
  <c r="AO677" i="1"/>
  <c r="AP677" i="1"/>
  <c r="AQ677" i="1"/>
  <c r="AR677" i="1"/>
  <c r="AS679" i="1" l="1"/>
  <c r="AS678" i="1"/>
  <c r="AS677" i="1"/>
  <c r="Z676" i="1" l="1"/>
  <c r="AA676" i="1"/>
  <c r="AB676" i="1"/>
  <c r="AC676" i="1"/>
  <c r="AD676" i="1"/>
  <c r="AE676" i="1"/>
  <c r="AF676" i="1"/>
  <c r="AG676" i="1"/>
  <c r="AH676" i="1"/>
  <c r="AI676" i="1"/>
  <c r="AJ676" i="1"/>
  <c r="AK676" i="1"/>
  <c r="AL676" i="1"/>
  <c r="AM676" i="1"/>
  <c r="AN676" i="1"/>
  <c r="AO676" i="1"/>
  <c r="AP676" i="1"/>
  <c r="AQ676" i="1"/>
  <c r="AR676" i="1"/>
  <c r="Z675" i="1"/>
  <c r="AA675" i="1"/>
  <c r="AB675" i="1"/>
  <c r="AC675" i="1"/>
  <c r="AD675" i="1"/>
  <c r="AE675" i="1"/>
  <c r="AF675" i="1"/>
  <c r="AG675" i="1"/>
  <c r="AH675" i="1"/>
  <c r="AI675" i="1"/>
  <c r="AJ675" i="1"/>
  <c r="AK675" i="1"/>
  <c r="AL675" i="1"/>
  <c r="AM675" i="1"/>
  <c r="AN675" i="1"/>
  <c r="AO675" i="1"/>
  <c r="AP675" i="1"/>
  <c r="AQ675" i="1"/>
  <c r="AR675" i="1"/>
  <c r="Z674" i="1"/>
  <c r="AA674" i="1"/>
  <c r="AB674" i="1"/>
  <c r="AC674" i="1"/>
  <c r="AD674" i="1"/>
  <c r="AE674" i="1"/>
  <c r="AF674" i="1"/>
  <c r="AG674" i="1"/>
  <c r="AH674" i="1"/>
  <c r="AI674" i="1"/>
  <c r="AJ674" i="1"/>
  <c r="AK674" i="1"/>
  <c r="AL674" i="1"/>
  <c r="AM674" i="1"/>
  <c r="AN674" i="1"/>
  <c r="AO674" i="1"/>
  <c r="AP674" i="1"/>
  <c r="AQ674" i="1"/>
  <c r="AR674" i="1"/>
  <c r="Z673" i="1"/>
  <c r="AA673" i="1"/>
  <c r="AB673" i="1"/>
  <c r="AC673" i="1"/>
  <c r="AD673" i="1"/>
  <c r="AE673" i="1"/>
  <c r="AF673" i="1"/>
  <c r="AG673" i="1"/>
  <c r="AH673" i="1"/>
  <c r="AI673" i="1"/>
  <c r="AJ673" i="1"/>
  <c r="AK673" i="1"/>
  <c r="AL673" i="1"/>
  <c r="AM673" i="1"/>
  <c r="AN673" i="1"/>
  <c r="AO673" i="1"/>
  <c r="AP673" i="1"/>
  <c r="AQ673" i="1"/>
  <c r="AR673" i="1"/>
  <c r="Z672" i="1"/>
  <c r="AA672" i="1"/>
  <c r="AB672" i="1"/>
  <c r="AC672" i="1"/>
  <c r="AD672" i="1"/>
  <c r="AE672" i="1"/>
  <c r="AF672" i="1"/>
  <c r="AG672" i="1"/>
  <c r="AH672" i="1"/>
  <c r="AI672" i="1"/>
  <c r="AJ672" i="1"/>
  <c r="AK672" i="1"/>
  <c r="AL672" i="1"/>
  <c r="AM672" i="1"/>
  <c r="AN672" i="1"/>
  <c r="AO672" i="1"/>
  <c r="AP672" i="1"/>
  <c r="AQ672" i="1"/>
  <c r="AR672" i="1"/>
  <c r="Z671" i="1"/>
  <c r="AA671" i="1"/>
  <c r="AB671" i="1"/>
  <c r="AC671" i="1"/>
  <c r="AD671" i="1"/>
  <c r="AE671" i="1"/>
  <c r="AF671" i="1"/>
  <c r="AG671" i="1"/>
  <c r="AH671" i="1"/>
  <c r="AI671" i="1"/>
  <c r="AJ671" i="1"/>
  <c r="AK671" i="1"/>
  <c r="AL671" i="1"/>
  <c r="AM671" i="1"/>
  <c r="AN671" i="1"/>
  <c r="AO671" i="1"/>
  <c r="AP671" i="1"/>
  <c r="AQ671" i="1"/>
  <c r="AR671" i="1"/>
  <c r="Z670" i="1"/>
  <c r="AA670" i="1"/>
  <c r="AB670" i="1"/>
  <c r="AC670" i="1"/>
  <c r="AD670" i="1"/>
  <c r="AE670" i="1"/>
  <c r="AF670" i="1"/>
  <c r="AG670" i="1"/>
  <c r="AH670" i="1"/>
  <c r="AI670" i="1"/>
  <c r="AJ670" i="1"/>
  <c r="AK670" i="1"/>
  <c r="AL670" i="1"/>
  <c r="AM670" i="1"/>
  <c r="AN670" i="1"/>
  <c r="AO670" i="1"/>
  <c r="AP670" i="1"/>
  <c r="AQ670" i="1"/>
  <c r="AR670" i="1"/>
  <c r="Z669" i="1"/>
  <c r="AA669" i="1"/>
  <c r="AB669" i="1"/>
  <c r="AC669" i="1"/>
  <c r="AD669" i="1"/>
  <c r="AE669" i="1"/>
  <c r="AF669" i="1"/>
  <c r="AG669" i="1"/>
  <c r="AH669" i="1"/>
  <c r="AI669" i="1"/>
  <c r="AJ669" i="1"/>
  <c r="AK669" i="1"/>
  <c r="AL669" i="1"/>
  <c r="AM669" i="1"/>
  <c r="AN669" i="1"/>
  <c r="AO669" i="1"/>
  <c r="AP669" i="1"/>
  <c r="AQ669" i="1"/>
  <c r="AR669" i="1"/>
  <c r="Z668" i="1"/>
  <c r="AA668" i="1"/>
  <c r="AB668" i="1"/>
  <c r="AC668" i="1"/>
  <c r="AD668" i="1"/>
  <c r="AE668" i="1"/>
  <c r="AF668" i="1"/>
  <c r="AG668" i="1"/>
  <c r="AH668" i="1"/>
  <c r="AI668" i="1"/>
  <c r="AJ668" i="1"/>
  <c r="AK668" i="1"/>
  <c r="AL668" i="1"/>
  <c r="AM668" i="1"/>
  <c r="AN668" i="1"/>
  <c r="AO668" i="1"/>
  <c r="AP668" i="1"/>
  <c r="AQ668" i="1"/>
  <c r="AR668" i="1"/>
  <c r="Z667" i="1"/>
  <c r="AA667" i="1"/>
  <c r="AB667" i="1"/>
  <c r="AC667" i="1"/>
  <c r="AD667" i="1"/>
  <c r="AE667" i="1"/>
  <c r="AF667" i="1"/>
  <c r="AG667" i="1"/>
  <c r="AH667" i="1"/>
  <c r="AI667" i="1"/>
  <c r="AJ667" i="1"/>
  <c r="AK667" i="1"/>
  <c r="AL667" i="1"/>
  <c r="AM667" i="1"/>
  <c r="AN667" i="1"/>
  <c r="AO667" i="1"/>
  <c r="AP667" i="1"/>
  <c r="AQ667" i="1"/>
  <c r="AR667" i="1"/>
  <c r="Z666" i="1"/>
  <c r="AA666" i="1"/>
  <c r="AB666" i="1"/>
  <c r="AC666" i="1"/>
  <c r="AD666" i="1"/>
  <c r="AE666" i="1"/>
  <c r="AF666" i="1"/>
  <c r="AG666" i="1"/>
  <c r="AH666" i="1"/>
  <c r="AI666" i="1"/>
  <c r="AJ666" i="1"/>
  <c r="AK666" i="1"/>
  <c r="AL666" i="1"/>
  <c r="AM666" i="1"/>
  <c r="AN666" i="1"/>
  <c r="AO666" i="1"/>
  <c r="AP666" i="1"/>
  <c r="AQ666" i="1"/>
  <c r="AR666" i="1"/>
  <c r="Z665" i="1"/>
  <c r="AA665" i="1"/>
  <c r="AB665" i="1"/>
  <c r="AC665" i="1"/>
  <c r="AD665" i="1"/>
  <c r="AE665" i="1"/>
  <c r="AF665" i="1"/>
  <c r="AG665" i="1"/>
  <c r="AH665" i="1"/>
  <c r="AI665" i="1"/>
  <c r="AJ665" i="1"/>
  <c r="AK665" i="1"/>
  <c r="AL665" i="1"/>
  <c r="AM665" i="1"/>
  <c r="AN665" i="1"/>
  <c r="AO665" i="1"/>
  <c r="AP665" i="1"/>
  <c r="AQ665" i="1"/>
  <c r="AR665" i="1"/>
  <c r="Z664" i="1"/>
  <c r="AA664" i="1"/>
  <c r="AB664" i="1"/>
  <c r="AC664" i="1"/>
  <c r="AD664" i="1"/>
  <c r="AE664" i="1"/>
  <c r="AF664" i="1"/>
  <c r="AG664" i="1"/>
  <c r="AH664" i="1"/>
  <c r="AI664" i="1"/>
  <c r="AJ664" i="1"/>
  <c r="AK664" i="1"/>
  <c r="AL664" i="1"/>
  <c r="AM664" i="1"/>
  <c r="AN664" i="1"/>
  <c r="AO664" i="1"/>
  <c r="AP664" i="1"/>
  <c r="AQ664" i="1"/>
  <c r="AR664" i="1"/>
  <c r="Z663" i="1"/>
  <c r="AA663" i="1"/>
  <c r="AB663" i="1"/>
  <c r="AC663" i="1"/>
  <c r="AD663" i="1"/>
  <c r="AE663" i="1"/>
  <c r="AF663" i="1"/>
  <c r="AG663" i="1"/>
  <c r="AH663" i="1"/>
  <c r="AI663" i="1"/>
  <c r="AJ663" i="1"/>
  <c r="AK663" i="1"/>
  <c r="AL663" i="1"/>
  <c r="AM663" i="1"/>
  <c r="AN663" i="1"/>
  <c r="AO663" i="1"/>
  <c r="AP663" i="1"/>
  <c r="AQ663" i="1"/>
  <c r="AR663" i="1"/>
  <c r="Z662" i="1"/>
  <c r="AA662" i="1"/>
  <c r="AB662" i="1"/>
  <c r="AC662" i="1"/>
  <c r="AD662" i="1"/>
  <c r="AE662" i="1"/>
  <c r="AF662" i="1"/>
  <c r="AG662" i="1"/>
  <c r="AH662" i="1"/>
  <c r="AI662" i="1"/>
  <c r="AJ662" i="1"/>
  <c r="AK662" i="1"/>
  <c r="AL662" i="1"/>
  <c r="AM662" i="1"/>
  <c r="AN662" i="1"/>
  <c r="AO662" i="1"/>
  <c r="AP662" i="1"/>
  <c r="AQ662" i="1"/>
  <c r="AR662" i="1"/>
  <c r="Z661" i="1"/>
  <c r="AA661" i="1"/>
  <c r="AB661" i="1"/>
  <c r="AC661" i="1"/>
  <c r="AD661" i="1"/>
  <c r="AE661" i="1"/>
  <c r="AF661" i="1"/>
  <c r="AG661" i="1"/>
  <c r="AH661" i="1"/>
  <c r="AI661" i="1"/>
  <c r="AJ661" i="1"/>
  <c r="AK661" i="1"/>
  <c r="AL661" i="1"/>
  <c r="AM661" i="1"/>
  <c r="AN661" i="1"/>
  <c r="AO661" i="1"/>
  <c r="AP661" i="1"/>
  <c r="AQ661" i="1"/>
  <c r="AR661" i="1"/>
  <c r="Z660" i="1"/>
  <c r="AA660" i="1"/>
  <c r="AB660" i="1"/>
  <c r="AC660" i="1"/>
  <c r="AD660" i="1"/>
  <c r="AE660" i="1"/>
  <c r="AF660" i="1"/>
  <c r="AG660" i="1"/>
  <c r="AH660" i="1"/>
  <c r="AI660" i="1"/>
  <c r="AJ660" i="1"/>
  <c r="AK660" i="1"/>
  <c r="AL660" i="1"/>
  <c r="AM660" i="1"/>
  <c r="AN660" i="1"/>
  <c r="AO660" i="1"/>
  <c r="AP660" i="1"/>
  <c r="AQ660" i="1"/>
  <c r="AR660" i="1"/>
  <c r="Z659" i="1"/>
  <c r="AA659" i="1"/>
  <c r="AB659" i="1"/>
  <c r="AC659" i="1"/>
  <c r="AD659" i="1"/>
  <c r="AE659" i="1"/>
  <c r="AF659" i="1"/>
  <c r="AG659" i="1"/>
  <c r="AH659" i="1"/>
  <c r="AI659" i="1"/>
  <c r="AJ659" i="1"/>
  <c r="AK659" i="1"/>
  <c r="AL659" i="1"/>
  <c r="AM659" i="1"/>
  <c r="AN659" i="1"/>
  <c r="AO659" i="1"/>
  <c r="AP659" i="1"/>
  <c r="AQ659" i="1"/>
  <c r="AR659" i="1"/>
  <c r="Z658" i="1"/>
  <c r="AA658" i="1"/>
  <c r="AB658" i="1"/>
  <c r="AC658" i="1"/>
  <c r="AD658" i="1"/>
  <c r="AE658" i="1"/>
  <c r="AF658" i="1"/>
  <c r="AG658" i="1"/>
  <c r="AH658" i="1"/>
  <c r="AI658" i="1"/>
  <c r="AJ658" i="1"/>
  <c r="AK658" i="1"/>
  <c r="AL658" i="1"/>
  <c r="AM658" i="1"/>
  <c r="AN658" i="1"/>
  <c r="AO658" i="1"/>
  <c r="AP658" i="1"/>
  <c r="AQ658" i="1"/>
  <c r="AR658" i="1"/>
  <c r="AS676" i="1" l="1"/>
  <c r="AS675" i="1"/>
  <c r="AS674" i="1"/>
  <c r="AS673" i="1"/>
  <c r="AS672" i="1"/>
  <c r="AS671" i="1"/>
  <c r="AS661" i="1"/>
  <c r="AS670" i="1"/>
  <c r="AS669" i="1"/>
  <c r="AS668" i="1"/>
  <c r="AS667" i="1"/>
  <c r="AS666" i="1"/>
  <c r="AS665" i="1"/>
  <c r="AS664" i="1"/>
  <c r="AS663" i="1"/>
  <c r="AS662" i="1"/>
  <c r="AS660" i="1"/>
  <c r="AS659" i="1"/>
  <c r="AS658" i="1"/>
  <c r="Z657" i="1"/>
  <c r="AA657" i="1"/>
  <c r="AB657" i="1"/>
  <c r="AC657" i="1"/>
  <c r="AD657" i="1"/>
  <c r="AE657" i="1"/>
  <c r="AF657" i="1"/>
  <c r="AG657" i="1"/>
  <c r="AH657" i="1"/>
  <c r="AI657" i="1"/>
  <c r="AJ657" i="1"/>
  <c r="AK657" i="1"/>
  <c r="AL657" i="1"/>
  <c r="AM657" i="1"/>
  <c r="AN657" i="1"/>
  <c r="AO657" i="1"/>
  <c r="AP657" i="1"/>
  <c r="AQ657" i="1"/>
  <c r="AR657" i="1"/>
  <c r="Z656" i="1"/>
  <c r="AA656" i="1"/>
  <c r="AB656" i="1"/>
  <c r="AC656" i="1"/>
  <c r="AD656" i="1"/>
  <c r="AE656" i="1"/>
  <c r="AF656" i="1"/>
  <c r="AG656" i="1"/>
  <c r="AH656" i="1"/>
  <c r="AI656" i="1"/>
  <c r="AJ656" i="1"/>
  <c r="AK656" i="1"/>
  <c r="AL656" i="1"/>
  <c r="AM656" i="1"/>
  <c r="AN656" i="1"/>
  <c r="AO656" i="1"/>
  <c r="AP656" i="1"/>
  <c r="AQ656" i="1"/>
  <c r="AR656" i="1"/>
  <c r="Z655" i="1"/>
  <c r="AA655" i="1"/>
  <c r="AB655" i="1"/>
  <c r="AC655" i="1"/>
  <c r="AD655" i="1"/>
  <c r="AE655" i="1"/>
  <c r="AF655" i="1"/>
  <c r="AG655" i="1"/>
  <c r="AH655" i="1"/>
  <c r="AI655" i="1"/>
  <c r="AJ655" i="1"/>
  <c r="AK655" i="1"/>
  <c r="AL655" i="1"/>
  <c r="AM655" i="1"/>
  <c r="AN655" i="1"/>
  <c r="AO655" i="1"/>
  <c r="AP655" i="1"/>
  <c r="AQ655" i="1"/>
  <c r="AR655" i="1"/>
  <c r="Z654" i="1"/>
  <c r="AA654" i="1"/>
  <c r="AB654" i="1"/>
  <c r="AC654" i="1"/>
  <c r="AD654" i="1"/>
  <c r="AE654" i="1"/>
  <c r="AF654" i="1"/>
  <c r="AG654" i="1"/>
  <c r="AH654" i="1"/>
  <c r="AI654" i="1"/>
  <c r="AJ654" i="1"/>
  <c r="AK654" i="1"/>
  <c r="AL654" i="1"/>
  <c r="AM654" i="1"/>
  <c r="AN654" i="1"/>
  <c r="AO654" i="1"/>
  <c r="AP654" i="1"/>
  <c r="AQ654" i="1"/>
  <c r="AR654" i="1"/>
  <c r="Z653" i="1"/>
  <c r="AA653" i="1"/>
  <c r="AB653" i="1"/>
  <c r="AC653" i="1"/>
  <c r="AD653" i="1"/>
  <c r="AE653" i="1"/>
  <c r="AF653" i="1"/>
  <c r="AG653" i="1"/>
  <c r="AH653" i="1"/>
  <c r="AI653" i="1"/>
  <c r="AJ653" i="1"/>
  <c r="AK653" i="1"/>
  <c r="AL653" i="1"/>
  <c r="AM653" i="1"/>
  <c r="AN653" i="1"/>
  <c r="AO653" i="1"/>
  <c r="AP653" i="1"/>
  <c r="AQ653" i="1"/>
  <c r="AR653" i="1"/>
  <c r="Z652" i="1"/>
  <c r="AA652" i="1"/>
  <c r="AB652" i="1"/>
  <c r="AC652" i="1"/>
  <c r="AD652" i="1"/>
  <c r="AE652" i="1"/>
  <c r="AF652" i="1"/>
  <c r="AG652" i="1"/>
  <c r="AH652" i="1"/>
  <c r="AI652" i="1"/>
  <c r="AJ652" i="1"/>
  <c r="AK652" i="1"/>
  <c r="AL652" i="1"/>
  <c r="AM652" i="1"/>
  <c r="AN652" i="1"/>
  <c r="AO652" i="1"/>
  <c r="AP652" i="1"/>
  <c r="AQ652" i="1"/>
  <c r="AR652" i="1"/>
  <c r="Z651" i="1"/>
  <c r="AA651" i="1"/>
  <c r="AB651" i="1"/>
  <c r="AC651" i="1"/>
  <c r="AD651" i="1"/>
  <c r="AE651" i="1"/>
  <c r="AF651" i="1"/>
  <c r="AG651" i="1"/>
  <c r="AH651" i="1"/>
  <c r="AI651" i="1"/>
  <c r="AJ651" i="1"/>
  <c r="AK651" i="1"/>
  <c r="AL651" i="1"/>
  <c r="AM651" i="1"/>
  <c r="AN651" i="1"/>
  <c r="AO651" i="1"/>
  <c r="AP651" i="1"/>
  <c r="AQ651" i="1"/>
  <c r="AR651" i="1"/>
  <c r="Z650" i="1"/>
  <c r="AA650" i="1"/>
  <c r="AB650" i="1"/>
  <c r="AC650" i="1"/>
  <c r="AD650" i="1"/>
  <c r="AE650" i="1"/>
  <c r="AF650" i="1"/>
  <c r="AG650" i="1"/>
  <c r="AH650" i="1"/>
  <c r="AI650" i="1"/>
  <c r="AJ650" i="1"/>
  <c r="AK650" i="1"/>
  <c r="AL650" i="1"/>
  <c r="AM650" i="1"/>
  <c r="AN650" i="1"/>
  <c r="AO650" i="1"/>
  <c r="AP650" i="1"/>
  <c r="AQ650" i="1"/>
  <c r="AR650" i="1"/>
  <c r="Z649" i="1"/>
  <c r="AA649" i="1"/>
  <c r="AB649" i="1"/>
  <c r="AC649" i="1"/>
  <c r="AD649" i="1"/>
  <c r="AE649" i="1"/>
  <c r="AF649" i="1"/>
  <c r="AG649" i="1"/>
  <c r="AH649" i="1"/>
  <c r="AI649" i="1"/>
  <c r="AJ649" i="1"/>
  <c r="AK649" i="1"/>
  <c r="AL649" i="1"/>
  <c r="AM649" i="1"/>
  <c r="AN649" i="1"/>
  <c r="AO649" i="1"/>
  <c r="AP649" i="1"/>
  <c r="AQ649" i="1"/>
  <c r="AR649" i="1"/>
  <c r="Z648" i="1"/>
  <c r="AA648" i="1"/>
  <c r="AB648" i="1"/>
  <c r="AC648" i="1"/>
  <c r="AD648" i="1"/>
  <c r="AE648" i="1"/>
  <c r="AF648" i="1"/>
  <c r="AG648" i="1"/>
  <c r="AH648" i="1"/>
  <c r="AI648" i="1"/>
  <c r="AJ648" i="1"/>
  <c r="AK648" i="1"/>
  <c r="AL648" i="1"/>
  <c r="AM648" i="1"/>
  <c r="AN648" i="1"/>
  <c r="AO648" i="1"/>
  <c r="AP648" i="1"/>
  <c r="AQ648" i="1"/>
  <c r="AR648" i="1"/>
  <c r="Z647" i="1"/>
  <c r="AA647" i="1"/>
  <c r="AB647" i="1"/>
  <c r="AC647" i="1"/>
  <c r="AD647" i="1"/>
  <c r="AE647" i="1"/>
  <c r="AF647" i="1"/>
  <c r="AG647" i="1"/>
  <c r="AH647" i="1"/>
  <c r="AI647" i="1"/>
  <c r="AJ647" i="1"/>
  <c r="AK647" i="1"/>
  <c r="AL647" i="1"/>
  <c r="AM647" i="1"/>
  <c r="AN647" i="1"/>
  <c r="AO647" i="1"/>
  <c r="AP647" i="1"/>
  <c r="AQ647" i="1"/>
  <c r="AR647" i="1"/>
  <c r="Z646" i="1"/>
  <c r="AA646" i="1"/>
  <c r="AB646" i="1"/>
  <c r="AC646" i="1"/>
  <c r="AD646" i="1"/>
  <c r="AE646" i="1"/>
  <c r="AF646" i="1"/>
  <c r="AG646" i="1"/>
  <c r="AH646" i="1"/>
  <c r="AI646" i="1"/>
  <c r="AJ646" i="1"/>
  <c r="AK646" i="1"/>
  <c r="AL646" i="1"/>
  <c r="AM646" i="1"/>
  <c r="AN646" i="1"/>
  <c r="AO646" i="1"/>
  <c r="AP646" i="1"/>
  <c r="AQ646" i="1"/>
  <c r="AR646" i="1"/>
  <c r="Z645" i="1"/>
  <c r="AA645" i="1"/>
  <c r="AB645" i="1"/>
  <c r="AC645" i="1"/>
  <c r="AD645" i="1"/>
  <c r="AE645" i="1"/>
  <c r="AF645" i="1"/>
  <c r="AG645" i="1"/>
  <c r="AH645" i="1"/>
  <c r="AI645" i="1"/>
  <c r="AJ645" i="1"/>
  <c r="AK645" i="1"/>
  <c r="AL645" i="1"/>
  <c r="AM645" i="1"/>
  <c r="AN645" i="1"/>
  <c r="AO645" i="1"/>
  <c r="AP645" i="1"/>
  <c r="AQ645" i="1"/>
  <c r="AR645" i="1"/>
  <c r="Z644" i="1"/>
  <c r="AA644" i="1"/>
  <c r="AB644" i="1"/>
  <c r="AC644" i="1"/>
  <c r="AD644" i="1"/>
  <c r="AE644" i="1"/>
  <c r="AF644" i="1"/>
  <c r="AG644" i="1"/>
  <c r="AH644" i="1"/>
  <c r="AI644" i="1"/>
  <c r="AJ644" i="1"/>
  <c r="AK644" i="1"/>
  <c r="AL644" i="1"/>
  <c r="AM644" i="1"/>
  <c r="AN644" i="1"/>
  <c r="AO644" i="1"/>
  <c r="AP644" i="1"/>
  <c r="AQ644" i="1"/>
  <c r="AR644" i="1"/>
  <c r="Z643" i="1"/>
  <c r="AA643" i="1"/>
  <c r="AB643" i="1"/>
  <c r="AC643" i="1"/>
  <c r="AD643" i="1"/>
  <c r="AE643" i="1"/>
  <c r="AF643" i="1"/>
  <c r="AG643" i="1"/>
  <c r="AH643" i="1"/>
  <c r="AI643" i="1"/>
  <c r="AJ643" i="1"/>
  <c r="AK643" i="1"/>
  <c r="AL643" i="1"/>
  <c r="AM643" i="1"/>
  <c r="AN643" i="1"/>
  <c r="AO643" i="1"/>
  <c r="AP643" i="1"/>
  <c r="AQ643" i="1"/>
  <c r="AR643" i="1"/>
  <c r="Z642" i="1"/>
  <c r="AA642" i="1"/>
  <c r="AB642" i="1"/>
  <c r="AC642" i="1"/>
  <c r="AD642" i="1"/>
  <c r="AE642" i="1"/>
  <c r="AF642" i="1"/>
  <c r="AG642" i="1"/>
  <c r="AH642" i="1"/>
  <c r="AI642" i="1"/>
  <c r="AJ642" i="1"/>
  <c r="AK642" i="1"/>
  <c r="AL642" i="1"/>
  <c r="AM642" i="1"/>
  <c r="AN642" i="1"/>
  <c r="AO642" i="1"/>
  <c r="AP642" i="1"/>
  <c r="AQ642" i="1"/>
  <c r="AR642" i="1"/>
  <c r="AS657" i="1" l="1"/>
  <c r="AS656" i="1"/>
  <c r="AS655" i="1"/>
  <c r="AS654" i="1"/>
  <c r="AS653" i="1"/>
  <c r="AS652" i="1"/>
  <c r="AS651" i="1"/>
  <c r="AS650" i="1"/>
  <c r="AS649" i="1"/>
  <c r="AS648" i="1"/>
  <c r="AS647" i="1"/>
  <c r="AS646" i="1"/>
  <c r="AS645" i="1"/>
  <c r="AS644" i="1"/>
  <c r="AS643" i="1"/>
  <c r="AS642" i="1"/>
  <c r="Z641" i="1"/>
  <c r="AA641" i="1"/>
  <c r="AB641" i="1"/>
  <c r="AC641" i="1"/>
  <c r="AD641" i="1"/>
  <c r="AE641" i="1"/>
  <c r="AF641" i="1"/>
  <c r="AG641" i="1"/>
  <c r="AH641" i="1"/>
  <c r="AI641" i="1"/>
  <c r="AJ641" i="1"/>
  <c r="AK641" i="1"/>
  <c r="AL641" i="1"/>
  <c r="AM641" i="1"/>
  <c r="AN641" i="1"/>
  <c r="AO641" i="1"/>
  <c r="AP641" i="1"/>
  <c r="AQ641" i="1"/>
  <c r="AR641" i="1"/>
  <c r="Z640" i="1"/>
  <c r="AA640" i="1"/>
  <c r="AB640" i="1"/>
  <c r="AC640" i="1"/>
  <c r="AD640" i="1"/>
  <c r="AE640" i="1"/>
  <c r="AF640" i="1"/>
  <c r="AG640" i="1"/>
  <c r="AH640" i="1"/>
  <c r="AI640" i="1"/>
  <c r="AJ640" i="1"/>
  <c r="AK640" i="1"/>
  <c r="AL640" i="1"/>
  <c r="AM640" i="1"/>
  <c r="AN640" i="1"/>
  <c r="AO640" i="1"/>
  <c r="AP640" i="1"/>
  <c r="AQ640" i="1"/>
  <c r="AR640" i="1"/>
  <c r="Z639" i="1"/>
  <c r="AA639" i="1"/>
  <c r="AB639" i="1"/>
  <c r="AC639" i="1"/>
  <c r="AD639" i="1"/>
  <c r="AE639" i="1"/>
  <c r="AF639" i="1"/>
  <c r="AG639" i="1"/>
  <c r="AH639" i="1"/>
  <c r="AI639" i="1"/>
  <c r="AJ639" i="1"/>
  <c r="AK639" i="1"/>
  <c r="AL639" i="1"/>
  <c r="AM639" i="1"/>
  <c r="AN639" i="1"/>
  <c r="AO639" i="1"/>
  <c r="AP639" i="1"/>
  <c r="AQ639" i="1"/>
  <c r="AR639" i="1"/>
  <c r="Z638" i="1"/>
  <c r="AA638" i="1"/>
  <c r="AB638" i="1"/>
  <c r="AC638" i="1"/>
  <c r="AD638" i="1"/>
  <c r="AE638" i="1"/>
  <c r="AF638" i="1"/>
  <c r="AG638" i="1"/>
  <c r="AH638" i="1"/>
  <c r="AI638" i="1"/>
  <c r="AJ638" i="1"/>
  <c r="AK638" i="1"/>
  <c r="AL638" i="1"/>
  <c r="AM638" i="1"/>
  <c r="AN638" i="1"/>
  <c r="AO638" i="1"/>
  <c r="AP638" i="1"/>
  <c r="AQ638" i="1"/>
  <c r="AR638" i="1"/>
  <c r="Z637" i="1"/>
  <c r="AA637" i="1"/>
  <c r="AB637" i="1"/>
  <c r="AC637" i="1"/>
  <c r="AD637" i="1"/>
  <c r="AE637" i="1"/>
  <c r="AF637" i="1"/>
  <c r="AG637" i="1"/>
  <c r="AH637" i="1"/>
  <c r="AI637" i="1"/>
  <c r="AJ637" i="1"/>
  <c r="AK637" i="1"/>
  <c r="AL637" i="1"/>
  <c r="AM637" i="1"/>
  <c r="AN637" i="1"/>
  <c r="AO637" i="1"/>
  <c r="AP637" i="1"/>
  <c r="AQ637" i="1"/>
  <c r="AR637" i="1"/>
  <c r="Z636" i="1"/>
  <c r="AA636" i="1"/>
  <c r="AB636" i="1"/>
  <c r="AC636" i="1"/>
  <c r="AD636" i="1"/>
  <c r="AE636" i="1"/>
  <c r="AF636" i="1"/>
  <c r="AG636" i="1"/>
  <c r="AH636" i="1"/>
  <c r="AI636" i="1"/>
  <c r="AJ636" i="1"/>
  <c r="AK636" i="1"/>
  <c r="AL636" i="1"/>
  <c r="AM636" i="1"/>
  <c r="AN636" i="1"/>
  <c r="AO636" i="1"/>
  <c r="AP636" i="1"/>
  <c r="AQ636" i="1"/>
  <c r="AR636" i="1"/>
  <c r="Z635" i="1"/>
  <c r="AA635" i="1"/>
  <c r="AB635" i="1"/>
  <c r="AC635" i="1"/>
  <c r="AD635" i="1"/>
  <c r="AE635" i="1"/>
  <c r="AF635" i="1"/>
  <c r="AG635" i="1"/>
  <c r="AH635" i="1"/>
  <c r="AI635" i="1"/>
  <c r="AJ635" i="1"/>
  <c r="AK635" i="1"/>
  <c r="AL635" i="1"/>
  <c r="AM635" i="1"/>
  <c r="AN635" i="1"/>
  <c r="AO635" i="1"/>
  <c r="AP635" i="1"/>
  <c r="AQ635" i="1"/>
  <c r="AR635" i="1"/>
  <c r="Z634" i="1"/>
  <c r="AA634" i="1"/>
  <c r="AB634" i="1"/>
  <c r="AC634" i="1"/>
  <c r="AD634" i="1"/>
  <c r="AE634" i="1"/>
  <c r="AF634" i="1"/>
  <c r="AG634" i="1"/>
  <c r="AH634" i="1"/>
  <c r="AI634" i="1"/>
  <c r="AJ634" i="1"/>
  <c r="AK634" i="1"/>
  <c r="AL634" i="1"/>
  <c r="AM634" i="1"/>
  <c r="AN634" i="1"/>
  <c r="AO634" i="1"/>
  <c r="AP634" i="1"/>
  <c r="AQ634" i="1"/>
  <c r="AR634" i="1"/>
  <c r="Z633" i="1"/>
  <c r="AA633" i="1"/>
  <c r="AB633" i="1"/>
  <c r="AC633" i="1"/>
  <c r="AD633" i="1"/>
  <c r="AE633" i="1"/>
  <c r="AF633" i="1"/>
  <c r="AG633" i="1"/>
  <c r="AH633" i="1"/>
  <c r="AI633" i="1"/>
  <c r="AJ633" i="1"/>
  <c r="AK633" i="1"/>
  <c r="AL633" i="1"/>
  <c r="AM633" i="1"/>
  <c r="AN633" i="1"/>
  <c r="AO633" i="1"/>
  <c r="AP633" i="1"/>
  <c r="AQ633" i="1"/>
  <c r="AR633" i="1"/>
  <c r="Z632" i="1"/>
  <c r="AA632" i="1"/>
  <c r="AB632" i="1"/>
  <c r="AC632" i="1"/>
  <c r="AD632" i="1"/>
  <c r="AE632" i="1"/>
  <c r="AF632" i="1"/>
  <c r="AG632" i="1"/>
  <c r="AH632" i="1"/>
  <c r="AI632" i="1"/>
  <c r="AJ632" i="1"/>
  <c r="AK632" i="1"/>
  <c r="AL632" i="1"/>
  <c r="AM632" i="1"/>
  <c r="AN632" i="1"/>
  <c r="AO632" i="1"/>
  <c r="AP632" i="1"/>
  <c r="AQ632" i="1"/>
  <c r="AR632" i="1"/>
  <c r="Z631" i="1"/>
  <c r="AA631" i="1"/>
  <c r="AB631" i="1"/>
  <c r="AC631" i="1"/>
  <c r="AD631" i="1"/>
  <c r="AE631" i="1"/>
  <c r="AF631" i="1"/>
  <c r="AG631" i="1"/>
  <c r="AH631" i="1"/>
  <c r="AI631" i="1"/>
  <c r="AJ631" i="1"/>
  <c r="AK631" i="1"/>
  <c r="AL631" i="1"/>
  <c r="AM631" i="1"/>
  <c r="AN631" i="1"/>
  <c r="AO631" i="1"/>
  <c r="AP631" i="1"/>
  <c r="AQ631" i="1"/>
  <c r="AR631" i="1"/>
  <c r="Z630" i="1"/>
  <c r="AA630" i="1"/>
  <c r="AB630" i="1"/>
  <c r="AC630" i="1"/>
  <c r="AD630" i="1"/>
  <c r="AE630" i="1"/>
  <c r="AF630" i="1"/>
  <c r="AG630" i="1"/>
  <c r="AH630" i="1"/>
  <c r="AI630" i="1"/>
  <c r="AJ630" i="1"/>
  <c r="AK630" i="1"/>
  <c r="AL630" i="1"/>
  <c r="AM630" i="1"/>
  <c r="AN630" i="1"/>
  <c r="AO630" i="1"/>
  <c r="AP630" i="1"/>
  <c r="AQ630" i="1"/>
  <c r="AR630" i="1"/>
  <c r="Z629" i="1"/>
  <c r="AA629" i="1"/>
  <c r="AB629" i="1"/>
  <c r="AC629" i="1"/>
  <c r="AD629" i="1"/>
  <c r="AE629" i="1"/>
  <c r="AF629" i="1"/>
  <c r="AG629" i="1"/>
  <c r="AH629" i="1"/>
  <c r="AI629" i="1"/>
  <c r="AJ629" i="1"/>
  <c r="AK629" i="1"/>
  <c r="AL629" i="1"/>
  <c r="AM629" i="1"/>
  <c r="AN629" i="1"/>
  <c r="AO629" i="1"/>
  <c r="AP629" i="1"/>
  <c r="AQ629" i="1"/>
  <c r="AR629" i="1"/>
  <c r="Z628" i="1"/>
  <c r="AA628" i="1"/>
  <c r="AB628" i="1"/>
  <c r="AC628" i="1"/>
  <c r="AD628" i="1"/>
  <c r="AE628" i="1"/>
  <c r="AF628" i="1"/>
  <c r="AG628" i="1"/>
  <c r="AH628" i="1"/>
  <c r="AI628" i="1"/>
  <c r="AJ628" i="1"/>
  <c r="AK628" i="1"/>
  <c r="AL628" i="1"/>
  <c r="AM628" i="1"/>
  <c r="AN628" i="1"/>
  <c r="AO628" i="1"/>
  <c r="AP628" i="1"/>
  <c r="AQ628" i="1"/>
  <c r="AR628" i="1"/>
  <c r="Z627" i="1"/>
  <c r="AA627" i="1"/>
  <c r="AB627" i="1"/>
  <c r="AC627" i="1"/>
  <c r="AD627" i="1"/>
  <c r="AE627" i="1"/>
  <c r="AF627" i="1"/>
  <c r="AG627" i="1"/>
  <c r="AH627" i="1"/>
  <c r="AI627" i="1"/>
  <c r="AJ627" i="1"/>
  <c r="AK627" i="1"/>
  <c r="AL627" i="1"/>
  <c r="AM627" i="1"/>
  <c r="AN627" i="1"/>
  <c r="AO627" i="1"/>
  <c r="AP627" i="1"/>
  <c r="AQ627" i="1"/>
  <c r="AR627" i="1"/>
  <c r="Z626" i="1"/>
  <c r="AA626" i="1"/>
  <c r="AB626" i="1"/>
  <c r="AC626" i="1"/>
  <c r="AD626" i="1"/>
  <c r="AE626" i="1"/>
  <c r="AF626" i="1"/>
  <c r="AG626" i="1"/>
  <c r="AH626" i="1"/>
  <c r="AI626" i="1"/>
  <c r="AJ626" i="1"/>
  <c r="AK626" i="1"/>
  <c r="AL626" i="1"/>
  <c r="AM626" i="1"/>
  <c r="AN626" i="1"/>
  <c r="AO626" i="1"/>
  <c r="AP626" i="1"/>
  <c r="AQ626" i="1"/>
  <c r="AR626" i="1"/>
  <c r="Z625" i="1"/>
  <c r="AA625" i="1"/>
  <c r="AB625" i="1"/>
  <c r="AC625" i="1"/>
  <c r="AD625" i="1"/>
  <c r="AE625" i="1"/>
  <c r="AF625" i="1"/>
  <c r="AG625" i="1"/>
  <c r="AH625" i="1"/>
  <c r="AI625" i="1"/>
  <c r="AJ625" i="1"/>
  <c r="AK625" i="1"/>
  <c r="AL625" i="1"/>
  <c r="AM625" i="1"/>
  <c r="AN625" i="1"/>
  <c r="AO625" i="1"/>
  <c r="AP625" i="1"/>
  <c r="AQ625" i="1"/>
  <c r="AR625" i="1"/>
  <c r="Z624" i="1"/>
  <c r="AA624" i="1"/>
  <c r="AB624" i="1"/>
  <c r="AC624" i="1"/>
  <c r="AD624" i="1"/>
  <c r="AE624" i="1"/>
  <c r="AF624" i="1"/>
  <c r="AG624" i="1"/>
  <c r="AH624" i="1"/>
  <c r="AI624" i="1"/>
  <c r="AJ624" i="1"/>
  <c r="AK624" i="1"/>
  <c r="AL624" i="1"/>
  <c r="AM624" i="1"/>
  <c r="AN624" i="1"/>
  <c r="AO624" i="1"/>
  <c r="AP624" i="1"/>
  <c r="AQ624" i="1"/>
  <c r="AR624" i="1"/>
  <c r="Z623" i="1"/>
  <c r="AA623" i="1"/>
  <c r="AB623" i="1"/>
  <c r="AC623" i="1"/>
  <c r="AD623" i="1"/>
  <c r="AE623" i="1"/>
  <c r="AF623" i="1"/>
  <c r="AG623" i="1"/>
  <c r="AH623" i="1"/>
  <c r="AI623" i="1"/>
  <c r="AJ623" i="1"/>
  <c r="AK623" i="1"/>
  <c r="AL623" i="1"/>
  <c r="AM623" i="1"/>
  <c r="AN623" i="1"/>
  <c r="AO623" i="1"/>
  <c r="AP623" i="1"/>
  <c r="AQ623" i="1"/>
  <c r="AR623" i="1"/>
  <c r="Z622" i="1"/>
  <c r="AA622" i="1"/>
  <c r="AB622" i="1"/>
  <c r="AC622" i="1"/>
  <c r="AD622" i="1"/>
  <c r="AE622" i="1"/>
  <c r="AF622" i="1"/>
  <c r="AG622" i="1"/>
  <c r="AH622" i="1"/>
  <c r="AI622" i="1"/>
  <c r="AJ622" i="1"/>
  <c r="AK622" i="1"/>
  <c r="AL622" i="1"/>
  <c r="AM622" i="1"/>
  <c r="AN622" i="1"/>
  <c r="AO622" i="1"/>
  <c r="AP622" i="1"/>
  <c r="AQ622" i="1"/>
  <c r="AR622" i="1"/>
  <c r="Z621" i="1"/>
  <c r="AA621" i="1"/>
  <c r="AB621" i="1"/>
  <c r="AC621" i="1"/>
  <c r="AD621" i="1"/>
  <c r="AE621" i="1"/>
  <c r="AF621" i="1"/>
  <c r="AG621" i="1"/>
  <c r="AH621" i="1"/>
  <c r="AI621" i="1"/>
  <c r="AJ621" i="1"/>
  <c r="AK621" i="1"/>
  <c r="AL621" i="1"/>
  <c r="AM621" i="1"/>
  <c r="AN621" i="1"/>
  <c r="AO621" i="1"/>
  <c r="AP621" i="1"/>
  <c r="AQ621" i="1"/>
  <c r="AR621" i="1"/>
  <c r="Z620" i="1"/>
  <c r="AA620" i="1"/>
  <c r="AB620" i="1"/>
  <c r="AC620" i="1"/>
  <c r="AD620" i="1"/>
  <c r="AE620" i="1"/>
  <c r="AF620" i="1"/>
  <c r="AG620" i="1"/>
  <c r="AH620" i="1"/>
  <c r="AI620" i="1"/>
  <c r="AJ620" i="1"/>
  <c r="AK620" i="1"/>
  <c r="AL620" i="1"/>
  <c r="AM620" i="1"/>
  <c r="AN620" i="1"/>
  <c r="AO620" i="1"/>
  <c r="AP620" i="1"/>
  <c r="AQ620" i="1"/>
  <c r="AR620" i="1"/>
  <c r="Z619" i="1"/>
  <c r="AA619" i="1"/>
  <c r="AB619" i="1"/>
  <c r="AC619" i="1"/>
  <c r="AD619" i="1"/>
  <c r="AE619" i="1"/>
  <c r="AF619" i="1"/>
  <c r="AG619" i="1"/>
  <c r="AH619" i="1"/>
  <c r="AI619" i="1"/>
  <c r="AJ619" i="1"/>
  <c r="AK619" i="1"/>
  <c r="AL619" i="1"/>
  <c r="AM619" i="1"/>
  <c r="AN619" i="1"/>
  <c r="AO619" i="1"/>
  <c r="AP619" i="1"/>
  <c r="AQ619" i="1"/>
  <c r="AR619" i="1"/>
  <c r="Z618" i="1"/>
  <c r="AA618" i="1"/>
  <c r="AB618" i="1"/>
  <c r="AC618" i="1"/>
  <c r="AD618" i="1"/>
  <c r="AE618" i="1"/>
  <c r="AF618" i="1"/>
  <c r="AG618" i="1"/>
  <c r="AH618" i="1"/>
  <c r="AI618" i="1"/>
  <c r="AJ618" i="1"/>
  <c r="AK618" i="1"/>
  <c r="AL618" i="1"/>
  <c r="AM618" i="1"/>
  <c r="AN618" i="1"/>
  <c r="AO618" i="1"/>
  <c r="AP618" i="1"/>
  <c r="AQ618" i="1"/>
  <c r="AR618" i="1"/>
  <c r="Z617" i="1"/>
  <c r="AA617" i="1"/>
  <c r="AB617" i="1"/>
  <c r="AC617" i="1"/>
  <c r="AD617" i="1"/>
  <c r="AE617" i="1"/>
  <c r="AF617" i="1"/>
  <c r="AG617" i="1"/>
  <c r="AH617" i="1"/>
  <c r="AI617" i="1"/>
  <c r="AJ617" i="1"/>
  <c r="AK617" i="1"/>
  <c r="AL617" i="1"/>
  <c r="AM617" i="1"/>
  <c r="AN617" i="1"/>
  <c r="AO617" i="1"/>
  <c r="AP617" i="1"/>
  <c r="AQ617" i="1"/>
  <c r="AR617" i="1"/>
  <c r="Z616" i="1"/>
  <c r="AA616" i="1"/>
  <c r="AB616" i="1"/>
  <c r="AC616" i="1"/>
  <c r="AD616" i="1"/>
  <c r="AE616" i="1"/>
  <c r="AF616" i="1"/>
  <c r="AG616" i="1"/>
  <c r="AH616" i="1"/>
  <c r="AI616" i="1"/>
  <c r="AJ616" i="1"/>
  <c r="AK616" i="1"/>
  <c r="AL616" i="1"/>
  <c r="AM616" i="1"/>
  <c r="AN616" i="1"/>
  <c r="AO616" i="1"/>
  <c r="AP616" i="1"/>
  <c r="AQ616" i="1"/>
  <c r="AR616" i="1"/>
  <c r="Z615" i="1"/>
  <c r="AA615" i="1"/>
  <c r="AB615" i="1"/>
  <c r="AC615" i="1"/>
  <c r="AD615" i="1"/>
  <c r="AE615" i="1"/>
  <c r="AF615" i="1"/>
  <c r="AG615" i="1"/>
  <c r="AH615" i="1"/>
  <c r="AI615" i="1"/>
  <c r="AJ615" i="1"/>
  <c r="AK615" i="1"/>
  <c r="AL615" i="1"/>
  <c r="AM615" i="1"/>
  <c r="AN615" i="1"/>
  <c r="AO615" i="1"/>
  <c r="AP615" i="1"/>
  <c r="AQ615" i="1"/>
  <c r="AR615" i="1"/>
  <c r="Z614" i="1"/>
  <c r="AA614" i="1"/>
  <c r="AB614" i="1"/>
  <c r="AC614" i="1"/>
  <c r="AD614" i="1"/>
  <c r="AE614" i="1"/>
  <c r="AF614" i="1"/>
  <c r="AG614" i="1"/>
  <c r="AH614" i="1"/>
  <c r="AI614" i="1"/>
  <c r="AJ614" i="1"/>
  <c r="AK614" i="1"/>
  <c r="AL614" i="1"/>
  <c r="AM614" i="1"/>
  <c r="AN614" i="1"/>
  <c r="AO614" i="1"/>
  <c r="AP614" i="1"/>
  <c r="AQ614" i="1"/>
  <c r="AR614" i="1"/>
  <c r="AS641" i="1" l="1"/>
  <c r="AS640" i="1"/>
  <c r="AS639" i="1"/>
  <c r="AS638" i="1"/>
  <c r="AS637" i="1"/>
  <c r="AS636" i="1"/>
  <c r="AS635" i="1"/>
  <c r="AS634" i="1"/>
  <c r="AS633" i="1"/>
  <c r="AS632" i="1"/>
  <c r="AS631" i="1"/>
  <c r="AS630" i="1"/>
  <c r="AS629" i="1"/>
  <c r="AS628" i="1"/>
  <c r="AS627" i="1"/>
  <c r="AS626" i="1"/>
  <c r="AS625" i="1"/>
  <c r="AS624" i="1"/>
  <c r="AS623" i="1"/>
  <c r="AS622" i="1"/>
  <c r="AS621" i="1"/>
  <c r="AS620" i="1"/>
  <c r="AS619" i="1"/>
  <c r="AS618" i="1"/>
  <c r="AS617" i="1"/>
  <c r="AS616" i="1"/>
  <c r="AS614" i="1"/>
  <c r="AS615" i="1"/>
  <c r="Z613" i="1"/>
  <c r="AA613" i="1"/>
  <c r="AB613" i="1"/>
  <c r="AC613" i="1"/>
  <c r="AD613" i="1"/>
  <c r="AE613" i="1"/>
  <c r="AF613" i="1"/>
  <c r="AG613" i="1"/>
  <c r="AH613" i="1"/>
  <c r="AI613" i="1"/>
  <c r="AJ613" i="1"/>
  <c r="AK613" i="1"/>
  <c r="AL613" i="1"/>
  <c r="AM613" i="1"/>
  <c r="AN613" i="1"/>
  <c r="AO613" i="1"/>
  <c r="AP613" i="1"/>
  <c r="AQ613" i="1"/>
  <c r="AR613" i="1"/>
  <c r="Z612" i="1"/>
  <c r="AA612" i="1"/>
  <c r="AB612" i="1"/>
  <c r="AC612" i="1"/>
  <c r="AD612" i="1"/>
  <c r="AE612" i="1"/>
  <c r="AF612" i="1"/>
  <c r="AG612" i="1"/>
  <c r="AH612" i="1"/>
  <c r="AI612" i="1"/>
  <c r="AJ612" i="1"/>
  <c r="AK612" i="1"/>
  <c r="AL612" i="1"/>
  <c r="AM612" i="1"/>
  <c r="AN612" i="1"/>
  <c r="AO612" i="1"/>
  <c r="AP612" i="1"/>
  <c r="AQ612" i="1"/>
  <c r="AR612" i="1"/>
  <c r="Z611" i="1"/>
  <c r="AA611" i="1"/>
  <c r="AB611" i="1"/>
  <c r="AC611" i="1"/>
  <c r="AD611" i="1"/>
  <c r="AE611" i="1"/>
  <c r="AF611" i="1"/>
  <c r="AG611" i="1"/>
  <c r="AH611" i="1"/>
  <c r="AI611" i="1"/>
  <c r="AJ611" i="1"/>
  <c r="AK611" i="1"/>
  <c r="AL611" i="1"/>
  <c r="AM611" i="1"/>
  <c r="AN611" i="1"/>
  <c r="AO611" i="1"/>
  <c r="AP611" i="1"/>
  <c r="AQ611" i="1"/>
  <c r="AR611" i="1"/>
  <c r="Z610" i="1"/>
  <c r="AA610" i="1"/>
  <c r="AB610" i="1"/>
  <c r="AC610" i="1"/>
  <c r="AD610" i="1"/>
  <c r="AE610" i="1"/>
  <c r="AF610" i="1"/>
  <c r="AG610" i="1"/>
  <c r="AH610" i="1"/>
  <c r="AI610" i="1"/>
  <c r="AJ610" i="1"/>
  <c r="AK610" i="1"/>
  <c r="AL610" i="1"/>
  <c r="AM610" i="1"/>
  <c r="AN610" i="1"/>
  <c r="AO610" i="1"/>
  <c r="AP610" i="1"/>
  <c r="AQ610" i="1"/>
  <c r="AR610" i="1"/>
  <c r="Z609" i="1"/>
  <c r="AA609" i="1"/>
  <c r="AB609" i="1"/>
  <c r="AC609" i="1"/>
  <c r="AD609" i="1"/>
  <c r="AE609" i="1"/>
  <c r="AF609" i="1"/>
  <c r="AG609" i="1"/>
  <c r="AH609" i="1"/>
  <c r="AI609" i="1"/>
  <c r="AJ609" i="1"/>
  <c r="AK609" i="1"/>
  <c r="AL609" i="1"/>
  <c r="AM609" i="1"/>
  <c r="AN609" i="1"/>
  <c r="AO609" i="1"/>
  <c r="AP609" i="1"/>
  <c r="AQ609" i="1"/>
  <c r="AR609" i="1"/>
  <c r="Z608" i="1"/>
  <c r="AA608" i="1"/>
  <c r="AB608" i="1"/>
  <c r="AC608" i="1"/>
  <c r="AD608" i="1"/>
  <c r="AE608" i="1"/>
  <c r="AF608" i="1"/>
  <c r="AG608" i="1"/>
  <c r="AH608" i="1"/>
  <c r="AI608" i="1"/>
  <c r="AJ608" i="1"/>
  <c r="AK608" i="1"/>
  <c r="AL608" i="1"/>
  <c r="AM608" i="1"/>
  <c r="AN608" i="1"/>
  <c r="AO608" i="1"/>
  <c r="AP608" i="1"/>
  <c r="AQ608" i="1"/>
  <c r="AR608" i="1"/>
  <c r="Z607" i="1"/>
  <c r="AA607" i="1"/>
  <c r="AB607" i="1"/>
  <c r="AC607" i="1"/>
  <c r="AD607" i="1"/>
  <c r="AE607" i="1"/>
  <c r="AF607" i="1"/>
  <c r="AG607" i="1"/>
  <c r="AH607" i="1"/>
  <c r="AI607" i="1"/>
  <c r="AJ607" i="1"/>
  <c r="AK607" i="1"/>
  <c r="AL607" i="1"/>
  <c r="AM607" i="1"/>
  <c r="AN607" i="1"/>
  <c r="AO607" i="1"/>
  <c r="AP607" i="1"/>
  <c r="AQ607" i="1"/>
  <c r="AR607" i="1"/>
  <c r="Z606" i="1"/>
  <c r="AA606" i="1"/>
  <c r="AB606" i="1"/>
  <c r="AC606" i="1"/>
  <c r="AD606" i="1"/>
  <c r="AE606" i="1"/>
  <c r="AF606" i="1"/>
  <c r="AG606" i="1"/>
  <c r="AH606" i="1"/>
  <c r="AI606" i="1"/>
  <c r="AJ606" i="1"/>
  <c r="AK606" i="1"/>
  <c r="AL606" i="1"/>
  <c r="AM606" i="1"/>
  <c r="AN606" i="1"/>
  <c r="AO606" i="1"/>
  <c r="AP606" i="1"/>
  <c r="AQ606" i="1"/>
  <c r="AR606" i="1"/>
  <c r="Z605" i="1"/>
  <c r="AA605" i="1"/>
  <c r="AB605" i="1"/>
  <c r="AC605" i="1"/>
  <c r="AD605" i="1"/>
  <c r="AE605" i="1"/>
  <c r="AF605" i="1"/>
  <c r="AG605" i="1"/>
  <c r="AH605" i="1"/>
  <c r="AI605" i="1"/>
  <c r="AJ605" i="1"/>
  <c r="AK605" i="1"/>
  <c r="AL605" i="1"/>
  <c r="AM605" i="1"/>
  <c r="AN605" i="1"/>
  <c r="AO605" i="1"/>
  <c r="AP605" i="1"/>
  <c r="AQ605" i="1"/>
  <c r="AR605" i="1"/>
  <c r="Z604" i="1"/>
  <c r="AA604" i="1"/>
  <c r="AB604" i="1"/>
  <c r="AC604" i="1"/>
  <c r="AD604" i="1"/>
  <c r="AE604" i="1"/>
  <c r="AF604" i="1"/>
  <c r="AG604" i="1"/>
  <c r="AH604" i="1"/>
  <c r="AI604" i="1"/>
  <c r="AJ604" i="1"/>
  <c r="AK604" i="1"/>
  <c r="AL604" i="1"/>
  <c r="AM604" i="1"/>
  <c r="AN604" i="1"/>
  <c r="AO604" i="1"/>
  <c r="AP604" i="1"/>
  <c r="AQ604" i="1"/>
  <c r="AR604" i="1"/>
  <c r="Z603" i="1"/>
  <c r="AA603" i="1"/>
  <c r="AB603" i="1"/>
  <c r="AC603" i="1"/>
  <c r="AD603" i="1"/>
  <c r="AE603" i="1"/>
  <c r="AF603" i="1"/>
  <c r="AG603" i="1"/>
  <c r="AH603" i="1"/>
  <c r="AI603" i="1"/>
  <c r="AJ603" i="1"/>
  <c r="AK603" i="1"/>
  <c r="AL603" i="1"/>
  <c r="AM603" i="1"/>
  <c r="AN603" i="1"/>
  <c r="AO603" i="1"/>
  <c r="AP603" i="1"/>
  <c r="AQ603" i="1"/>
  <c r="AR603" i="1"/>
  <c r="Z602" i="1"/>
  <c r="AA602" i="1"/>
  <c r="AB602" i="1"/>
  <c r="AC602" i="1"/>
  <c r="AD602" i="1"/>
  <c r="AE602" i="1"/>
  <c r="AF602" i="1"/>
  <c r="AG602" i="1"/>
  <c r="AH602" i="1"/>
  <c r="AI602" i="1"/>
  <c r="AJ602" i="1"/>
  <c r="AK602" i="1"/>
  <c r="AL602" i="1"/>
  <c r="AM602" i="1"/>
  <c r="AN602" i="1"/>
  <c r="AO602" i="1"/>
  <c r="AP602" i="1"/>
  <c r="AQ602" i="1"/>
  <c r="AR602" i="1"/>
  <c r="Z601" i="1"/>
  <c r="AA601" i="1"/>
  <c r="AB601" i="1"/>
  <c r="AC601" i="1"/>
  <c r="AD601" i="1"/>
  <c r="AE601" i="1"/>
  <c r="AF601" i="1"/>
  <c r="AG601" i="1"/>
  <c r="AH601" i="1"/>
  <c r="AI601" i="1"/>
  <c r="AJ601" i="1"/>
  <c r="AK601" i="1"/>
  <c r="AL601" i="1"/>
  <c r="AM601" i="1"/>
  <c r="AN601" i="1"/>
  <c r="AO601" i="1"/>
  <c r="AP601" i="1"/>
  <c r="AQ601" i="1"/>
  <c r="AR601" i="1"/>
  <c r="Z600" i="1"/>
  <c r="AA600" i="1"/>
  <c r="AB600" i="1"/>
  <c r="AC600" i="1"/>
  <c r="AD600" i="1"/>
  <c r="AE600" i="1"/>
  <c r="AF600" i="1"/>
  <c r="AG600" i="1"/>
  <c r="AH600" i="1"/>
  <c r="AI600" i="1"/>
  <c r="AJ600" i="1"/>
  <c r="AK600" i="1"/>
  <c r="AL600" i="1"/>
  <c r="AM600" i="1"/>
  <c r="AN600" i="1"/>
  <c r="AO600" i="1"/>
  <c r="AP600" i="1"/>
  <c r="AQ600" i="1"/>
  <c r="AR600" i="1"/>
  <c r="Z599" i="1"/>
  <c r="AA599" i="1"/>
  <c r="AB599" i="1"/>
  <c r="AC599" i="1"/>
  <c r="AD599" i="1"/>
  <c r="AE599" i="1"/>
  <c r="AF599" i="1"/>
  <c r="AG599" i="1"/>
  <c r="AH599" i="1"/>
  <c r="AI599" i="1"/>
  <c r="AJ599" i="1"/>
  <c r="AK599" i="1"/>
  <c r="AL599" i="1"/>
  <c r="AM599" i="1"/>
  <c r="AN599" i="1"/>
  <c r="AO599" i="1"/>
  <c r="AP599" i="1"/>
  <c r="AQ599" i="1"/>
  <c r="AR599" i="1"/>
  <c r="Z598" i="1"/>
  <c r="AA598" i="1"/>
  <c r="AB598" i="1"/>
  <c r="AC598" i="1"/>
  <c r="AD598" i="1"/>
  <c r="AE598" i="1"/>
  <c r="AF598" i="1"/>
  <c r="AG598" i="1"/>
  <c r="AH598" i="1"/>
  <c r="AI598" i="1"/>
  <c r="AJ598" i="1"/>
  <c r="AK598" i="1"/>
  <c r="AL598" i="1"/>
  <c r="AM598" i="1"/>
  <c r="AN598" i="1"/>
  <c r="AO598" i="1"/>
  <c r="AP598" i="1"/>
  <c r="AQ598" i="1"/>
  <c r="AR598" i="1"/>
  <c r="Z597" i="1"/>
  <c r="AA597" i="1"/>
  <c r="AB597" i="1"/>
  <c r="AC597" i="1"/>
  <c r="AD597" i="1"/>
  <c r="AE597" i="1"/>
  <c r="AF597" i="1"/>
  <c r="AG597" i="1"/>
  <c r="AH597" i="1"/>
  <c r="AI597" i="1"/>
  <c r="AJ597" i="1"/>
  <c r="AK597" i="1"/>
  <c r="AL597" i="1"/>
  <c r="AM597" i="1"/>
  <c r="AN597" i="1"/>
  <c r="AO597" i="1"/>
  <c r="AP597" i="1"/>
  <c r="AQ597" i="1"/>
  <c r="AR597" i="1"/>
  <c r="Z596" i="1"/>
  <c r="AA596" i="1"/>
  <c r="AB596" i="1"/>
  <c r="AC596" i="1"/>
  <c r="AD596" i="1"/>
  <c r="AE596" i="1"/>
  <c r="AF596" i="1"/>
  <c r="AG596" i="1"/>
  <c r="AH596" i="1"/>
  <c r="AI596" i="1"/>
  <c r="AJ596" i="1"/>
  <c r="AK596" i="1"/>
  <c r="AL596" i="1"/>
  <c r="AM596" i="1"/>
  <c r="AN596" i="1"/>
  <c r="AO596" i="1"/>
  <c r="AP596" i="1"/>
  <c r="AQ596" i="1"/>
  <c r="AR596" i="1"/>
  <c r="Z595" i="1"/>
  <c r="AA595" i="1"/>
  <c r="AB595" i="1"/>
  <c r="AC595" i="1"/>
  <c r="AD595" i="1"/>
  <c r="AE595" i="1"/>
  <c r="AF595" i="1"/>
  <c r="AG595" i="1"/>
  <c r="AH595" i="1"/>
  <c r="AI595" i="1"/>
  <c r="AJ595" i="1"/>
  <c r="AK595" i="1"/>
  <c r="AL595" i="1"/>
  <c r="AM595" i="1"/>
  <c r="AN595" i="1"/>
  <c r="AO595" i="1"/>
  <c r="AP595" i="1"/>
  <c r="AQ595" i="1"/>
  <c r="AR595" i="1"/>
  <c r="Z594" i="1"/>
  <c r="AA594" i="1"/>
  <c r="AB594" i="1"/>
  <c r="AC594" i="1"/>
  <c r="AD594" i="1"/>
  <c r="AE594" i="1"/>
  <c r="AF594" i="1"/>
  <c r="AG594" i="1"/>
  <c r="AH594" i="1"/>
  <c r="AI594" i="1"/>
  <c r="AJ594" i="1"/>
  <c r="AK594" i="1"/>
  <c r="AL594" i="1"/>
  <c r="AM594" i="1"/>
  <c r="AN594" i="1"/>
  <c r="AO594" i="1"/>
  <c r="AP594" i="1"/>
  <c r="AQ594" i="1"/>
  <c r="AR594" i="1"/>
  <c r="Z593" i="1"/>
  <c r="AA593" i="1"/>
  <c r="AB593" i="1"/>
  <c r="AC593" i="1"/>
  <c r="AD593" i="1"/>
  <c r="AE593" i="1"/>
  <c r="AF593" i="1"/>
  <c r="AG593" i="1"/>
  <c r="AH593" i="1"/>
  <c r="AI593" i="1"/>
  <c r="AJ593" i="1"/>
  <c r="AK593" i="1"/>
  <c r="AL593" i="1"/>
  <c r="AM593" i="1"/>
  <c r="AN593" i="1"/>
  <c r="AO593" i="1"/>
  <c r="AP593" i="1"/>
  <c r="AQ593" i="1"/>
  <c r="AR593" i="1"/>
  <c r="Z592" i="1"/>
  <c r="AA592" i="1"/>
  <c r="AB592" i="1"/>
  <c r="AC592" i="1"/>
  <c r="AD592" i="1"/>
  <c r="AE592" i="1"/>
  <c r="AF592" i="1"/>
  <c r="AG592" i="1"/>
  <c r="AH592" i="1"/>
  <c r="AI592" i="1"/>
  <c r="AJ592" i="1"/>
  <c r="AK592" i="1"/>
  <c r="AL592" i="1"/>
  <c r="AM592" i="1"/>
  <c r="AN592" i="1"/>
  <c r="AO592" i="1"/>
  <c r="AP592" i="1"/>
  <c r="AQ592" i="1"/>
  <c r="AR592" i="1"/>
  <c r="Z591" i="1"/>
  <c r="AA591" i="1"/>
  <c r="AB591" i="1"/>
  <c r="AC591" i="1"/>
  <c r="AD591" i="1"/>
  <c r="AE591" i="1"/>
  <c r="AF591" i="1"/>
  <c r="AG591" i="1"/>
  <c r="AH591" i="1"/>
  <c r="AI591" i="1"/>
  <c r="AJ591" i="1"/>
  <c r="AK591" i="1"/>
  <c r="AL591" i="1"/>
  <c r="AM591" i="1"/>
  <c r="AN591" i="1"/>
  <c r="AO591" i="1"/>
  <c r="AP591" i="1"/>
  <c r="AQ591" i="1"/>
  <c r="AR591" i="1"/>
  <c r="Z590" i="1"/>
  <c r="AA590" i="1"/>
  <c r="AB590" i="1"/>
  <c r="AC590" i="1"/>
  <c r="AD590" i="1"/>
  <c r="AE590" i="1"/>
  <c r="AF590" i="1"/>
  <c r="AG590" i="1"/>
  <c r="AH590" i="1"/>
  <c r="AI590" i="1"/>
  <c r="AJ590" i="1"/>
  <c r="AK590" i="1"/>
  <c r="AL590" i="1"/>
  <c r="AM590" i="1"/>
  <c r="AN590" i="1"/>
  <c r="AO590" i="1"/>
  <c r="AP590" i="1"/>
  <c r="AQ590" i="1"/>
  <c r="AR590" i="1"/>
  <c r="Z589" i="1"/>
  <c r="AA589" i="1"/>
  <c r="AB589" i="1"/>
  <c r="AC589" i="1"/>
  <c r="AD589" i="1"/>
  <c r="AE589" i="1"/>
  <c r="AF589" i="1"/>
  <c r="AG589" i="1"/>
  <c r="AH589" i="1"/>
  <c r="AI589" i="1"/>
  <c r="AJ589" i="1"/>
  <c r="AK589" i="1"/>
  <c r="AL589" i="1"/>
  <c r="AM589" i="1"/>
  <c r="AN589" i="1"/>
  <c r="AO589" i="1"/>
  <c r="AP589" i="1"/>
  <c r="AQ589" i="1"/>
  <c r="AR589" i="1"/>
  <c r="Z588" i="1"/>
  <c r="AA588" i="1"/>
  <c r="AB588" i="1"/>
  <c r="AC588" i="1"/>
  <c r="AD588" i="1"/>
  <c r="AE588" i="1"/>
  <c r="AF588" i="1"/>
  <c r="AG588" i="1"/>
  <c r="AH588" i="1"/>
  <c r="AI588" i="1"/>
  <c r="AJ588" i="1"/>
  <c r="AK588" i="1"/>
  <c r="AL588" i="1"/>
  <c r="AM588" i="1"/>
  <c r="AN588" i="1"/>
  <c r="AO588" i="1"/>
  <c r="AP588" i="1"/>
  <c r="AQ588" i="1"/>
  <c r="AR588" i="1"/>
  <c r="Z587" i="1"/>
  <c r="AA587" i="1"/>
  <c r="AB587" i="1"/>
  <c r="AC587" i="1"/>
  <c r="AD587" i="1"/>
  <c r="AE587" i="1"/>
  <c r="AF587" i="1"/>
  <c r="AG587" i="1"/>
  <c r="AH587" i="1"/>
  <c r="AI587" i="1"/>
  <c r="AJ587" i="1"/>
  <c r="AK587" i="1"/>
  <c r="AL587" i="1"/>
  <c r="AM587" i="1"/>
  <c r="AN587" i="1"/>
  <c r="AO587" i="1"/>
  <c r="AP587" i="1"/>
  <c r="AQ587" i="1"/>
  <c r="AR587" i="1"/>
  <c r="Z586" i="1"/>
  <c r="AA586" i="1"/>
  <c r="AB586" i="1"/>
  <c r="AC586" i="1"/>
  <c r="AD586" i="1"/>
  <c r="AE586" i="1"/>
  <c r="AF586" i="1"/>
  <c r="AG586" i="1"/>
  <c r="AH586" i="1"/>
  <c r="AI586" i="1"/>
  <c r="AJ586" i="1"/>
  <c r="AK586" i="1"/>
  <c r="AL586" i="1"/>
  <c r="AM586" i="1"/>
  <c r="AN586" i="1"/>
  <c r="AO586" i="1"/>
  <c r="AP586" i="1"/>
  <c r="AQ586" i="1"/>
  <c r="AR586" i="1"/>
  <c r="Z585" i="1"/>
  <c r="AA585" i="1"/>
  <c r="AB585" i="1"/>
  <c r="AC585" i="1"/>
  <c r="AD585" i="1"/>
  <c r="AE585" i="1"/>
  <c r="AF585" i="1"/>
  <c r="AG585" i="1"/>
  <c r="AH585" i="1"/>
  <c r="AI585" i="1"/>
  <c r="AJ585" i="1"/>
  <c r="AK585" i="1"/>
  <c r="AL585" i="1"/>
  <c r="AM585" i="1"/>
  <c r="AN585" i="1"/>
  <c r="AO585" i="1"/>
  <c r="AP585" i="1"/>
  <c r="AQ585" i="1"/>
  <c r="AR585" i="1"/>
  <c r="Z584" i="1"/>
  <c r="AA584" i="1"/>
  <c r="AB584" i="1"/>
  <c r="AC584" i="1"/>
  <c r="AD584" i="1"/>
  <c r="AE584" i="1"/>
  <c r="AF584" i="1"/>
  <c r="AG584" i="1"/>
  <c r="AH584" i="1"/>
  <c r="AI584" i="1"/>
  <c r="AJ584" i="1"/>
  <c r="AK584" i="1"/>
  <c r="AL584" i="1"/>
  <c r="AM584" i="1"/>
  <c r="AN584" i="1"/>
  <c r="AO584" i="1"/>
  <c r="AP584" i="1"/>
  <c r="AQ584" i="1"/>
  <c r="AR584" i="1"/>
  <c r="AS613" i="1" l="1"/>
  <c r="AS612" i="1"/>
  <c r="AS611" i="1"/>
  <c r="AS610" i="1"/>
  <c r="AS609" i="1"/>
  <c r="AS608" i="1"/>
  <c r="AS607" i="1"/>
  <c r="AS606" i="1"/>
  <c r="AS605" i="1"/>
  <c r="AS604" i="1"/>
  <c r="AS603" i="1"/>
  <c r="AS602" i="1"/>
  <c r="AS601" i="1"/>
  <c r="AS600" i="1"/>
  <c r="AS599" i="1"/>
  <c r="AS598" i="1"/>
  <c r="AS597" i="1"/>
  <c r="AS596" i="1"/>
  <c r="AS595" i="1"/>
  <c r="AS593" i="1"/>
  <c r="AS594" i="1"/>
  <c r="AS592" i="1"/>
  <c r="AS591" i="1"/>
  <c r="AS590" i="1"/>
  <c r="AS588" i="1"/>
  <c r="AS589" i="1"/>
  <c r="AS587" i="1"/>
  <c r="AS586" i="1"/>
  <c r="AS584" i="1"/>
  <c r="AS585" i="1"/>
  <c r="Z583" i="1" l="1"/>
  <c r="AA583" i="1"/>
  <c r="AB583" i="1"/>
  <c r="AC583" i="1"/>
  <c r="AD583" i="1"/>
  <c r="AE583" i="1"/>
  <c r="AF583" i="1"/>
  <c r="AG583" i="1"/>
  <c r="AH583" i="1"/>
  <c r="AI583" i="1"/>
  <c r="AJ583" i="1"/>
  <c r="AK583" i="1"/>
  <c r="AL583" i="1"/>
  <c r="AM583" i="1"/>
  <c r="AN583" i="1"/>
  <c r="AO583" i="1"/>
  <c r="AP583" i="1"/>
  <c r="AQ583" i="1"/>
  <c r="AR583" i="1"/>
  <c r="Z582" i="1"/>
  <c r="AA582" i="1"/>
  <c r="AB582" i="1"/>
  <c r="AC582" i="1"/>
  <c r="AD582" i="1"/>
  <c r="AE582" i="1"/>
  <c r="AF582" i="1"/>
  <c r="AG582" i="1"/>
  <c r="AH582" i="1"/>
  <c r="AI582" i="1"/>
  <c r="AJ582" i="1"/>
  <c r="AK582" i="1"/>
  <c r="AL582" i="1"/>
  <c r="AM582" i="1"/>
  <c r="AN582" i="1"/>
  <c r="AO582" i="1"/>
  <c r="AP582" i="1"/>
  <c r="AQ582" i="1"/>
  <c r="AR582" i="1"/>
  <c r="Z581" i="1"/>
  <c r="AA581" i="1"/>
  <c r="AB581" i="1"/>
  <c r="AC581" i="1"/>
  <c r="AD581" i="1"/>
  <c r="AE581" i="1"/>
  <c r="AF581" i="1"/>
  <c r="AG581" i="1"/>
  <c r="AH581" i="1"/>
  <c r="AI581" i="1"/>
  <c r="AJ581" i="1"/>
  <c r="AK581" i="1"/>
  <c r="AL581" i="1"/>
  <c r="AM581" i="1"/>
  <c r="AN581" i="1"/>
  <c r="AO581" i="1"/>
  <c r="AP581" i="1"/>
  <c r="AQ581" i="1"/>
  <c r="AR581" i="1"/>
  <c r="Z580" i="1"/>
  <c r="AA580" i="1"/>
  <c r="AB580" i="1"/>
  <c r="AC580" i="1"/>
  <c r="AD580" i="1"/>
  <c r="AE580" i="1"/>
  <c r="AF580" i="1"/>
  <c r="AG580" i="1"/>
  <c r="AH580" i="1"/>
  <c r="AI580" i="1"/>
  <c r="AJ580" i="1"/>
  <c r="AK580" i="1"/>
  <c r="AL580" i="1"/>
  <c r="AM580" i="1"/>
  <c r="AN580" i="1"/>
  <c r="AO580" i="1"/>
  <c r="AP580" i="1"/>
  <c r="AQ580" i="1"/>
  <c r="AR580" i="1"/>
  <c r="Z579" i="1"/>
  <c r="AA579" i="1"/>
  <c r="AB579" i="1"/>
  <c r="AC579" i="1"/>
  <c r="AD579" i="1"/>
  <c r="AE579" i="1"/>
  <c r="AF579" i="1"/>
  <c r="AG579" i="1"/>
  <c r="AH579" i="1"/>
  <c r="AI579" i="1"/>
  <c r="AJ579" i="1"/>
  <c r="AK579" i="1"/>
  <c r="AL579" i="1"/>
  <c r="AM579" i="1"/>
  <c r="AN579" i="1"/>
  <c r="AO579" i="1"/>
  <c r="AP579" i="1"/>
  <c r="AQ579" i="1"/>
  <c r="AR579" i="1"/>
  <c r="Z578" i="1"/>
  <c r="AA578" i="1"/>
  <c r="AB578" i="1"/>
  <c r="AC578" i="1"/>
  <c r="AD578" i="1"/>
  <c r="AE578" i="1"/>
  <c r="AF578" i="1"/>
  <c r="AG578" i="1"/>
  <c r="AH578" i="1"/>
  <c r="AI578" i="1"/>
  <c r="AJ578" i="1"/>
  <c r="AK578" i="1"/>
  <c r="AL578" i="1"/>
  <c r="AM578" i="1"/>
  <c r="AN578" i="1"/>
  <c r="AO578" i="1"/>
  <c r="AP578" i="1"/>
  <c r="AQ578" i="1"/>
  <c r="AR578" i="1"/>
  <c r="Z577" i="1"/>
  <c r="AA577" i="1"/>
  <c r="AB577" i="1"/>
  <c r="AC577" i="1"/>
  <c r="AD577" i="1"/>
  <c r="AE577" i="1"/>
  <c r="AF577" i="1"/>
  <c r="AG577" i="1"/>
  <c r="AH577" i="1"/>
  <c r="AI577" i="1"/>
  <c r="AJ577" i="1"/>
  <c r="AK577" i="1"/>
  <c r="AL577" i="1"/>
  <c r="AM577" i="1"/>
  <c r="AN577" i="1"/>
  <c r="AO577" i="1"/>
  <c r="AP577" i="1"/>
  <c r="AQ577" i="1"/>
  <c r="AR577" i="1"/>
  <c r="Z576" i="1"/>
  <c r="AA576" i="1"/>
  <c r="AB576" i="1"/>
  <c r="AC576" i="1"/>
  <c r="AD576" i="1"/>
  <c r="AE576" i="1"/>
  <c r="AF576" i="1"/>
  <c r="AG576" i="1"/>
  <c r="AH576" i="1"/>
  <c r="AI576" i="1"/>
  <c r="AJ576" i="1"/>
  <c r="AK576" i="1"/>
  <c r="AL576" i="1"/>
  <c r="AM576" i="1"/>
  <c r="AN576" i="1"/>
  <c r="AO576" i="1"/>
  <c r="AP576" i="1"/>
  <c r="AQ576" i="1"/>
  <c r="AR576" i="1"/>
  <c r="Z575" i="1"/>
  <c r="AA575" i="1"/>
  <c r="AB575" i="1"/>
  <c r="AC575" i="1"/>
  <c r="AD575" i="1"/>
  <c r="AE575" i="1"/>
  <c r="AF575" i="1"/>
  <c r="AG575" i="1"/>
  <c r="AH575" i="1"/>
  <c r="AI575" i="1"/>
  <c r="AJ575" i="1"/>
  <c r="AK575" i="1"/>
  <c r="AL575" i="1"/>
  <c r="AM575" i="1"/>
  <c r="AN575" i="1"/>
  <c r="AO575" i="1"/>
  <c r="AP575" i="1"/>
  <c r="AQ575" i="1"/>
  <c r="AR575" i="1"/>
  <c r="Z574" i="1"/>
  <c r="AA574" i="1"/>
  <c r="AB574" i="1"/>
  <c r="AC574" i="1"/>
  <c r="AD574" i="1"/>
  <c r="AE574" i="1"/>
  <c r="AF574" i="1"/>
  <c r="AG574" i="1"/>
  <c r="AH574" i="1"/>
  <c r="AI574" i="1"/>
  <c r="AJ574" i="1"/>
  <c r="AK574" i="1"/>
  <c r="AL574" i="1"/>
  <c r="AM574" i="1"/>
  <c r="AN574" i="1"/>
  <c r="AO574" i="1"/>
  <c r="AP574" i="1"/>
  <c r="AQ574" i="1"/>
  <c r="AR574" i="1"/>
  <c r="Z573" i="1"/>
  <c r="AA573" i="1"/>
  <c r="AB573" i="1"/>
  <c r="AC573" i="1"/>
  <c r="AD573" i="1"/>
  <c r="AE573" i="1"/>
  <c r="AF573" i="1"/>
  <c r="AG573" i="1"/>
  <c r="AH573" i="1"/>
  <c r="AI573" i="1"/>
  <c r="AJ573" i="1"/>
  <c r="AK573" i="1"/>
  <c r="AL573" i="1"/>
  <c r="AM573" i="1"/>
  <c r="AN573" i="1"/>
  <c r="AO573" i="1"/>
  <c r="AP573" i="1"/>
  <c r="AQ573" i="1"/>
  <c r="AR573" i="1"/>
  <c r="Z572" i="1"/>
  <c r="AA572" i="1"/>
  <c r="AB572" i="1"/>
  <c r="AC572" i="1"/>
  <c r="AD572" i="1"/>
  <c r="AE572" i="1"/>
  <c r="AF572" i="1"/>
  <c r="AG572" i="1"/>
  <c r="AH572" i="1"/>
  <c r="AI572" i="1"/>
  <c r="AJ572" i="1"/>
  <c r="AK572" i="1"/>
  <c r="AL572" i="1"/>
  <c r="AM572" i="1"/>
  <c r="AN572" i="1"/>
  <c r="AO572" i="1"/>
  <c r="AP572" i="1"/>
  <c r="AQ572" i="1"/>
  <c r="AR572" i="1"/>
  <c r="Z571" i="1"/>
  <c r="AA571" i="1"/>
  <c r="AB571" i="1"/>
  <c r="AC571" i="1"/>
  <c r="AD571" i="1"/>
  <c r="AE571" i="1"/>
  <c r="AF571" i="1"/>
  <c r="AG571" i="1"/>
  <c r="AH571" i="1"/>
  <c r="AI571" i="1"/>
  <c r="AJ571" i="1"/>
  <c r="AK571" i="1"/>
  <c r="AL571" i="1"/>
  <c r="AM571" i="1"/>
  <c r="AN571" i="1"/>
  <c r="AO571" i="1"/>
  <c r="AP571" i="1"/>
  <c r="AQ571" i="1"/>
  <c r="AR571" i="1"/>
  <c r="Z570" i="1"/>
  <c r="AA570" i="1"/>
  <c r="AB570" i="1"/>
  <c r="AC570" i="1"/>
  <c r="AD570" i="1"/>
  <c r="AE570" i="1"/>
  <c r="AF570" i="1"/>
  <c r="AG570" i="1"/>
  <c r="AH570" i="1"/>
  <c r="AI570" i="1"/>
  <c r="AJ570" i="1"/>
  <c r="AK570" i="1"/>
  <c r="AL570" i="1"/>
  <c r="AM570" i="1"/>
  <c r="AN570" i="1"/>
  <c r="AO570" i="1"/>
  <c r="AP570" i="1"/>
  <c r="AQ570" i="1"/>
  <c r="AR570" i="1"/>
  <c r="Z569" i="1"/>
  <c r="AA569" i="1"/>
  <c r="AB569" i="1"/>
  <c r="AC569" i="1"/>
  <c r="AD569" i="1"/>
  <c r="AE569" i="1"/>
  <c r="AF569" i="1"/>
  <c r="AG569" i="1"/>
  <c r="AH569" i="1"/>
  <c r="AI569" i="1"/>
  <c r="AJ569" i="1"/>
  <c r="AK569" i="1"/>
  <c r="AL569" i="1"/>
  <c r="AM569" i="1"/>
  <c r="AN569" i="1"/>
  <c r="AO569" i="1"/>
  <c r="AP569" i="1"/>
  <c r="AQ569" i="1"/>
  <c r="AR569" i="1"/>
  <c r="Z568" i="1"/>
  <c r="AA568" i="1"/>
  <c r="AB568" i="1"/>
  <c r="AC568" i="1"/>
  <c r="AD568" i="1"/>
  <c r="AE568" i="1"/>
  <c r="AF568" i="1"/>
  <c r="AG568" i="1"/>
  <c r="AH568" i="1"/>
  <c r="AI568" i="1"/>
  <c r="AJ568" i="1"/>
  <c r="AK568" i="1"/>
  <c r="AL568" i="1"/>
  <c r="AM568" i="1"/>
  <c r="AN568" i="1"/>
  <c r="AO568" i="1"/>
  <c r="AP568" i="1"/>
  <c r="AQ568" i="1"/>
  <c r="AR568" i="1"/>
  <c r="Z567" i="1"/>
  <c r="AA567" i="1"/>
  <c r="AB567" i="1"/>
  <c r="AC567" i="1"/>
  <c r="AD567" i="1"/>
  <c r="AE567" i="1"/>
  <c r="AF567" i="1"/>
  <c r="AG567" i="1"/>
  <c r="AH567" i="1"/>
  <c r="AI567" i="1"/>
  <c r="AJ567" i="1"/>
  <c r="AK567" i="1"/>
  <c r="AL567" i="1"/>
  <c r="AM567" i="1"/>
  <c r="AN567" i="1"/>
  <c r="AO567" i="1"/>
  <c r="AP567" i="1"/>
  <c r="AQ567" i="1"/>
  <c r="AR567" i="1"/>
  <c r="AS583" i="1" l="1"/>
  <c r="AS582" i="1"/>
  <c r="AS581" i="1"/>
  <c r="AS580" i="1"/>
  <c r="AS579" i="1"/>
  <c r="AS578" i="1"/>
  <c r="AS577" i="1"/>
  <c r="AS576" i="1"/>
  <c r="AS575" i="1"/>
  <c r="AS574" i="1"/>
  <c r="AS573" i="1"/>
  <c r="AS572" i="1"/>
  <c r="AS571" i="1"/>
  <c r="AS570" i="1"/>
  <c r="AS569" i="1"/>
  <c r="AS567" i="1"/>
  <c r="AS568" i="1"/>
  <c r="Z566" i="1"/>
  <c r="AA566" i="1"/>
  <c r="AB566" i="1"/>
  <c r="AC566" i="1"/>
  <c r="AD566" i="1"/>
  <c r="AE566" i="1"/>
  <c r="AF566" i="1"/>
  <c r="AG566" i="1"/>
  <c r="AH566" i="1"/>
  <c r="AI566" i="1"/>
  <c r="AJ566" i="1"/>
  <c r="AK566" i="1"/>
  <c r="AL566" i="1"/>
  <c r="AM566" i="1"/>
  <c r="AN566" i="1"/>
  <c r="AO566" i="1"/>
  <c r="AP566" i="1"/>
  <c r="AQ566" i="1"/>
  <c r="AR566" i="1"/>
  <c r="Z565" i="1"/>
  <c r="AA565" i="1"/>
  <c r="AB565" i="1"/>
  <c r="AC565" i="1"/>
  <c r="AD565" i="1"/>
  <c r="AE565" i="1"/>
  <c r="AF565" i="1"/>
  <c r="AG565" i="1"/>
  <c r="AH565" i="1"/>
  <c r="AI565" i="1"/>
  <c r="AJ565" i="1"/>
  <c r="AK565" i="1"/>
  <c r="AL565" i="1"/>
  <c r="AM565" i="1"/>
  <c r="AN565" i="1"/>
  <c r="AO565" i="1"/>
  <c r="AP565" i="1"/>
  <c r="AQ565" i="1"/>
  <c r="AR565" i="1"/>
  <c r="Z564" i="1"/>
  <c r="AA564" i="1"/>
  <c r="AB564" i="1"/>
  <c r="AC564" i="1"/>
  <c r="AD564" i="1"/>
  <c r="AE564" i="1"/>
  <c r="AF564" i="1"/>
  <c r="AG564" i="1"/>
  <c r="AH564" i="1"/>
  <c r="AI564" i="1"/>
  <c r="AJ564" i="1"/>
  <c r="AK564" i="1"/>
  <c r="AL564" i="1"/>
  <c r="AM564" i="1"/>
  <c r="AN564" i="1"/>
  <c r="AO564" i="1"/>
  <c r="AP564" i="1"/>
  <c r="AQ564" i="1"/>
  <c r="AR564" i="1"/>
  <c r="Z563" i="1"/>
  <c r="AA563" i="1"/>
  <c r="AB563" i="1"/>
  <c r="AC563" i="1"/>
  <c r="AD563" i="1"/>
  <c r="AE563" i="1"/>
  <c r="AF563" i="1"/>
  <c r="AG563" i="1"/>
  <c r="AH563" i="1"/>
  <c r="AI563" i="1"/>
  <c r="AJ563" i="1"/>
  <c r="AK563" i="1"/>
  <c r="AL563" i="1"/>
  <c r="AM563" i="1"/>
  <c r="AN563" i="1"/>
  <c r="AO563" i="1"/>
  <c r="AP563" i="1"/>
  <c r="AQ563" i="1"/>
  <c r="AR563" i="1"/>
  <c r="Z562" i="1"/>
  <c r="AA562" i="1"/>
  <c r="AB562" i="1"/>
  <c r="AC562" i="1"/>
  <c r="AD562" i="1"/>
  <c r="AE562" i="1"/>
  <c r="AF562" i="1"/>
  <c r="AG562" i="1"/>
  <c r="AH562" i="1"/>
  <c r="AI562" i="1"/>
  <c r="AJ562" i="1"/>
  <c r="AK562" i="1"/>
  <c r="AL562" i="1"/>
  <c r="AM562" i="1"/>
  <c r="AN562" i="1"/>
  <c r="AO562" i="1"/>
  <c r="AP562" i="1"/>
  <c r="AQ562" i="1"/>
  <c r="AR562" i="1"/>
  <c r="Z561" i="1"/>
  <c r="AA561" i="1"/>
  <c r="AB561" i="1"/>
  <c r="AC561" i="1"/>
  <c r="AD561" i="1"/>
  <c r="AE561" i="1"/>
  <c r="AF561" i="1"/>
  <c r="AG561" i="1"/>
  <c r="AH561" i="1"/>
  <c r="AI561" i="1"/>
  <c r="AJ561" i="1"/>
  <c r="AK561" i="1"/>
  <c r="AL561" i="1"/>
  <c r="AM561" i="1"/>
  <c r="AN561" i="1"/>
  <c r="AO561" i="1"/>
  <c r="AP561" i="1"/>
  <c r="AQ561" i="1"/>
  <c r="AR561" i="1"/>
  <c r="Z560" i="1"/>
  <c r="AA560" i="1"/>
  <c r="AB560" i="1"/>
  <c r="AC560" i="1"/>
  <c r="AD560" i="1"/>
  <c r="AE560" i="1"/>
  <c r="AF560" i="1"/>
  <c r="AG560" i="1"/>
  <c r="AH560" i="1"/>
  <c r="AI560" i="1"/>
  <c r="AJ560" i="1"/>
  <c r="AK560" i="1"/>
  <c r="AL560" i="1"/>
  <c r="AM560" i="1"/>
  <c r="AN560" i="1"/>
  <c r="AO560" i="1"/>
  <c r="AP560" i="1"/>
  <c r="AQ560" i="1"/>
  <c r="AR560" i="1"/>
  <c r="Z559" i="1"/>
  <c r="AA559" i="1"/>
  <c r="AB559" i="1"/>
  <c r="AC559" i="1"/>
  <c r="AD559" i="1"/>
  <c r="AE559" i="1"/>
  <c r="AF559" i="1"/>
  <c r="AG559" i="1"/>
  <c r="AH559" i="1"/>
  <c r="AI559" i="1"/>
  <c r="AJ559" i="1"/>
  <c r="AK559" i="1"/>
  <c r="AL559" i="1"/>
  <c r="AM559" i="1"/>
  <c r="AN559" i="1"/>
  <c r="AO559" i="1"/>
  <c r="AP559" i="1"/>
  <c r="AQ559" i="1"/>
  <c r="AR559" i="1"/>
  <c r="Z558" i="1"/>
  <c r="AA558" i="1"/>
  <c r="AB558" i="1"/>
  <c r="AC558" i="1"/>
  <c r="AD558" i="1"/>
  <c r="AE558" i="1"/>
  <c r="AF558" i="1"/>
  <c r="AG558" i="1"/>
  <c r="AH558" i="1"/>
  <c r="AI558" i="1"/>
  <c r="AJ558" i="1"/>
  <c r="AK558" i="1"/>
  <c r="AL558" i="1"/>
  <c r="AM558" i="1"/>
  <c r="AN558" i="1"/>
  <c r="AO558" i="1"/>
  <c r="AP558" i="1"/>
  <c r="AQ558" i="1"/>
  <c r="AR558" i="1"/>
  <c r="Z557" i="1"/>
  <c r="AA557" i="1"/>
  <c r="AB557" i="1"/>
  <c r="AC557" i="1"/>
  <c r="AD557" i="1"/>
  <c r="AE557" i="1"/>
  <c r="AF557" i="1"/>
  <c r="AG557" i="1"/>
  <c r="AH557" i="1"/>
  <c r="AI557" i="1"/>
  <c r="AJ557" i="1"/>
  <c r="AK557" i="1"/>
  <c r="AL557" i="1"/>
  <c r="AM557" i="1"/>
  <c r="AN557" i="1"/>
  <c r="AO557" i="1"/>
  <c r="AP557" i="1"/>
  <c r="AQ557" i="1"/>
  <c r="AR557" i="1"/>
  <c r="Z556" i="1"/>
  <c r="AA556" i="1"/>
  <c r="AB556" i="1"/>
  <c r="AC556" i="1"/>
  <c r="AD556" i="1"/>
  <c r="AE556" i="1"/>
  <c r="AF556" i="1"/>
  <c r="AG556" i="1"/>
  <c r="AH556" i="1"/>
  <c r="AI556" i="1"/>
  <c r="AJ556" i="1"/>
  <c r="AK556" i="1"/>
  <c r="AL556" i="1"/>
  <c r="AM556" i="1"/>
  <c r="AN556" i="1"/>
  <c r="AO556" i="1"/>
  <c r="AP556" i="1"/>
  <c r="AQ556" i="1"/>
  <c r="AR556" i="1"/>
  <c r="Z555" i="1"/>
  <c r="AA555" i="1"/>
  <c r="AB555" i="1"/>
  <c r="AC555" i="1"/>
  <c r="AD555" i="1"/>
  <c r="AE555" i="1"/>
  <c r="AF555" i="1"/>
  <c r="AG555" i="1"/>
  <c r="AH555" i="1"/>
  <c r="AI555" i="1"/>
  <c r="AJ555" i="1"/>
  <c r="AK555" i="1"/>
  <c r="AL555" i="1"/>
  <c r="AM555" i="1"/>
  <c r="AN555" i="1"/>
  <c r="AO555" i="1"/>
  <c r="AP555" i="1"/>
  <c r="AQ555" i="1"/>
  <c r="AR555" i="1"/>
  <c r="Z554" i="1"/>
  <c r="AA554" i="1"/>
  <c r="AB554" i="1"/>
  <c r="AC554" i="1"/>
  <c r="AD554" i="1"/>
  <c r="AE554" i="1"/>
  <c r="AF554" i="1"/>
  <c r="AG554" i="1"/>
  <c r="AH554" i="1"/>
  <c r="AI554" i="1"/>
  <c r="AJ554" i="1"/>
  <c r="AK554" i="1"/>
  <c r="AL554" i="1"/>
  <c r="AM554" i="1"/>
  <c r="AN554" i="1"/>
  <c r="AO554" i="1"/>
  <c r="AP554" i="1"/>
  <c r="AQ554" i="1"/>
  <c r="AR554" i="1"/>
  <c r="AS566" i="1" l="1"/>
  <c r="AS565" i="1"/>
  <c r="AS564" i="1"/>
  <c r="AS563" i="1"/>
  <c r="AS562" i="1"/>
  <c r="AS561" i="1"/>
  <c r="AS559" i="1"/>
  <c r="AS560" i="1"/>
  <c r="AS558" i="1"/>
  <c r="AS557" i="1"/>
  <c r="AS556" i="1"/>
  <c r="AS555" i="1"/>
  <c r="AS554" i="1"/>
  <c r="Z553" i="1"/>
  <c r="AA553" i="1"/>
  <c r="AB553" i="1"/>
  <c r="AC553" i="1"/>
  <c r="AD553" i="1"/>
  <c r="AE553" i="1"/>
  <c r="AF553" i="1"/>
  <c r="AG553" i="1"/>
  <c r="AH553" i="1"/>
  <c r="AI553" i="1"/>
  <c r="AJ553" i="1"/>
  <c r="AK553" i="1"/>
  <c r="AL553" i="1"/>
  <c r="AM553" i="1"/>
  <c r="AN553" i="1"/>
  <c r="AO553" i="1"/>
  <c r="AP553" i="1"/>
  <c r="AQ553" i="1"/>
  <c r="AR553" i="1"/>
  <c r="Z552" i="1"/>
  <c r="AA552" i="1"/>
  <c r="AB552" i="1"/>
  <c r="AC552" i="1"/>
  <c r="AD552" i="1"/>
  <c r="AE552" i="1"/>
  <c r="AF552" i="1"/>
  <c r="AG552" i="1"/>
  <c r="AH552" i="1"/>
  <c r="AI552" i="1"/>
  <c r="AJ552" i="1"/>
  <c r="AK552" i="1"/>
  <c r="AL552" i="1"/>
  <c r="AM552" i="1"/>
  <c r="AN552" i="1"/>
  <c r="AO552" i="1"/>
  <c r="AP552" i="1"/>
  <c r="AQ552" i="1"/>
  <c r="AR552" i="1"/>
  <c r="Z551" i="1"/>
  <c r="AA551" i="1"/>
  <c r="AB551" i="1"/>
  <c r="AC551" i="1"/>
  <c r="AD551" i="1"/>
  <c r="AE551" i="1"/>
  <c r="AF551" i="1"/>
  <c r="AG551" i="1"/>
  <c r="AH551" i="1"/>
  <c r="AI551" i="1"/>
  <c r="AJ551" i="1"/>
  <c r="AK551" i="1"/>
  <c r="AL551" i="1"/>
  <c r="AM551" i="1"/>
  <c r="AN551" i="1"/>
  <c r="AO551" i="1"/>
  <c r="AP551" i="1"/>
  <c r="AQ551" i="1"/>
  <c r="AR551" i="1"/>
  <c r="Z550" i="1"/>
  <c r="AA550" i="1"/>
  <c r="AB550" i="1"/>
  <c r="AC550" i="1"/>
  <c r="AD550" i="1"/>
  <c r="AE550" i="1"/>
  <c r="AF550" i="1"/>
  <c r="AG550" i="1"/>
  <c r="AH550" i="1"/>
  <c r="AI550" i="1"/>
  <c r="AJ550" i="1"/>
  <c r="AK550" i="1"/>
  <c r="AL550" i="1"/>
  <c r="AM550" i="1"/>
  <c r="AN550" i="1"/>
  <c r="AO550" i="1"/>
  <c r="AP550" i="1"/>
  <c r="AQ550" i="1"/>
  <c r="AR550" i="1"/>
  <c r="Z549" i="1"/>
  <c r="AA549" i="1"/>
  <c r="AB549" i="1"/>
  <c r="AC549" i="1"/>
  <c r="AD549" i="1"/>
  <c r="AE549" i="1"/>
  <c r="AF549" i="1"/>
  <c r="AG549" i="1"/>
  <c r="AH549" i="1"/>
  <c r="AI549" i="1"/>
  <c r="AJ549" i="1"/>
  <c r="AK549" i="1"/>
  <c r="AL549" i="1"/>
  <c r="AM549" i="1"/>
  <c r="AN549" i="1"/>
  <c r="AO549" i="1"/>
  <c r="AP549" i="1"/>
  <c r="AQ549" i="1"/>
  <c r="AR549" i="1"/>
  <c r="Z548" i="1"/>
  <c r="AA548" i="1"/>
  <c r="AB548" i="1"/>
  <c r="AC548" i="1"/>
  <c r="AD548" i="1"/>
  <c r="AE548" i="1"/>
  <c r="AF548" i="1"/>
  <c r="AG548" i="1"/>
  <c r="AH548" i="1"/>
  <c r="AI548" i="1"/>
  <c r="AJ548" i="1"/>
  <c r="AK548" i="1"/>
  <c r="AL548" i="1"/>
  <c r="AM548" i="1"/>
  <c r="AN548" i="1"/>
  <c r="AO548" i="1"/>
  <c r="AP548" i="1"/>
  <c r="AQ548" i="1"/>
  <c r="AR548" i="1"/>
  <c r="Z547" i="1"/>
  <c r="AA547" i="1"/>
  <c r="AB547" i="1"/>
  <c r="AC547" i="1"/>
  <c r="AD547" i="1"/>
  <c r="AE547" i="1"/>
  <c r="AF547" i="1"/>
  <c r="AG547" i="1"/>
  <c r="AH547" i="1"/>
  <c r="AI547" i="1"/>
  <c r="AJ547" i="1"/>
  <c r="AK547" i="1"/>
  <c r="AL547" i="1"/>
  <c r="AM547" i="1"/>
  <c r="AN547" i="1"/>
  <c r="AO547" i="1"/>
  <c r="AP547" i="1"/>
  <c r="AQ547" i="1"/>
  <c r="AR547" i="1"/>
  <c r="Z546" i="1"/>
  <c r="AA546" i="1"/>
  <c r="AB546" i="1"/>
  <c r="AC546" i="1"/>
  <c r="AD546" i="1"/>
  <c r="AE546" i="1"/>
  <c r="AF546" i="1"/>
  <c r="AG546" i="1"/>
  <c r="AH546" i="1"/>
  <c r="AI546" i="1"/>
  <c r="AJ546" i="1"/>
  <c r="AK546" i="1"/>
  <c r="AL546" i="1"/>
  <c r="AM546" i="1"/>
  <c r="AN546" i="1"/>
  <c r="AO546" i="1"/>
  <c r="AP546" i="1"/>
  <c r="AQ546" i="1"/>
  <c r="AR546" i="1"/>
  <c r="Z545" i="1"/>
  <c r="AA545" i="1"/>
  <c r="AB545" i="1"/>
  <c r="AC545" i="1"/>
  <c r="AD545" i="1"/>
  <c r="AE545" i="1"/>
  <c r="AF545" i="1"/>
  <c r="AG545" i="1"/>
  <c r="AH545" i="1"/>
  <c r="AI545" i="1"/>
  <c r="AJ545" i="1"/>
  <c r="AK545" i="1"/>
  <c r="AL545" i="1"/>
  <c r="AM545" i="1"/>
  <c r="AN545" i="1"/>
  <c r="AO545" i="1"/>
  <c r="AP545" i="1"/>
  <c r="AQ545" i="1"/>
  <c r="AR545" i="1"/>
  <c r="Z544" i="1"/>
  <c r="AA544" i="1"/>
  <c r="AB544" i="1"/>
  <c r="AC544" i="1"/>
  <c r="AD544" i="1"/>
  <c r="AE544" i="1"/>
  <c r="AF544" i="1"/>
  <c r="AG544" i="1"/>
  <c r="AH544" i="1"/>
  <c r="AI544" i="1"/>
  <c r="AJ544" i="1"/>
  <c r="AK544" i="1"/>
  <c r="AL544" i="1"/>
  <c r="AM544" i="1"/>
  <c r="AN544" i="1"/>
  <c r="AO544" i="1"/>
  <c r="AP544" i="1"/>
  <c r="AQ544" i="1"/>
  <c r="AR544" i="1"/>
  <c r="Z543" i="1"/>
  <c r="AA543" i="1"/>
  <c r="AB543" i="1"/>
  <c r="AC543" i="1"/>
  <c r="AD543" i="1"/>
  <c r="AE543" i="1"/>
  <c r="AF543" i="1"/>
  <c r="AG543" i="1"/>
  <c r="AH543" i="1"/>
  <c r="AI543" i="1"/>
  <c r="AJ543" i="1"/>
  <c r="AK543" i="1"/>
  <c r="AL543" i="1"/>
  <c r="AM543" i="1"/>
  <c r="AN543" i="1"/>
  <c r="AO543" i="1"/>
  <c r="AP543" i="1"/>
  <c r="AQ543" i="1"/>
  <c r="AR543" i="1"/>
  <c r="Z542" i="1"/>
  <c r="AA542" i="1"/>
  <c r="AB542" i="1"/>
  <c r="AC542" i="1"/>
  <c r="AD542" i="1"/>
  <c r="AE542" i="1"/>
  <c r="AF542" i="1"/>
  <c r="AG542" i="1"/>
  <c r="AH542" i="1"/>
  <c r="AI542" i="1"/>
  <c r="AJ542" i="1"/>
  <c r="AK542" i="1"/>
  <c r="AL542" i="1"/>
  <c r="AM542" i="1"/>
  <c r="AN542" i="1"/>
  <c r="AO542" i="1"/>
  <c r="AP542" i="1"/>
  <c r="AQ542" i="1"/>
  <c r="AR542" i="1"/>
  <c r="Z541" i="1"/>
  <c r="AA541" i="1"/>
  <c r="AB541" i="1"/>
  <c r="AC541" i="1"/>
  <c r="AD541" i="1"/>
  <c r="AE541" i="1"/>
  <c r="AF541" i="1"/>
  <c r="AG541" i="1"/>
  <c r="AH541" i="1"/>
  <c r="AI541" i="1"/>
  <c r="AJ541" i="1"/>
  <c r="AK541" i="1"/>
  <c r="AL541" i="1"/>
  <c r="AM541" i="1"/>
  <c r="AN541" i="1"/>
  <c r="AO541" i="1"/>
  <c r="AP541" i="1"/>
  <c r="AQ541" i="1"/>
  <c r="AR541" i="1"/>
  <c r="Z540" i="1"/>
  <c r="AA540" i="1"/>
  <c r="AB540" i="1"/>
  <c r="AC540" i="1"/>
  <c r="AD540" i="1"/>
  <c r="AE540" i="1"/>
  <c r="AF540" i="1"/>
  <c r="AG540" i="1"/>
  <c r="AH540" i="1"/>
  <c r="AI540" i="1"/>
  <c r="AJ540" i="1"/>
  <c r="AK540" i="1"/>
  <c r="AL540" i="1"/>
  <c r="AM540" i="1"/>
  <c r="AN540" i="1"/>
  <c r="AO540" i="1"/>
  <c r="AP540" i="1"/>
  <c r="AQ540" i="1"/>
  <c r="AR540" i="1"/>
  <c r="Z539" i="1"/>
  <c r="AA539" i="1"/>
  <c r="AB539" i="1"/>
  <c r="AC539" i="1"/>
  <c r="AD539" i="1"/>
  <c r="AE539" i="1"/>
  <c r="AF539" i="1"/>
  <c r="AG539" i="1"/>
  <c r="AH539" i="1"/>
  <c r="AI539" i="1"/>
  <c r="AJ539" i="1"/>
  <c r="AK539" i="1"/>
  <c r="AL539" i="1"/>
  <c r="AM539" i="1"/>
  <c r="AN539" i="1"/>
  <c r="AO539" i="1"/>
  <c r="AP539" i="1"/>
  <c r="AQ539" i="1"/>
  <c r="AR539" i="1"/>
  <c r="Z538" i="1"/>
  <c r="AA538" i="1"/>
  <c r="AB538" i="1"/>
  <c r="AC538" i="1"/>
  <c r="AD538" i="1"/>
  <c r="AE538" i="1"/>
  <c r="AF538" i="1"/>
  <c r="AG538" i="1"/>
  <c r="AH538" i="1"/>
  <c r="AI538" i="1"/>
  <c r="AJ538" i="1"/>
  <c r="AK538" i="1"/>
  <c r="AL538" i="1"/>
  <c r="AM538" i="1"/>
  <c r="AN538" i="1"/>
  <c r="AO538" i="1"/>
  <c r="AP538" i="1"/>
  <c r="AQ538" i="1"/>
  <c r="AR538" i="1"/>
  <c r="Z537" i="1"/>
  <c r="AA537" i="1"/>
  <c r="AB537" i="1"/>
  <c r="AC537" i="1"/>
  <c r="AD537" i="1"/>
  <c r="AE537" i="1"/>
  <c r="AF537" i="1"/>
  <c r="AG537" i="1"/>
  <c r="AH537" i="1"/>
  <c r="AI537" i="1"/>
  <c r="AJ537" i="1"/>
  <c r="AK537" i="1"/>
  <c r="AL537" i="1"/>
  <c r="AM537" i="1"/>
  <c r="AN537" i="1"/>
  <c r="AO537" i="1"/>
  <c r="AP537" i="1"/>
  <c r="AQ537" i="1"/>
  <c r="AR537" i="1"/>
  <c r="Z536" i="1"/>
  <c r="AA536" i="1"/>
  <c r="AB536" i="1"/>
  <c r="AC536" i="1"/>
  <c r="AD536" i="1"/>
  <c r="AE536" i="1"/>
  <c r="AF536" i="1"/>
  <c r="AG536" i="1"/>
  <c r="AH536" i="1"/>
  <c r="AI536" i="1"/>
  <c r="AJ536" i="1"/>
  <c r="AK536" i="1"/>
  <c r="AL536" i="1"/>
  <c r="AM536" i="1"/>
  <c r="AN536" i="1"/>
  <c r="AO536" i="1"/>
  <c r="AP536" i="1"/>
  <c r="AQ536" i="1"/>
  <c r="AR536" i="1"/>
  <c r="Z535" i="1"/>
  <c r="AA535" i="1"/>
  <c r="AB535" i="1"/>
  <c r="AC535" i="1"/>
  <c r="AD535" i="1"/>
  <c r="AE535" i="1"/>
  <c r="AF535" i="1"/>
  <c r="AG535" i="1"/>
  <c r="AH535" i="1"/>
  <c r="AI535" i="1"/>
  <c r="AJ535" i="1"/>
  <c r="AK535" i="1"/>
  <c r="AL535" i="1"/>
  <c r="AM535" i="1"/>
  <c r="AN535" i="1"/>
  <c r="AO535" i="1"/>
  <c r="AP535" i="1"/>
  <c r="AQ535" i="1"/>
  <c r="AR535" i="1"/>
  <c r="Z534" i="1"/>
  <c r="AA534" i="1"/>
  <c r="AB534" i="1"/>
  <c r="AC534" i="1"/>
  <c r="AD534" i="1"/>
  <c r="AE534" i="1"/>
  <c r="AF534" i="1"/>
  <c r="AG534" i="1"/>
  <c r="AH534" i="1"/>
  <c r="AI534" i="1"/>
  <c r="AJ534" i="1"/>
  <c r="AK534" i="1"/>
  <c r="AL534" i="1"/>
  <c r="AM534" i="1"/>
  <c r="AN534" i="1"/>
  <c r="AO534" i="1"/>
  <c r="AP534" i="1"/>
  <c r="AQ534" i="1"/>
  <c r="AR534" i="1"/>
  <c r="Z533" i="1"/>
  <c r="AA533" i="1"/>
  <c r="AB533" i="1"/>
  <c r="AC533" i="1"/>
  <c r="AD533" i="1"/>
  <c r="AE533" i="1"/>
  <c r="AF533" i="1"/>
  <c r="AG533" i="1"/>
  <c r="AH533" i="1"/>
  <c r="AI533" i="1"/>
  <c r="AJ533" i="1"/>
  <c r="AK533" i="1"/>
  <c r="AL533" i="1"/>
  <c r="AM533" i="1"/>
  <c r="AN533" i="1"/>
  <c r="AO533" i="1"/>
  <c r="AP533" i="1"/>
  <c r="AQ533" i="1"/>
  <c r="AR533" i="1"/>
  <c r="Z532" i="1"/>
  <c r="AA532" i="1"/>
  <c r="AB532" i="1"/>
  <c r="AC532" i="1"/>
  <c r="AD532" i="1"/>
  <c r="AE532" i="1"/>
  <c r="AF532" i="1"/>
  <c r="AG532" i="1"/>
  <c r="AH532" i="1"/>
  <c r="AI532" i="1"/>
  <c r="AJ532" i="1"/>
  <c r="AK532" i="1"/>
  <c r="AL532" i="1"/>
  <c r="AM532" i="1"/>
  <c r="AN532" i="1"/>
  <c r="AO532" i="1"/>
  <c r="AP532" i="1"/>
  <c r="AQ532" i="1"/>
  <c r="AR532" i="1"/>
  <c r="Z531" i="1"/>
  <c r="AA531" i="1"/>
  <c r="AB531" i="1"/>
  <c r="AC531" i="1"/>
  <c r="AD531" i="1"/>
  <c r="AE531" i="1"/>
  <c r="AF531" i="1"/>
  <c r="AG531" i="1"/>
  <c r="AH531" i="1"/>
  <c r="AI531" i="1"/>
  <c r="AJ531" i="1"/>
  <c r="AK531" i="1"/>
  <c r="AL531" i="1"/>
  <c r="AM531" i="1"/>
  <c r="AN531" i="1"/>
  <c r="AO531" i="1"/>
  <c r="AP531" i="1"/>
  <c r="AQ531" i="1"/>
  <c r="AR531" i="1"/>
  <c r="Z530" i="1"/>
  <c r="AA530" i="1"/>
  <c r="AB530" i="1"/>
  <c r="AC530" i="1"/>
  <c r="AD530" i="1"/>
  <c r="AE530" i="1"/>
  <c r="AF530" i="1"/>
  <c r="AG530" i="1"/>
  <c r="AH530" i="1"/>
  <c r="AI530" i="1"/>
  <c r="AJ530" i="1"/>
  <c r="AK530" i="1"/>
  <c r="AL530" i="1"/>
  <c r="AM530" i="1"/>
  <c r="AN530" i="1"/>
  <c r="AO530" i="1"/>
  <c r="AP530" i="1"/>
  <c r="AQ530" i="1"/>
  <c r="AR530" i="1"/>
  <c r="Z529" i="1"/>
  <c r="AA529" i="1"/>
  <c r="AB529" i="1"/>
  <c r="AC529" i="1"/>
  <c r="AD529" i="1"/>
  <c r="AE529" i="1"/>
  <c r="AF529" i="1"/>
  <c r="AG529" i="1"/>
  <c r="AH529" i="1"/>
  <c r="AI529" i="1"/>
  <c r="AJ529" i="1"/>
  <c r="AK529" i="1"/>
  <c r="AL529" i="1"/>
  <c r="AM529" i="1"/>
  <c r="AN529" i="1"/>
  <c r="AO529" i="1"/>
  <c r="AP529" i="1"/>
  <c r="AQ529" i="1"/>
  <c r="AR529" i="1"/>
  <c r="AS550" i="1" l="1"/>
  <c r="AS553" i="1"/>
  <c r="AS552" i="1"/>
  <c r="AS551" i="1"/>
  <c r="AS549" i="1"/>
  <c r="AS548" i="1"/>
  <c r="AS547" i="1"/>
  <c r="AS546" i="1"/>
  <c r="AS545" i="1"/>
  <c r="AS544" i="1"/>
  <c r="AS543" i="1"/>
  <c r="AS542" i="1"/>
  <c r="AS541" i="1"/>
  <c r="AS540" i="1"/>
  <c r="AS539" i="1"/>
  <c r="AS538" i="1"/>
  <c r="AS537" i="1"/>
  <c r="AS536" i="1"/>
  <c r="AS535" i="1"/>
  <c r="AS534" i="1"/>
  <c r="AS533" i="1"/>
  <c r="AS532" i="1"/>
  <c r="AS530" i="1"/>
  <c r="AS531" i="1"/>
  <c r="AS529" i="1"/>
  <c r="Z528" i="1"/>
  <c r="AA528" i="1"/>
  <c r="AB528" i="1"/>
  <c r="AC528" i="1"/>
  <c r="AD528" i="1"/>
  <c r="AE528" i="1"/>
  <c r="AF528" i="1"/>
  <c r="AG528" i="1"/>
  <c r="AH528" i="1"/>
  <c r="AI528" i="1"/>
  <c r="AJ528" i="1"/>
  <c r="AK528" i="1"/>
  <c r="AL528" i="1"/>
  <c r="AM528" i="1"/>
  <c r="AN528" i="1"/>
  <c r="AO528" i="1"/>
  <c r="AP528" i="1"/>
  <c r="AQ528" i="1"/>
  <c r="AR528" i="1"/>
  <c r="Z527" i="1"/>
  <c r="AA527" i="1"/>
  <c r="AB527" i="1"/>
  <c r="AC527" i="1"/>
  <c r="AD527" i="1"/>
  <c r="AE527" i="1"/>
  <c r="AF527" i="1"/>
  <c r="AG527" i="1"/>
  <c r="AH527" i="1"/>
  <c r="AI527" i="1"/>
  <c r="AJ527" i="1"/>
  <c r="AK527" i="1"/>
  <c r="AL527" i="1"/>
  <c r="AM527" i="1"/>
  <c r="AN527" i="1"/>
  <c r="AO527" i="1"/>
  <c r="AP527" i="1"/>
  <c r="AQ527" i="1"/>
  <c r="AR527" i="1"/>
  <c r="Z526" i="1"/>
  <c r="AA526" i="1"/>
  <c r="AB526" i="1"/>
  <c r="AC526" i="1"/>
  <c r="AD526" i="1"/>
  <c r="AE526" i="1"/>
  <c r="AF526" i="1"/>
  <c r="AG526" i="1"/>
  <c r="AH526" i="1"/>
  <c r="AI526" i="1"/>
  <c r="AJ526" i="1"/>
  <c r="AK526" i="1"/>
  <c r="AL526" i="1"/>
  <c r="AM526" i="1"/>
  <c r="AN526" i="1"/>
  <c r="AO526" i="1"/>
  <c r="AP526" i="1"/>
  <c r="AQ526" i="1"/>
  <c r="AR526" i="1"/>
  <c r="Z525" i="1"/>
  <c r="AA525" i="1"/>
  <c r="AB525" i="1"/>
  <c r="AC525" i="1"/>
  <c r="AD525" i="1"/>
  <c r="AE525" i="1"/>
  <c r="AF525" i="1"/>
  <c r="AG525" i="1"/>
  <c r="AH525" i="1"/>
  <c r="AI525" i="1"/>
  <c r="AJ525" i="1"/>
  <c r="AK525" i="1"/>
  <c r="AL525" i="1"/>
  <c r="AM525" i="1"/>
  <c r="AN525" i="1"/>
  <c r="AO525" i="1"/>
  <c r="AP525" i="1"/>
  <c r="AQ525" i="1"/>
  <c r="AR525" i="1"/>
  <c r="Z524" i="1"/>
  <c r="AA524" i="1"/>
  <c r="AB524" i="1"/>
  <c r="AC524" i="1"/>
  <c r="AD524" i="1"/>
  <c r="AE524" i="1"/>
  <c r="AF524" i="1"/>
  <c r="AG524" i="1"/>
  <c r="AH524" i="1"/>
  <c r="AI524" i="1"/>
  <c r="AJ524" i="1"/>
  <c r="AK524" i="1"/>
  <c r="AL524" i="1"/>
  <c r="AM524" i="1"/>
  <c r="AN524" i="1"/>
  <c r="AO524" i="1"/>
  <c r="AP524" i="1"/>
  <c r="AQ524" i="1"/>
  <c r="AR524" i="1"/>
  <c r="Z523" i="1"/>
  <c r="AA523" i="1"/>
  <c r="AB523" i="1"/>
  <c r="AC523" i="1"/>
  <c r="AD523" i="1"/>
  <c r="AE523" i="1"/>
  <c r="AF523" i="1"/>
  <c r="AG523" i="1"/>
  <c r="AH523" i="1"/>
  <c r="AI523" i="1"/>
  <c r="AJ523" i="1"/>
  <c r="AK523" i="1"/>
  <c r="AL523" i="1"/>
  <c r="AM523" i="1"/>
  <c r="AN523" i="1"/>
  <c r="AO523" i="1"/>
  <c r="AP523" i="1"/>
  <c r="AQ523" i="1"/>
  <c r="AR523" i="1"/>
  <c r="Z522" i="1"/>
  <c r="AA522" i="1"/>
  <c r="AB522" i="1"/>
  <c r="AC522" i="1"/>
  <c r="AD522" i="1"/>
  <c r="AE522" i="1"/>
  <c r="AF522" i="1"/>
  <c r="AG522" i="1"/>
  <c r="AH522" i="1"/>
  <c r="AI522" i="1"/>
  <c r="AJ522" i="1"/>
  <c r="AK522" i="1"/>
  <c r="AL522" i="1"/>
  <c r="AM522" i="1"/>
  <c r="AN522" i="1"/>
  <c r="AO522" i="1"/>
  <c r="AP522" i="1"/>
  <c r="AQ522" i="1"/>
  <c r="AR522" i="1"/>
  <c r="Z521" i="1"/>
  <c r="AA521" i="1"/>
  <c r="AB521" i="1"/>
  <c r="AC521" i="1"/>
  <c r="AD521" i="1"/>
  <c r="AE521" i="1"/>
  <c r="AF521" i="1"/>
  <c r="AG521" i="1"/>
  <c r="AH521" i="1"/>
  <c r="AI521" i="1"/>
  <c r="AJ521" i="1"/>
  <c r="AK521" i="1"/>
  <c r="AL521" i="1"/>
  <c r="AM521" i="1"/>
  <c r="AN521" i="1"/>
  <c r="AO521" i="1"/>
  <c r="AP521" i="1"/>
  <c r="AQ521" i="1"/>
  <c r="AR521" i="1"/>
  <c r="Z520" i="1"/>
  <c r="AA520" i="1"/>
  <c r="AB520" i="1"/>
  <c r="AC520" i="1"/>
  <c r="AD520" i="1"/>
  <c r="AE520" i="1"/>
  <c r="AF520" i="1"/>
  <c r="AG520" i="1"/>
  <c r="AH520" i="1"/>
  <c r="AI520" i="1"/>
  <c r="AJ520" i="1"/>
  <c r="AK520" i="1"/>
  <c r="AL520" i="1"/>
  <c r="AM520" i="1"/>
  <c r="AN520" i="1"/>
  <c r="AO520" i="1"/>
  <c r="AP520" i="1"/>
  <c r="AQ520" i="1"/>
  <c r="AR520" i="1"/>
  <c r="Z519" i="1"/>
  <c r="AA519" i="1"/>
  <c r="AB519" i="1"/>
  <c r="AC519" i="1"/>
  <c r="AD519" i="1"/>
  <c r="AE519" i="1"/>
  <c r="AF519" i="1"/>
  <c r="AG519" i="1"/>
  <c r="AH519" i="1"/>
  <c r="AI519" i="1"/>
  <c r="AJ519" i="1"/>
  <c r="AK519" i="1"/>
  <c r="AL519" i="1"/>
  <c r="AM519" i="1"/>
  <c r="AN519" i="1"/>
  <c r="AO519" i="1"/>
  <c r="AP519" i="1"/>
  <c r="AQ519" i="1"/>
  <c r="AR519" i="1"/>
  <c r="Z518" i="1"/>
  <c r="AA518" i="1"/>
  <c r="AB518" i="1"/>
  <c r="AC518" i="1"/>
  <c r="AD518" i="1"/>
  <c r="AE518" i="1"/>
  <c r="AF518" i="1"/>
  <c r="AG518" i="1"/>
  <c r="AH518" i="1"/>
  <c r="AI518" i="1"/>
  <c r="AJ518" i="1"/>
  <c r="AK518" i="1"/>
  <c r="AL518" i="1"/>
  <c r="AM518" i="1"/>
  <c r="AN518" i="1"/>
  <c r="AO518" i="1"/>
  <c r="AP518" i="1"/>
  <c r="AQ518" i="1"/>
  <c r="AR518" i="1"/>
  <c r="Z517" i="1"/>
  <c r="AA517" i="1"/>
  <c r="AB517" i="1"/>
  <c r="AC517" i="1"/>
  <c r="AD517" i="1"/>
  <c r="AE517" i="1"/>
  <c r="AF517" i="1"/>
  <c r="AG517" i="1"/>
  <c r="AH517" i="1"/>
  <c r="AI517" i="1"/>
  <c r="AJ517" i="1"/>
  <c r="AK517" i="1"/>
  <c r="AL517" i="1"/>
  <c r="AM517" i="1"/>
  <c r="AN517" i="1"/>
  <c r="AO517" i="1"/>
  <c r="AP517" i="1"/>
  <c r="AQ517" i="1"/>
  <c r="AR517" i="1"/>
  <c r="Z516" i="1"/>
  <c r="AA516" i="1"/>
  <c r="AB516" i="1"/>
  <c r="AC516" i="1"/>
  <c r="AD516" i="1"/>
  <c r="AE516" i="1"/>
  <c r="AF516" i="1"/>
  <c r="AG516" i="1"/>
  <c r="AH516" i="1"/>
  <c r="AI516" i="1"/>
  <c r="AJ516" i="1"/>
  <c r="AK516" i="1"/>
  <c r="AL516" i="1"/>
  <c r="AM516" i="1"/>
  <c r="AN516" i="1"/>
  <c r="AO516" i="1"/>
  <c r="AP516" i="1"/>
  <c r="AQ516" i="1"/>
  <c r="AR516" i="1"/>
  <c r="Z515" i="1"/>
  <c r="AA515" i="1"/>
  <c r="AB515" i="1"/>
  <c r="AC515" i="1"/>
  <c r="AD515" i="1"/>
  <c r="AE515" i="1"/>
  <c r="AF515" i="1"/>
  <c r="AG515" i="1"/>
  <c r="AH515" i="1"/>
  <c r="AI515" i="1"/>
  <c r="AJ515" i="1"/>
  <c r="AK515" i="1"/>
  <c r="AL515" i="1"/>
  <c r="AM515" i="1"/>
  <c r="AN515" i="1"/>
  <c r="AO515" i="1"/>
  <c r="AP515" i="1"/>
  <c r="AQ515" i="1"/>
  <c r="AR515" i="1"/>
  <c r="Z514" i="1"/>
  <c r="AA514" i="1"/>
  <c r="AB514" i="1"/>
  <c r="AC514" i="1"/>
  <c r="AD514" i="1"/>
  <c r="AE514" i="1"/>
  <c r="AF514" i="1"/>
  <c r="AG514" i="1"/>
  <c r="AH514" i="1"/>
  <c r="AI514" i="1"/>
  <c r="AJ514" i="1"/>
  <c r="AK514" i="1"/>
  <c r="AL514" i="1"/>
  <c r="AM514" i="1"/>
  <c r="AN514" i="1"/>
  <c r="AO514" i="1"/>
  <c r="AP514" i="1"/>
  <c r="AQ514" i="1"/>
  <c r="AR514" i="1"/>
  <c r="Z513" i="1"/>
  <c r="AA513" i="1"/>
  <c r="AB513" i="1"/>
  <c r="AC513" i="1"/>
  <c r="AD513" i="1"/>
  <c r="AE513" i="1"/>
  <c r="AF513" i="1"/>
  <c r="AG513" i="1"/>
  <c r="AH513" i="1"/>
  <c r="AI513" i="1"/>
  <c r="AJ513" i="1"/>
  <c r="AK513" i="1"/>
  <c r="AL513" i="1"/>
  <c r="AM513" i="1"/>
  <c r="AN513" i="1"/>
  <c r="AO513" i="1"/>
  <c r="AP513" i="1"/>
  <c r="AQ513" i="1"/>
  <c r="AR513" i="1"/>
  <c r="Z512" i="1"/>
  <c r="AA512" i="1"/>
  <c r="AB512" i="1"/>
  <c r="AC512" i="1"/>
  <c r="AD512" i="1"/>
  <c r="AE512" i="1"/>
  <c r="AF512" i="1"/>
  <c r="AG512" i="1"/>
  <c r="AH512" i="1"/>
  <c r="AI512" i="1"/>
  <c r="AJ512" i="1"/>
  <c r="AK512" i="1"/>
  <c r="AL512" i="1"/>
  <c r="AM512" i="1"/>
  <c r="AN512" i="1"/>
  <c r="AO512" i="1"/>
  <c r="AP512" i="1"/>
  <c r="AQ512" i="1"/>
  <c r="AR512" i="1"/>
  <c r="AS528" i="1" l="1"/>
  <c r="AS527" i="1"/>
  <c r="AS526" i="1"/>
  <c r="AS525" i="1"/>
  <c r="AS524" i="1"/>
  <c r="AS523" i="1"/>
  <c r="AS522" i="1"/>
  <c r="AS521" i="1"/>
  <c r="AS520" i="1"/>
  <c r="AS519" i="1"/>
  <c r="AS518" i="1"/>
  <c r="AS517" i="1"/>
  <c r="AS516" i="1"/>
  <c r="AS515" i="1"/>
  <c r="AS514" i="1"/>
  <c r="AS513" i="1"/>
  <c r="AS512" i="1"/>
  <c r="Z511" i="1"/>
  <c r="AA511" i="1"/>
  <c r="AB511" i="1"/>
  <c r="AC511" i="1"/>
  <c r="AD511" i="1"/>
  <c r="AE511" i="1"/>
  <c r="AF511" i="1"/>
  <c r="AG511" i="1"/>
  <c r="AH511" i="1"/>
  <c r="AI511" i="1"/>
  <c r="AJ511" i="1"/>
  <c r="AK511" i="1"/>
  <c r="AL511" i="1"/>
  <c r="AM511" i="1"/>
  <c r="AN511" i="1"/>
  <c r="AO511" i="1"/>
  <c r="AP511" i="1"/>
  <c r="AQ511" i="1"/>
  <c r="AR511" i="1"/>
  <c r="Z510" i="1"/>
  <c r="AA510" i="1"/>
  <c r="AB510" i="1"/>
  <c r="AC510" i="1"/>
  <c r="AD510" i="1"/>
  <c r="AE510" i="1"/>
  <c r="AF510" i="1"/>
  <c r="AG510" i="1"/>
  <c r="AH510" i="1"/>
  <c r="AI510" i="1"/>
  <c r="AJ510" i="1"/>
  <c r="AK510" i="1"/>
  <c r="AL510" i="1"/>
  <c r="AM510" i="1"/>
  <c r="AN510" i="1"/>
  <c r="AO510" i="1"/>
  <c r="AP510" i="1"/>
  <c r="AQ510" i="1"/>
  <c r="AR510" i="1"/>
  <c r="Z509" i="1"/>
  <c r="AA509" i="1"/>
  <c r="AB509" i="1"/>
  <c r="AC509" i="1"/>
  <c r="AD509" i="1"/>
  <c r="AE509" i="1"/>
  <c r="AF509" i="1"/>
  <c r="AG509" i="1"/>
  <c r="AH509" i="1"/>
  <c r="AI509" i="1"/>
  <c r="AJ509" i="1"/>
  <c r="AK509" i="1"/>
  <c r="AL509" i="1"/>
  <c r="AM509" i="1"/>
  <c r="AN509" i="1"/>
  <c r="AO509" i="1"/>
  <c r="AP509" i="1"/>
  <c r="AQ509" i="1"/>
  <c r="AR509" i="1"/>
  <c r="Z508" i="1"/>
  <c r="AA508" i="1"/>
  <c r="AB508" i="1"/>
  <c r="AC508" i="1"/>
  <c r="AD508" i="1"/>
  <c r="AE508" i="1"/>
  <c r="AF508" i="1"/>
  <c r="AG508" i="1"/>
  <c r="AH508" i="1"/>
  <c r="AI508" i="1"/>
  <c r="AJ508" i="1"/>
  <c r="AK508" i="1"/>
  <c r="AL508" i="1"/>
  <c r="AM508" i="1"/>
  <c r="AN508" i="1"/>
  <c r="AO508" i="1"/>
  <c r="AP508" i="1"/>
  <c r="AQ508" i="1"/>
  <c r="AR508" i="1"/>
  <c r="Z507" i="1"/>
  <c r="AA507" i="1"/>
  <c r="AB507" i="1"/>
  <c r="AC507" i="1"/>
  <c r="AD507" i="1"/>
  <c r="AE507" i="1"/>
  <c r="AF507" i="1"/>
  <c r="AG507" i="1"/>
  <c r="AH507" i="1"/>
  <c r="AI507" i="1"/>
  <c r="AJ507" i="1"/>
  <c r="AK507" i="1"/>
  <c r="AL507" i="1"/>
  <c r="AM507" i="1"/>
  <c r="AN507" i="1"/>
  <c r="AO507" i="1"/>
  <c r="AP507" i="1"/>
  <c r="AQ507" i="1"/>
  <c r="AR507" i="1"/>
  <c r="Z506" i="1"/>
  <c r="AA506" i="1"/>
  <c r="AB506" i="1"/>
  <c r="AC506" i="1"/>
  <c r="AD506" i="1"/>
  <c r="AE506" i="1"/>
  <c r="AF506" i="1"/>
  <c r="AG506" i="1"/>
  <c r="AH506" i="1"/>
  <c r="AI506" i="1"/>
  <c r="AJ506" i="1"/>
  <c r="AK506" i="1"/>
  <c r="AL506" i="1"/>
  <c r="AM506" i="1"/>
  <c r="AN506" i="1"/>
  <c r="AO506" i="1"/>
  <c r="AP506" i="1"/>
  <c r="AQ506" i="1"/>
  <c r="AR506" i="1"/>
  <c r="Z505" i="1"/>
  <c r="AA505" i="1"/>
  <c r="AB505" i="1"/>
  <c r="AC505" i="1"/>
  <c r="AD505" i="1"/>
  <c r="AE505" i="1"/>
  <c r="AF505" i="1"/>
  <c r="AG505" i="1"/>
  <c r="AH505" i="1"/>
  <c r="AI505" i="1"/>
  <c r="AJ505" i="1"/>
  <c r="AK505" i="1"/>
  <c r="AL505" i="1"/>
  <c r="AM505" i="1"/>
  <c r="AN505" i="1"/>
  <c r="AO505" i="1"/>
  <c r="AP505" i="1"/>
  <c r="AQ505" i="1"/>
  <c r="AR505" i="1"/>
  <c r="Z504" i="1"/>
  <c r="AA504" i="1"/>
  <c r="AB504" i="1"/>
  <c r="AC504" i="1"/>
  <c r="AD504" i="1"/>
  <c r="AE504" i="1"/>
  <c r="AF504" i="1"/>
  <c r="AG504" i="1"/>
  <c r="AH504" i="1"/>
  <c r="AI504" i="1"/>
  <c r="AJ504" i="1"/>
  <c r="AK504" i="1"/>
  <c r="AL504" i="1"/>
  <c r="AM504" i="1"/>
  <c r="AN504" i="1"/>
  <c r="AO504" i="1"/>
  <c r="AP504" i="1"/>
  <c r="AQ504" i="1"/>
  <c r="AR504" i="1"/>
  <c r="Z503" i="1"/>
  <c r="AA503" i="1"/>
  <c r="AB503" i="1"/>
  <c r="AC503" i="1"/>
  <c r="AD503" i="1"/>
  <c r="AE503" i="1"/>
  <c r="AF503" i="1"/>
  <c r="AG503" i="1"/>
  <c r="AH503" i="1"/>
  <c r="AI503" i="1"/>
  <c r="AJ503" i="1"/>
  <c r="AK503" i="1"/>
  <c r="AL503" i="1"/>
  <c r="AM503" i="1"/>
  <c r="AN503" i="1"/>
  <c r="AO503" i="1"/>
  <c r="AP503" i="1"/>
  <c r="AQ503" i="1"/>
  <c r="AR503" i="1"/>
  <c r="Z502" i="1"/>
  <c r="AA502" i="1"/>
  <c r="AB502" i="1"/>
  <c r="AC502" i="1"/>
  <c r="AD502" i="1"/>
  <c r="AE502" i="1"/>
  <c r="AF502" i="1"/>
  <c r="AG502" i="1"/>
  <c r="AH502" i="1"/>
  <c r="AI502" i="1"/>
  <c r="AJ502" i="1"/>
  <c r="AK502" i="1"/>
  <c r="AL502" i="1"/>
  <c r="AM502" i="1"/>
  <c r="AN502" i="1"/>
  <c r="AO502" i="1"/>
  <c r="AP502" i="1"/>
  <c r="AQ502" i="1"/>
  <c r="AR502" i="1"/>
  <c r="Z501" i="1"/>
  <c r="AA501" i="1"/>
  <c r="AB501" i="1"/>
  <c r="AC501" i="1"/>
  <c r="AD501" i="1"/>
  <c r="AE501" i="1"/>
  <c r="AF501" i="1"/>
  <c r="AG501" i="1"/>
  <c r="AH501" i="1"/>
  <c r="AI501" i="1"/>
  <c r="AJ501" i="1"/>
  <c r="AK501" i="1"/>
  <c r="AL501" i="1"/>
  <c r="AM501" i="1"/>
  <c r="AN501" i="1"/>
  <c r="AO501" i="1"/>
  <c r="AP501" i="1"/>
  <c r="AQ501" i="1"/>
  <c r="AR501" i="1"/>
  <c r="AS511" i="1" l="1"/>
  <c r="AS510" i="1"/>
  <c r="AS509" i="1"/>
  <c r="AS508" i="1"/>
  <c r="AS507" i="1"/>
  <c r="AS506" i="1"/>
  <c r="AS505" i="1"/>
  <c r="AS504" i="1"/>
  <c r="AS503" i="1"/>
  <c r="AS502" i="1"/>
  <c r="AS501" i="1"/>
  <c r="Z500" i="1" l="1"/>
  <c r="AA500" i="1"/>
  <c r="AB500" i="1"/>
  <c r="AC500" i="1"/>
  <c r="AD500" i="1"/>
  <c r="AE500" i="1"/>
  <c r="AF500" i="1"/>
  <c r="AG500" i="1"/>
  <c r="AH500" i="1"/>
  <c r="AI500" i="1"/>
  <c r="AJ500" i="1"/>
  <c r="AK500" i="1"/>
  <c r="AL500" i="1"/>
  <c r="AM500" i="1"/>
  <c r="AN500" i="1"/>
  <c r="AO500" i="1"/>
  <c r="AP500" i="1"/>
  <c r="AQ500" i="1"/>
  <c r="AR500" i="1"/>
  <c r="Z499" i="1"/>
  <c r="AA499" i="1"/>
  <c r="AB499" i="1"/>
  <c r="AC499" i="1"/>
  <c r="AD499" i="1"/>
  <c r="AE499" i="1"/>
  <c r="AF499" i="1"/>
  <c r="AG499" i="1"/>
  <c r="AH499" i="1"/>
  <c r="AI499" i="1"/>
  <c r="AJ499" i="1"/>
  <c r="AK499" i="1"/>
  <c r="AL499" i="1"/>
  <c r="AM499" i="1"/>
  <c r="AN499" i="1"/>
  <c r="AO499" i="1"/>
  <c r="AP499" i="1"/>
  <c r="AQ499" i="1"/>
  <c r="AR499" i="1"/>
  <c r="Z498" i="1"/>
  <c r="AA498" i="1"/>
  <c r="AB498" i="1"/>
  <c r="AC498" i="1"/>
  <c r="AD498" i="1"/>
  <c r="AE498" i="1"/>
  <c r="AF498" i="1"/>
  <c r="AG498" i="1"/>
  <c r="AH498" i="1"/>
  <c r="AI498" i="1"/>
  <c r="AJ498" i="1"/>
  <c r="AK498" i="1"/>
  <c r="AL498" i="1"/>
  <c r="AM498" i="1"/>
  <c r="AN498" i="1"/>
  <c r="AO498" i="1"/>
  <c r="AP498" i="1"/>
  <c r="AQ498" i="1"/>
  <c r="AR498" i="1"/>
  <c r="Z497" i="1"/>
  <c r="AA497" i="1"/>
  <c r="AB497" i="1"/>
  <c r="AC497" i="1"/>
  <c r="AD497" i="1"/>
  <c r="AE497" i="1"/>
  <c r="AF497" i="1"/>
  <c r="AG497" i="1"/>
  <c r="AH497" i="1"/>
  <c r="AI497" i="1"/>
  <c r="AJ497" i="1"/>
  <c r="AK497" i="1"/>
  <c r="AL497" i="1"/>
  <c r="AM497" i="1"/>
  <c r="AN497" i="1"/>
  <c r="AO497" i="1"/>
  <c r="AP497" i="1"/>
  <c r="AQ497" i="1"/>
  <c r="AR497" i="1"/>
  <c r="Z496" i="1"/>
  <c r="AA496" i="1"/>
  <c r="AB496" i="1"/>
  <c r="AC496" i="1"/>
  <c r="AD496" i="1"/>
  <c r="AE496" i="1"/>
  <c r="AF496" i="1"/>
  <c r="AG496" i="1"/>
  <c r="AH496" i="1"/>
  <c r="AI496" i="1"/>
  <c r="AJ496" i="1"/>
  <c r="AK496" i="1"/>
  <c r="AL496" i="1"/>
  <c r="AM496" i="1"/>
  <c r="AN496" i="1"/>
  <c r="AO496" i="1"/>
  <c r="AP496" i="1"/>
  <c r="AQ496" i="1"/>
  <c r="AR496" i="1"/>
  <c r="Z495" i="1"/>
  <c r="AA495" i="1"/>
  <c r="AB495" i="1"/>
  <c r="AC495" i="1"/>
  <c r="AD495" i="1"/>
  <c r="AE495" i="1"/>
  <c r="AF495" i="1"/>
  <c r="AG495" i="1"/>
  <c r="AH495" i="1"/>
  <c r="AI495" i="1"/>
  <c r="AJ495" i="1"/>
  <c r="AK495" i="1"/>
  <c r="AL495" i="1"/>
  <c r="AM495" i="1"/>
  <c r="AN495" i="1"/>
  <c r="AO495" i="1"/>
  <c r="AP495" i="1"/>
  <c r="AQ495" i="1"/>
  <c r="AR495" i="1"/>
  <c r="Z494" i="1"/>
  <c r="AA494" i="1"/>
  <c r="AB494" i="1"/>
  <c r="AC494" i="1"/>
  <c r="AD494" i="1"/>
  <c r="AE494" i="1"/>
  <c r="AF494" i="1"/>
  <c r="AG494" i="1"/>
  <c r="AH494" i="1"/>
  <c r="AI494" i="1"/>
  <c r="AJ494" i="1"/>
  <c r="AK494" i="1"/>
  <c r="AL494" i="1"/>
  <c r="AM494" i="1"/>
  <c r="AN494" i="1"/>
  <c r="AO494" i="1"/>
  <c r="AP494" i="1"/>
  <c r="AQ494" i="1"/>
  <c r="AR494" i="1"/>
  <c r="Z493" i="1"/>
  <c r="AA493" i="1"/>
  <c r="AB493" i="1"/>
  <c r="AC493" i="1"/>
  <c r="AD493" i="1"/>
  <c r="AE493" i="1"/>
  <c r="AF493" i="1"/>
  <c r="AG493" i="1"/>
  <c r="AH493" i="1"/>
  <c r="AI493" i="1"/>
  <c r="AJ493" i="1"/>
  <c r="AK493" i="1"/>
  <c r="AL493" i="1"/>
  <c r="AM493" i="1"/>
  <c r="AN493" i="1"/>
  <c r="AO493" i="1"/>
  <c r="AP493" i="1"/>
  <c r="AQ493" i="1"/>
  <c r="AR493" i="1"/>
  <c r="Z492" i="1"/>
  <c r="AA492" i="1"/>
  <c r="AB492" i="1"/>
  <c r="AC492" i="1"/>
  <c r="AD492" i="1"/>
  <c r="AE492" i="1"/>
  <c r="AF492" i="1"/>
  <c r="AG492" i="1"/>
  <c r="AH492" i="1"/>
  <c r="AI492" i="1"/>
  <c r="AJ492" i="1"/>
  <c r="AK492" i="1"/>
  <c r="AL492" i="1"/>
  <c r="AM492" i="1"/>
  <c r="AN492" i="1"/>
  <c r="AO492" i="1"/>
  <c r="AP492" i="1"/>
  <c r="AQ492" i="1"/>
  <c r="AR492" i="1"/>
  <c r="Z491" i="1"/>
  <c r="AA491" i="1"/>
  <c r="AB491" i="1"/>
  <c r="AC491" i="1"/>
  <c r="AD491" i="1"/>
  <c r="AE491" i="1"/>
  <c r="AF491" i="1"/>
  <c r="AG491" i="1"/>
  <c r="AH491" i="1"/>
  <c r="AI491" i="1"/>
  <c r="AJ491" i="1"/>
  <c r="AK491" i="1"/>
  <c r="AL491" i="1"/>
  <c r="AM491" i="1"/>
  <c r="AN491" i="1"/>
  <c r="AO491" i="1"/>
  <c r="AP491" i="1"/>
  <c r="AQ491" i="1"/>
  <c r="AR491" i="1"/>
  <c r="Z490" i="1"/>
  <c r="AA490" i="1"/>
  <c r="AB490" i="1"/>
  <c r="AC490" i="1"/>
  <c r="AD490" i="1"/>
  <c r="AE490" i="1"/>
  <c r="AF490" i="1"/>
  <c r="AG490" i="1"/>
  <c r="AH490" i="1"/>
  <c r="AI490" i="1"/>
  <c r="AJ490" i="1"/>
  <c r="AK490" i="1"/>
  <c r="AL490" i="1"/>
  <c r="AM490" i="1"/>
  <c r="AN490" i="1"/>
  <c r="AO490" i="1"/>
  <c r="AP490" i="1"/>
  <c r="AQ490" i="1"/>
  <c r="AR490" i="1"/>
  <c r="Z489" i="1"/>
  <c r="AA489" i="1"/>
  <c r="AB489" i="1"/>
  <c r="AC489" i="1"/>
  <c r="AD489" i="1"/>
  <c r="AE489" i="1"/>
  <c r="AF489" i="1"/>
  <c r="AG489" i="1"/>
  <c r="AH489" i="1"/>
  <c r="AI489" i="1"/>
  <c r="AJ489" i="1"/>
  <c r="AK489" i="1"/>
  <c r="AL489" i="1"/>
  <c r="AM489" i="1"/>
  <c r="AN489" i="1"/>
  <c r="AO489" i="1"/>
  <c r="AP489" i="1"/>
  <c r="AQ489" i="1"/>
  <c r="AR489" i="1"/>
  <c r="Z488" i="1"/>
  <c r="AA488" i="1"/>
  <c r="AB488" i="1"/>
  <c r="AC488" i="1"/>
  <c r="AD488" i="1"/>
  <c r="AE488" i="1"/>
  <c r="AF488" i="1"/>
  <c r="AG488" i="1"/>
  <c r="AH488" i="1"/>
  <c r="AI488" i="1"/>
  <c r="AJ488" i="1"/>
  <c r="AK488" i="1"/>
  <c r="AL488" i="1"/>
  <c r="AM488" i="1"/>
  <c r="AN488" i="1"/>
  <c r="AO488" i="1"/>
  <c r="AP488" i="1"/>
  <c r="AQ488" i="1"/>
  <c r="AR488" i="1"/>
  <c r="Z487" i="1"/>
  <c r="AA487" i="1"/>
  <c r="AB487" i="1"/>
  <c r="AC487" i="1"/>
  <c r="AD487" i="1"/>
  <c r="AE487" i="1"/>
  <c r="AF487" i="1"/>
  <c r="AG487" i="1"/>
  <c r="AH487" i="1"/>
  <c r="AI487" i="1"/>
  <c r="AJ487" i="1"/>
  <c r="AK487" i="1"/>
  <c r="AL487" i="1"/>
  <c r="AM487" i="1"/>
  <c r="AN487" i="1"/>
  <c r="AO487" i="1"/>
  <c r="AP487" i="1"/>
  <c r="AQ487" i="1"/>
  <c r="AR487" i="1"/>
  <c r="Z486" i="1"/>
  <c r="AA486" i="1"/>
  <c r="AB486" i="1"/>
  <c r="AC486" i="1"/>
  <c r="AD486" i="1"/>
  <c r="AE486" i="1"/>
  <c r="AF486" i="1"/>
  <c r="AG486" i="1"/>
  <c r="AH486" i="1"/>
  <c r="AI486" i="1"/>
  <c r="AJ486" i="1"/>
  <c r="AK486" i="1"/>
  <c r="AL486" i="1"/>
  <c r="AM486" i="1"/>
  <c r="AN486" i="1"/>
  <c r="AO486" i="1"/>
  <c r="AP486" i="1"/>
  <c r="AQ486" i="1"/>
  <c r="AR486" i="1"/>
  <c r="Z485" i="1"/>
  <c r="AA485" i="1"/>
  <c r="AB485" i="1"/>
  <c r="AC485" i="1"/>
  <c r="AD485" i="1"/>
  <c r="AE485" i="1"/>
  <c r="AF485" i="1"/>
  <c r="AG485" i="1"/>
  <c r="AH485" i="1"/>
  <c r="AI485" i="1"/>
  <c r="AJ485" i="1"/>
  <c r="AK485" i="1"/>
  <c r="AL485" i="1"/>
  <c r="AM485" i="1"/>
  <c r="AN485" i="1"/>
  <c r="AO485" i="1"/>
  <c r="AP485" i="1"/>
  <c r="AQ485" i="1"/>
  <c r="AR485" i="1"/>
  <c r="Z484" i="1"/>
  <c r="AA484" i="1"/>
  <c r="AB484" i="1"/>
  <c r="AC484" i="1"/>
  <c r="AD484" i="1"/>
  <c r="AE484" i="1"/>
  <c r="AF484" i="1"/>
  <c r="AG484" i="1"/>
  <c r="AH484" i="1"/>
  <c r="AI484" i="1"/>
  <c r="AJ484" i="1"/>
  <c r="AK484" i="1"/>
  <c r="AL484" i="1"/>
  <c r="AM484" i="1"/>
  <c r="AN484" i="1"/>
  <c r="AO484" i="1"/>
  <c r="AP484" i="1"/>
  <c r="AQ484" i="1"/>
  <c r="AR484" i="1"/>
  <c r="Z483" i="1"/>
  <c r="AA483" i="1"/>
  <c r="AB483" i="1"/>
  <c r="AC483" i="1"/>
  <c r="AD483" i="1"/>
  <c r="AE483" i="1"/>
  <c r="AF483" i="1"/>
  <c r="AG483" i="1"/>
  <c r="AH483" i="1"/>
  <c r="AI483" i="1"/>
  <c r="AJ483" i="1"/>
  <c r="AK483" i="1"/>
  <c r="AL483" i="1"/>
  <c r="AM483" i="1"/>
  <c r="AN483" i="1"/>
  <c r="AO483" i="1"/>
  <c r="AP483" i="1"/>
  <c r="AQ483" i="1"/>
  <c r="AR483" i="1"/>
  <c r="Z482" i="1"/>
  <c r="AA482" i="1"/>
  <c r="AB482" i="1"/>
  <c r="AC482" i="1"/>
  <c r="AD482" i="1"/>
  <c r="AE482" i="1"/>
  <c r="AF482" i="1"/>
  <c r="AG482" i="1"/>
  <c r="AH482" i="1"/>
  <c r="AI482" i="1"/>
  <c r="AJ482" i="1"/>
  <c r="AK482" i="1"/>
  <c r="AL482" i="1"/>
  <c r="AM482" i="1"/>
  <c r="AN482" i="1"/>
  <c r="AO482" i="1"/>
  <c r="AP482" i="1"/>
  <c r="AQ482" i="1"/>
  <c r="AR482" i="1"/>
  <c r="Z481" i="1"/>
  <c r="AA481" i="1"/>
  <c r="AB481" i="1"/>
  <c r="AC481" i="1"/>
  <c r="AD481" i="1"/>
  <c r="AE481" i="1"/>
  <c r="AF481" i="1"/>
  <c r="AG481" i="1"/>
  <c r="AH481" i="1"/>
  <c r="AI481" i="1"/>
  <c r="AJ481" i="1"/>
  <c r="AK481" i="1"/>
  <c r="AL481" i="1"/>
  <c r="AM481" i="1"/>
  <c r="AN481" i="1"/>
  <c r="AO481" i="1"/>
  <c r="AP481" i="1"/>
  <c r="AQ481" i="1"/>
  <c r="AR481" i="1"/>
  <c r="Z480" i="1"/>
  <c r="AA480" i="1"/>
  <c r="AB480" i="1"/>
  <c r="AC480" i="1"/>
  <c r="AD480" i="1"/>
  <c r="AE480" i="1"/>
  <c r="AF480" i="1"/>
  <c r="AG480" i="1"/>
  <c r="AH480" i="1"/>
  <c r="AI480" i="1"/>
  <c r="AJ480" i="1"/>
  <c r="AK480" i="1"/>
  <c r="AL480" i="1"/>
  <c r="AM480" i="1"/>
  <c r="AN480" i="1"/>
  <c r="AO480" i="1"/>
  <c r="AP480" i="1"/>
  <c r="AQ480" i="1"/>
  <c r="AR480" i="1"/>
  <c r="Z479" i="1"/>
  <c r="AA479" i="1"/>
  <c r="AB479" i="1"/>
  <c r="AC479" i="1"/>
  <c r="AD479" i="1"/>
  <c r="AE479" i="1"/>
  <c r="AF479" i="1"/>
  <c r="AG479" i="1"/>
  <c r="AH479" i="1"/>
  <c r="AI479" i="1"/>
  <c r="AJ479" i="1"/>
  <c r="AK479" i="1"/>
  <c r="AL479" i="1"/>
  <c r="AM479" i="1"/>
  <c r="AN479" i="1"/>
  <c r="AO479" i="1"/>
  <c r="AP479" i="1"/>
  <c r="AQ479" i="1"/>
  <c r="AR479" i="1"/>
  <c r="Z478" i="1"/>
  <c r="AA478" i="1"/>
  <c r="AB478" i="1"/>
  <c r="AC478" i="1"/>
  <c r="AD478" i="1"/>
  <c r="AE478" i="1"/>
  <c r="AF478" i="1"/>
  <c r="AG478" i="1"/>
  <c r="AH478" i="1"/>
  <c r="AI478" i="1"/>
  <c r="AJ478" i="1"/>
  <c r="AK478" i="1"/>
  <c r="AL478" i="1"/>
  <c r="AM478" i="1"/>
  <c r="AN478" i="1"/>
  <c r="AO478" i="1"/>
  <c r="AP478" i="1"/>
  <c r="AQ478" i="1"/>
  <c r="AR478" i="1"/>
  <c r="Z477" i="1"/>
  <c r="AA477" i="1"/>
  <c r="AB477" i="1"/>
  <c r="AC477" i="1"/>
  <c r="AD477" i="1"/>
  <c r="AE477" i="1"/>
  <c r="AF477" i="1"/>
  <c r="AG477" i="1"/>
  <c r="AH477" i="1"/>
  <c r="AI477" i="1"/>
  <c r="AJ477" i="1"/>
  <c r="AK477" i="1"/>
  <c r="AL477" i="1"/>
  <c r="AM477" i="1"/>
  <c r="AN477" i="1"/>
  <c r="AO477" i="1"/>
  <c r="AP477" i="1"/>
  <c r="AQ477" i="1"/>
  <c r="AR477" i="1"/>
  <c r="Z476" i="1"/>
  <c r="AA476" i="1"/>
  <c r="AB476" i="1"/>
  <c r="AC476" i="1"/>
  <c r="AD476" i="1"/>
  <c r="AE476" i="1"/>
  <c r="AF476" i="1"/>
  <c r="AG476" i="1"/>
  <c r="AH476" i="1"/>
  <c r="AI476" i="1"/>
  <c r="AJ476" i="1"/>
  <c r="AK476" i="1"/>
  <c r="AL476" i="1"/>
  <c r="AM476" i="1"/>
  <c r="AN476" i="1"/>
  <c r="AO476" i="1"/>
  <c r="AP476" i="1"/>
  <c r="AQ476" i="1"/>
  <c r="AR476" i="1"/>
  <c r="Z475" i="1"/>
  <c r="AA475" i="1"/>
  <c r="AB475" i="1"/>
  <c r="AC475" i="1"/>
  <c r="AD475" i="1"/>
  <c r="AE475" i="1"/>
  <c r="AF475" i="1"/>
  <c r="AG475" i="1"/>
  <c r="AH475" i="1"/>
  <c r="AI475" i="1"/>
  <c r="AJ475" i="1"/>
  <c r="AK475" i="1"/>
  <c r="AL475" i="1"/>
  <c r="AM475" i="1"/>
  <c r="AN475" i="1"/>
  <c r="AO475" i="1"/>
  <c r="AP475" i="1"/>
  <c r="AQ475" i="1"/>
  <c r="AR475" i="1"/>
  <c r="AS500" i="1" l="1"/>
  <c r="AS499" i="1"/>
  <c r="AS498" i="1"/>
  <c r="AS497" i="1"/>
  <c r="AS496" i="1"/>
  <c r="AS495" i="1"/>
  <c r="AS494" i="1"/>
  <c r="AS493" i="1"/>
  <c r="AS492" i="1"/>
  <c r="AS491" i="1"/>
  <c r="AS490" i="1"/>
  <c r="AS489" i="1"/>
  <c r="AS488" i="1"/>
  <c r="AS487" i="1"/>
  <c r="AS486" i="1"/>
  <c r="AS484" i="1"/>
  <c r="AS485" i="1"/>
  <c r="AS483" i="1"/>
  <c r="AS482" i="1"/>
  <c r="AS481" i="1"/>
  <c r="AS480" i="1"/>
  <c r="AS479" i="1"/>
  <c r="AS478" i="1"/>
  <c r="AS477" i="1"/>
  <c r="AS475" i="1"/>
  <c r="AS476" i="1"/>
  <c r="Z474" i="1" l="1"/>
  <c r="AA474" i="1"/>
  <c r="AB474" i="1"/>
  <c r="AC474" i="1"/>
  <c r="AD474" i="1"/>
  <c r="AE474" i="1"/>
  <c r="AF474" i="1"/>
  <c r="AG474" i="1"/>
  <c r="AH474" i="1"/>
  <c r="AI474" i="1"/>
  <c r="AJ474" i="1"/>
  <c r="AK474" i="1"/>
  <c r="AL474" i="1"/>
  <c r="AM474" i="1"/>
  <c r="AN474" i="1"/>
  <c r="AO474" i="1"/>
  <c r="AP474" i="1"/>
  <c r="AQ474" i="1"/>
  <c r="AR474" i="1"/>
  <c r="Z473" i="1"/>
  <c r="AA473" i="1"/>
  <c r="AB473" i="1"/>
  <c r="AC473" i="1"/>
  <c r="AD473" i="1"/>
  <c r="AE473" i="1"/>
  <c r="AF473" i="1"/>
  <c r="AG473" i="1"/>
  <c r="AH473" i="1"/>
  <c r="AI473" i="1"/>
  <c r="AJ473" i="1"/>
  <c r="AK473" i="1"/>
  <c r="AL473" i="1"/>
  <c r="AM473" i="1"/>
  <c r="AN473" i="1"/>
  <c r="AO473" i="1"/>
  <c r="AP473" i="1"/>
  <c r="AQ473" i="1"/>
  <c r="AR473" i="1"/>
  <c r="Z472" i="1"/>
  <c r="AA472" i="1"/>
  <c r="AB472" i="1"/>
  <c r="AC472" i="1"/>
  <c r="AD472" i="1"/>
  <c r="AE472" i="1"/>
  <c r="AF472" i="1"/>
  <c r="AG472" i="1"/>
  <c r="AH472" i="1"/>
  <c r="AI472" i="1"/>
  <c r="AJ472" i="1"/>
  <c r="AK472" i="1"/>
  <c r="AL472" i="1"/>
  <c r="AM472" i="1"/>
  <c r="AN472" i="1"/>
  <c r="AO472" i="1"/>
  <c r="AP472" i="1"/>
  <c r="AQ472" i="1"/>
  <c r="AR472" i="1"/>
  <c r="Z471" i="1"/>
  <c r="AA471" i="1"/>
  <c r="AB471" i="1"/>
  <c r="AC471" i="1"/>
  <c r="AD471" i="1"/>
  <c r="AE471" i="1"/>
  <c r="AF471" i="1"/>
  <c r="AG471" i="1"/>
  <c r="AH471" i="1"/>
  <c r="AI471" i="1"/>
  <c r="AJ471" i="1"/>
  <c r="AK471" i="1"/>
  <c r="AL471" i="1"/>
  <c r="AM471" i="1"/>
  <c r="AN471" i="1"/>
  <c r="AO471" i="1"/>
  <c r="AP471" i="1"/>
  <c r="AQ471" i="1"/>
  <c r="AR471" i="1"/>
  <c r="Z470" i="1"/>
  <c r="AA470" i="1"/>
  <c r="AB470" i="1"/>
  <c r="AC470" i="1"/>
  <c r="AD470" i="1"/>
  <c r="AE470" i="1"/>
  <c r="AF470" i="1"/>
  <c r="AG470" i="1"/>
  <c r="AH470" i="1"/>
  <c r="AI470" i="1"/>
  <c r="AJ470" i="1"/>
  <c r="AK470" i="1"/>
  <c r="AL470" i="1"/>
  <c r="AM470" i="1"/>
  <c r="AN470" i="1"/>
  <c r="AO470" i="1"/>
  <c r="AP470" i="1"/>
  <c r="AQ470" i="1"/>
  <c r="AR470" i="1"/>
  <c r="Z469" i="1"/>
  <c r="AA469" i="1"/>
  <c r="AB469" i="1"/>
  <c r="AC469" i="1"/>
  <c r="AD469" i="1"/>
  <c r="AE469" i="1"/>
  <c r="AF469" i="1"/>
  <c r="AG469" i="1"/>
  <c r="AH469" i="1"/>
  <c r="AI469" i="1"/>
  <c r="AJ469" i="1"/>
  <c r="AK469" i="1"/>
  <c r="AL469" i="1"/>
  <c r="AM469" i="1"/>
  <c r="AN469" i="1"/>
  <c r="AO469" i="1"/>
  <c r="AP469" i="1"/>
  <c r="AQ469" i="1"/>
  <c r="AR469" i="1"/>
  <c r="Z468" i="1"/>
  <c r="AA468" i="1"/>
  <c r="AB468" i="1"/>
  <c r="AC468" i="1"/>
  <c r="AD468" i="1"/>
  <c r="AE468" i="1"/>
  <c r="AF468" i="1"/>
  <c r="AG468" i="1"/>
  <c r="AH468" i="1"/>
  <c r="AI468" i="1"/>
  <c r="AJ468" i="1"/>
  <c r="AK468" i="1"/>
  <c r="AL468" i="1"/>
  <c r="AM468" i="1"/>
  <c r="AN468" i="1"/>
  <c r="AO468" i="1"/>
  <c r="AP468" i="1"/>
  <c r="AQ468" i="1"/>
  <c r="AR468" i="1"/>
  <c r="Z467" i="1"/>
  <c r="AA467" i="1"/>
  <c r="AB467" i="1"/>
  <c r="AC467" i="1"/>
  <c r="AD467" i="1"/>
  <c r="AE467" i="1"/>
  <c r="AF467" i="1"/>
  <c r="AG467" i="1"/>
  <c r="AH467" i="1"/>
  <c r="AI467" i="1"/>
  <c r="AJ467" i="1"/>
  <c r="AK467" i="1"/>
  <c r="AL467" i="1"/>
  <c r="AM467" i="1"/>
  <c r="AN467" i="1"/>
  <c r="AO467" i="1"/>
  <c r="AP467" i="1"/>
  <c r="AQ467" i="1"/>
  <c r="AR467" i="1"/>
  <c r="Z466" i="1"/>
  <c r="AA466" i="1"/>
  <c r="AB466" i="1"/>
  <c r="AC466" i="1"/>
  <c r="AD466" i="1"/>
  <c r="AE466" i="1"/>
  <c r="AF466" i="1"/>
  <c r="AG466" i="1"/>
  <c r="AH466" i="1"/>
  <c r="AI466" i="1"/>
  <c r="AJ466" i="1"/>
  <c r="AK466" i="1"/>
  <c r="AL466" i="1"/>
  <c r="AM466" i="1"/>
  <c r="AN466" i="1"/>
  <c r="AO466" i="1"/>
  <c r="AP466" i="1"/>
  <c r="AQ466" i="1"/>
  <c r="AR466" i="1"/>
  <c r="Z465" i="1"/>
  <c r="AA465" i="1"/>
  <c r="AB465" i="1"/>
  <c r="AC465" i="1"/>
  <c r="AD465" i="1"/>
  <c r="AE465" i="1"/>
  <c r="AF465" i="1"/>
  <c r="AG465" i="1"/>
  <c r="AH465" i="1"/>
  <c r="AI465" i="1"/>
  <c r="AJ465" i="1"/>
  <c r="AK465" i="1"/>
  <c r="AL465" i="1"/>
  <c r="AM465" i="1"/>
  <c r="AN465" i="1"/>
  <c r="AO465" i="1"/>
  <c r="AP465" i="1"/>
  <c r="AQ465" i="1"/>
  <c r="AR465" i="1"/>
  <c r="Z464" i="1"/>
  <c r="AA464" i="1"/>
  <c r="AB464" i="1"/>
  <c r="AC464" i="1"/>
  <c r="AD464" i="1"/>
  <c r="AE464" i="1"/>
  <c r="AF464" i="1"/>
  <c r="AG464" i="1"/>
  <c r="AH464" i="1"/>
  <c r="AI464" i="1"/>
  <c r="AJ464" i="1"/>
  <c r="AK464" i="1"/>
  <c r="AL464" i="1"/>
  <c r="AM464" i="1"/>
  <c r="AN464" i="1"/>
  <c r="AO464" i="1"/>
  <c r="AP464" i="1"/>
  <c r="AQ464" i="1"/>
  <c r="AR464" i="1"/>
  <c r="Z463" i="1"/>
  <c r="AA463" i="1"/>
  <c r="AB463" i="1"/>
  <c r="AC463" i="1"/>
  <c r="AD463" i="1"/>
  <c r="AE463" i="1"/>
  <c r="AF463" i="1"/>
  <c r="AG463" i="1"/>
  <c r="AH463" i="1"/>
  <c r="AI463" i="1"/>
  <c r="AJ463" i="1"/>
  <c r="AK463" i="1"/>
  <c r="AL463" i="1"/>
  <c r="AM463" i="1"/>
  <c r="AN463" i="1"/>
  <c r="AO463" i="1"/>
  <c r="AP463" i="1"/>
  <c r="AQ463" i="1"/>
  <c r="AR463" i="1"/>
  <c r="Z462" i="1"/>
  <c r="AA462" i="1"/>
  <c r="AB462" i="1"/>
  <c r="AC462" i="1"/>
  <c r="AD462" i="1"/>
  <c r="AE462" i="1"/>
  <c r="AF462" i="1"/>
  <c r="AG462" i="1"/>
  <c r="AH462" i="1"/>
  <c r="AI462" i="1"/>
  <c r="AJ462" i="1"/>
  <c r="AK462" i="1"/>
  <c r="AL462" i="1"/>
  <c r="AM462" i="1"/>
  <c r="AN462" i="1"/>
  <c r="AO462" i="1"/>
  <c r="AP462" i="1"/>
  <c r="AQ462" i="1"/>
  <c r="AR462" i="1"/>
  <c r="Z461" i="1"/>
  <c r="AA461" i="1"/>
  <c r="AB461" i="1"/>
  <c r="AC461" i="1"/>
  <c r="AD461" i="1"/>
  <c r="AE461" i="1"/>
  <c r="AF461" i="1"/>
  <c r="AG461" i="1"/>
  <c r="AH461" i="1"/>
  <c r="AI461" i="1"/>
  <c r="AJ461" i="1"/>
  <c r="AK461" i="1"/>
  <c r="AL461" i="1"/>
  <c r="AM461" i="1"/>
  <c r="AN461" i="1"/>
  <c r="AO461" i="1"/>
  <c r="AP461" i="1"/>
  <c r="AQ461" i="1"/>
  <c r="AR461" i="1"/>
  <c r="Z460" i="1"/>
  <c r="AA460" i="1"/>
  <c r="AB460" i="1"/>
  <c r="AC460" i="1"/>
  <c r="AD460" i="1"/>
  <c r="AE460" i="1"/>
  <c r="AF460" i="1"/>
  <c r="AG460" i="1"/>
  <c r="AH460" i="1"/>
  <c r="AI460" i="1"/>
  <c r="AJ460" i="1"/>
  <c r="AK460" i="1"/>
  <c r="AL460" i="1"/>
  <c r="AM460" i="1"/>
  <c r="AN460" i="1"/>
  <c r="AO460" i="1"/>
  <c r="AP460" i="1"/>
  <c r="AQ460" i="1"/>
  <c r="AR460" i="1"/>
  <c r="Z459" i="1"/>
  <c r="AA459" i="1"/>
  <c r="AB459" i="1"/>
  <c r="AC459" i="1"/>
  <c r="AD459" i="1"/>
  <c r="AE459" i="1"/>
  <c r="AF459" i="1"/>
  <c r="AG459" i="1"/>
  <c r="AH459" i="1"/>
  <c r="AI459" i="1"/>
  <c r="AJ459" i="1"/>
  <c r="AK459" i="1"/>
  <c r="AL459" i="1"/>
  <c r="AM459" i="1"/>
  <c r="AN459" i="1"/>
  <c r="AO459" i="1"/>
  <c r="AP459" i="1"/>
  <c r="AQ459" i="1"/>
  <c r="AR459" i="1"/>
  <c r="Z458" i="1"/>
  <c r="AA458" i="1"/>
  <c r="AB458" i="1"/>
  <c r="AC458" i="1"/>
  <c r="AD458" i="1"/>
  <c r="AE458" i="1"/>
  <c r="AF458" i="1"/>
  <c r="AG458" i="1"/>
  <c r="AH458" i="1"/>
  <c r="AI458" i="1"/>
  <c r="AJ458" i="1"/>
  <c r="AK458" i="1"/>
  <c r="AL458" i="1"/>
  <c r="AM458" i="1"/>
  <c r="AN458" i="1"/>
  <c r="AO458" i="1"/>
  <c r="AP458" i="1"/>
  <c r="AQ458" i="1"/>
  <c r="AR458" i="1"/>
  <c r="Z457" i="1"/>
  <c r="AA457" i="1"/>
  <c r="AB457" i="1"/>
  <c r="AC457" i="1"/>
  <c r="AD457" i="1"/>
  <c r="AE457" i="1"/>
  <c r="AF457" i="1"/>
  <c r="AG457" i="1"/>
  <c r="AH457" i="1"/>
  <c r="AI457" i="1"/>
  <c r="AJ457" i="1"/>
  <c r="AK457" i="1"/>
  <c r="AL457" i="1"/>
  <c r="AM457" i="1"/>
  <c r="AN457" i="1"/>
  <c r="AO457" i="1"/>
  <c r="AP457" i="1"/>
  <c r="AQ457" i="1"/>
  <c r="AR457" i="1"/>
  <c r="Z456" i="1"/>
  <c r="AA456" i="1"/>
  <c r="AB456" i="1"/>
  <c r="AC456" i="1"/>
  <c r="AD456" i="1"/>
  <c r="AE456" i="1"/>
  <c r="AF456" i="1"/>
  <c r="AG456" i="1"/>
  <c r="AH456" i="1"/>
  <c r="AI456" i="1"/>
  <c r="AJ456" i="1"/>
  <c r="AK456" i="1"/>
  <c r="AL456" i="1"/>
  <c r="AM456" i="1"/>
  <c r="AN456" i="1"/>
  <c r="AO456" i="1"/>
  <c r="AP456" i="1"/>
  <c r="AQ456" i="1"/>
  <c r="AR456" i="1"/>
  <c r="AS474" i="1" l="1"/>
  <c r="AS473" i="1"/>
  <c r="AS472" i="1"/>
  <c r="AS471" i="1"/>
  <c r="AS470" i="1"/>
  <c r="AS469" i="1"/>
  <c r="AS468" i="1"/>
  <c r="AS467" i="1"/>
  <c r="AS466" i="1"/>
  <c r="AS465" i="1"/>
  <c r="AS464" i="1"/>
  <c r="AS463" i="1"/>
  <c r="AS462" i="1"/>
  <c r="AS461" i="1"/>
  <c r="AS460" i="1"/>
  <c r="AS459" i="1"/>
  <c r="AS457" i="1"/>
  <c r="AS458" i="1"/>
  <c r="AS456" i="1"/>
  <c r="Z455" i="1"/>
  <c r="AA455" i="1"/>
  <c r="AB455" i="1"/>
  <c r="AC455" i="1"/>
  <c r="AD455" i="1"/>
  <c r="AE455" i="1"/>
  <c r="AF455" i="1"/>
  <c r="AG455" i="1"/>
  <c r="AH455" i="1"/>
  <c r="AI455" i="1"/>
  <c r="AJ455" i="1"/>
  <c r="AK455" i="1"/>
  <c r="AL455" i="1"/>
  <c r="AM455" i="1"/>
  <c r="AN455" i="1"/>
  <c r="AO455" i="1"/>
  <c r="AP455" i="1"/>
  <c r="AQ455" i="1"/>
  <c r="AR455" i="1"/>
  <c r="Z454" i="1"/>
  <c r="AA454" i="1"/>
  <c r="AB454" i="1"/>
  <c r="AC454" i="1"/>
  <c r="AD454" i="1"/>
  <c r="AE454" i="1"/>
  <c r="AF454" i="1"/>
  <c r="AG454" i="1"/>
  <c r="AH454" i="1"/>
  <c r="AI454" i="1"/>
  <c r="AJ454" i="1"/>
  <c r="AK454" i="1"/>
  <c r="AL454" i="1"/>
  <c r="AM454" i="1"/>
  <c r="AN454" i="1"/>
  <c r="AO454" i="1"/>
  <c r="AP454" i="1"/>
  <c r="AQ454" i="1"/>
  <c r="AR454" i="1"/>
  <c r="Z453" i="1"/>
  <c r="AA453" i="1"/>
  <c r="AB453" i="1"/>
  <c r="AC453" i="1"/>
  <c r="AD453" i="1"/>
  <c r="AE453" i="1"/>
  <c r="AF453" i="1"/>
  <c r="AG453" i="1"/>
  <c r="AH453" i="1"/>
  <c r="AI453" i="1"/>
  <c r="AJ453" i="1"/>
  <c r="AK453" i="1"/>
  <c r="AL453" i="1"/>
  <c r="AM453" i="1"/>
  <c r="AN453" i="1"/>
  <c r="AO453" i="1"/>
  <c r="AP453" i="1"/>
  <c r="AQ453" i="1"/>
  <c r="AR453" i="1"/>
  <c r="Z452" i="1"/>
  <c r="AA452" i="1"/>
  <c r="AB452" i="1"/>
  <c r="AC452" i="1"/>
  <c r="AD452" i="1"/>
  <c r="AE452" i="1"/>
  <c r="AF452" i="1"/>
  <c r="AG452" i="1"/>
  <c r="AH452" i="1"/>
  <c r="AI452" i="1"/>
  <c r="AJ452" i="1"/>
  <c r="AK452" i="1"/>
  <c r="AL452" i="1"/>
  <c r="AM452" i="1"/>
  <c r="AN452" i="1"/>
  <c r="AO452" i="1"/>
  <c r="AP452" i="1"/>
  <c r="AQ452" i="1"/>
  <c r="AR452" i="1"/>
  <c r="Z451" i="1"/>
  <c r="AA451" i="1"/>
  <c r="AB451" i="1"/>
  <c r="AC451" i="1"/>
  <c r="AD451" i="1"/>
  <c r="AE451" i="1"/>
  <c r="AF451" i="1"/>
  <c r="AG451" i="1"/>
  <c r="AH451" i="1"/>
  <c r="AI451" i="1"/>
  <c r="AJ451" i="1"/>
  <c r="AK451" i="1"/>
  <c r="AL451" i="1"/>
  <c r="AM451" i="1"/>
  <c r="AN451" i="1"/>
  <c r="AO451" i="1"/>
  <c r="AP451" i="1"/>
  <c r="AQ451" i="1"/>
  <c r="AR451" i="1"/>
  <c r="Z450" i="1"/>
  <c r="AA450" i="1"/>
  <c r="AB450" i="1"/>
  <c r="AC450" i="1"/>
  <c r="AD450" i="1"/>
  <c r="AE450" i="1"/>
  <c r="AF450" i="1"/>
  <c r="AG450" i="1"/>
  <c r="AH450" i="1"/>
  <c r="AI450" i="1"/>
  <c r="AJ450" i="1"/>
  <c r="AK450" i="1"/>
  <c r="AL450" i="1"/>
  <c r="AM450" i="1"/>
  <c r="AN450" i="1"/>
  <c r="AO450" i="1"/>
  <c r="AP450" i="1"/>
  <c r="AQ450" i="1"/>
  <c r="AR450" i="1"/>
  <c r="Z449" i="1"/>
  <c r="AA449" i="1"/>
  <c r="AB449" i="1"/>
  <c r="AC449" i="1"/>
  <c r="AD449" i="1"/>
  <c r="AE449" i="1"/>
  <c r="AF449" i="1"/>
  <c r="AG449" i="1"/>
  <c r="AH449" i="1"/>
  <c r="AI449" i="1"/>
  <c r="AJ449" i="1"/>
  <c r="AK449" i="1"/>
  <c r="AL449" i="1"/>
  <c r="AM449" i="1"/>
  <c r="AN449" i="1"/>
  <c r="AO449" i="1"/>
  <c r="AP449" i="1"/>
  <c r="AQ449" i="1"/>
  <c r="AR449" i="1"/>
  <c r="Z448" i="1"/>
  <c r="AA448" i="1"/>
  <c r="AB448" i="1"/>
  <c r="AC448" i="1"/>
  <c r="AD448" i="1"/>
  <c r="AE448" i="1"/>
  <c r="AF448" i="1"/>
  <c r="AG448" i="1"/>
  <c r="AH448" i="1"/>
  <c r="AI448" i="1"/>
  <c r="AJ448" i="1"/>
  <c r="AK448" i="1"/>
  <c r="AL448" i="1"/>
  <c r="AM448" i="1"/>
  <c r="AN448" i="1"/>
  <c r="AO448" i="1"/>
  <c r="AP448" i="1"/>
  <c r="AQ448" i="1"/>
  <c r="AR448" i="1"/>
  <c r="Z447" i="1"/>
  <c r="AA447" i="1"/>
  <c r="AB447" i="1"/>
  <c r="AC447" i="1"/>
  <c r="AD447" i="1"/>
  <c r="AE447" i="1"/>
  <c r="AF447" i="1"/>
  <c r="AG447" i="1"/>
  <c r="AH447" i="1"/>
  <c r="AI447" i="1"/>
  <c r="AJ447" i="1"/>
  <c r="AK447" i="1"/>
  <c r="AL447" i="1"/>
  <c r="AM447" i="1"/>
  <c r="AN447" i="1"/>
  <c r="AO447" i="1"/>
  <c r="AP447" i="1"/>
  <c r="AQ447" i="1"/>
  <c r="AR447" i="1"/>
  <c r="Z446" i="1"/>
  <c r="AA446" i="1"/>
  <c r="AB446" i="1"/>
  <c r="AC446" i="1"/>
  <c r="AD446" i="1"/>
  <c r="AE446" i="1"/>
  <c r="AF446" i="1"/>
  <c r="AG446" i="1"/>
  <c r="AH446" i="1"/>
  <c r="AI446" i="1"/>
  <c r="AJ446" i="1"/>
  <c r="AK446" i="1"/>
  <c r="AL446" i="1"/>
  <c r="AM446" i="1"/>
  <c r="AN446" i="1"/>
  <c r="AO446" i="1"/>
  <c r="AP446" i="1"/>
  <c r="AQ446" i="1"/>
  <c r="AR446" i="1"/>
  <c r="Z445" i="1"/>
  <c r="AA445" i="1"/>
  <c r="AB445" i="1"/>
  <c r="AC445" i="1"/>
  <c r="AD445" i="1"/>
  <c r="AE445" i="1"/>
  <c r="AF445" i="1"/>
  <c r="AG445" i="1"/>
  <c r="AH445" i="1"/>
  <c r="AI445" i="1"/>
  <c r="AJ445" i="1"/>
  <c r="AK445" i="1"/>
  <c r="AL445" i="1"/>
  <c r="AM445" i="1"/>
  <c r="AN445" i="1"/>
  <c r="AO445" i="1"/>
  <c r="AP445" i="1"/>
  <c r="AQ445" i="1"/>
  <c r="AR445" i="1"/>
  <c r="Z444" i="1"/>
  <c r="AA444" i="1"/>
  <c r="AB444" i="1"/>
  <c r="AC444" i="1"/>
  <c r="AD444" i="1"/>
  <c r="AE444" i="1"/>
  <c r="AF444" i="1"/>
  <c r="AG444" i="1"/>
  <c r="AH444" i="1"/>
  <c r="AI444" i="1"/>
  <c r="AJ444" i="1"/>
  <c r="AK444" i="1"/>
  <c r="AL444" i="1"/>
  <c r="AM444" i="1"/>
  <c r="AN444" i="1"/>
  <c r="AO444" i="1"/>
  <c r="AP444" i="1"/>
  <c r="AQ444" i="1"/>
  <c r="AR444" i="1"/>
  <c r="Z443" i="1"/>
  <c r="AA443" i="1"/>
  <c r="AB443" i="1"/>
  <c r="AC443" i="1"/>
  <c r="AD443" i="1"/>
  <c r="AE443" i="1"/>
  <c r="AF443" i="1"/>
  <c r="AG443" i="1"/>
  <c r="AH443" i="1"/>
  <c r="AI443" i="1"/>
  <c r="AJ443" i="1"/>
  <c r="AK443" i="1"/>
  <c r="AL443" i="1"/>
  <c r="AM443" i="1"/>
  <c r="AN443" i="1"/>
  <c r="AO443" i="1"/>
  <c r="AP443" i="1"/>
  <c r="AQ443" i="1"/>
  <c r="AR443" i="1"/>
  <c r="Z442" i="1"/>
  <c r="AA442" i="1"/>
  <c r="AB442" i="1"/>
  <c r="AC442" i="1"/>
  <c r="AD442" i="1"/>
  <c r="AE442" i="1"/>
  <c r="AF442" i="1"/>
  <c r="AG442" i="1"/>
  <c r="AH442" i="1"/>
  <c r="AI442" i="1"/>
  <c r="AJ442" i="1"/>
  <c r="AK442" i="1"/>
  <c r="AL442" i="1"/>
  <c r="AM442" i="1"/>
  <c r="AN442" i="1"/>
  <c r="AO442" i="1"/>
  <c r="AP442" i="1"/>
  <c r="AQ442" i="1"/>
  <c r="AR442" i="1"/>
  <c r="Z441" i="1"/>
  <c r="AA441" i="1"/>
  <c r="AB441" i="1"/>
  <c r="AC441" i="1"/>
  <c r="AD441" i="1"/>
  <c r="AE441" i="1"/>
  <c r="AF441" i="1"/>
  <c r="AG441" i="1"/>
  <c r="AH441" i="1"/>
  <c r="AI441" i="1"/>
  <c r="AJ441" i="1"/>
  <c r="AK441" i="1"/>
  <c r="AL441" i="1"/>
  <c r="AM441" i="1"/>
  <c r="AN441" i="1"/>
  <c r="AO441" i="1"/>
  <c r="AP441" i="1"/>
  <c r="AQ441" i="1"/>
  <c r="AR441" i="1"/>
  <c r="Z440" i="1"/>
  <c r="AA440" i="1"/>
  <c r="AB440" i="1"/>
  <c r="AC440" i="1"/>
  <c r="AD440" i="1"/>
  <c r="AE440" i="1"/>
  <c r="AF440" i="1"/>
  <c r="AG440" i="1"/>
  <c r="AH440" i="1"/>
  <c r="AI440" i="1"/>
  <c r="AJ440" i="1"/>
  <c r="AK440" i="1"/>
  <c r="AL440" i="1"/>
  <c r="AM440" i="1"/>
  <c r="AN440" i="1"/>
  <c r="AO440" i="1"/>
  <c r="AP440" i="1"/>
  <c r="AQ440" i="1"/>
  <c r="AR440" i="1"/>
  <c r="Z439" i="1"/>
  <c r="AA439" i="1"/>
  <c r="AB439" i="1"/>
  <c r="AC439" i="1"/>
  <c r="AD439" i="1"/>
  <c r="AE439" i="1"/>
  <c r="AF439" i="1"/>
  <c r="AG439" i="1"/>
  <c r="AH439" i="1"/>
  <c r="AI439" i="1"/>
  <c r="AJ439" i="1"/>
  <c r="AK439" i="1"/>
  <c r="AL439" i="1"/>
  <c r="AM439" i="1"/>
  <c r="AN439" i="1"/>
  <c r="AO439" i="1"/>
  <c r="AP439" i="1"/>
  <c r="AQ439" i="1"/>
  <c r="AR439" i="1"/>
  <c r="Z438" i="1"/>
  <c r="AA438" i="1"/>
  <c r="AB438" i="1"/>
  <c r="AC438" i="1"/>
  <c r="AD438" i="1"/>
  <c r="AE438" i="1"/>
  <c r="AF438" i="1"/>
  <c r="AG438" i="1"/>
  <c r="AH438" i="1"/>
  <c r="AI438" i="1"/>
  <c r="AJ438" i="1"/>
  <c r="AK438" i="1"/>
  <c r="AL438" i="1"/>
  <c r="AM438" i="1"/>
  <c r="AN438" i="1"/>
  <c r="AO438" i="1"/>
  <c r="AP438" i="1"/>
  <c r="AQ438" i="1"/>
  <c r="AR438" i="1"/>
  <c r="Z437" i="1"/>
  <c r="AA437" i="1"/>
  <c r="AB437" i="1"/>
  <c r="AC437" i="1"/>
  <c r="AD437" i="1"/>
  <c r="AE437" i="1"/>
  <c r="AF437" i="1"/>
  <c r="AG437" i="1"/>
  <c r="AH437" i="1"/>
  <c r="AI437" i="1"/>
  <c r="AJ437" i="1"/>
  <c r="AK437" i="1"/>
  <c r="AL437" i="1"/>
  <c r="AM437" i="1"/>
  <c r="AN437" i="1"/>
  <c r="AO437" i="1"/>
  <c r="AP437" i="1"/>
  <c r="AQ437" i="1"/>
  <c r="AR437" i="1"/>
  <c r="Z436" i="1"/>
  <c r="AA436" i="1"/>
  <c r="AB436" i="1"/>
  <c r="AC436" i="1"/>
  <c r="AD436" i="1"/>
  <c r="AE436" i="1"/>
  <c r="AF436" i="1"/>
  <c r="AG436" i="1"/>
  <c r="AH436" i="1"/>
  <c r="AI436" i="1"/>
  <c r="AJ436" i="1"/>
  <c r="AK436" i="1"/>
  <c r="AL436" i="1"/>
  <c r="AM436" i="1"/>
  <c r="AN436" i="1"/>
  <c r="AO436" i="1"/>
  <c r="AP436" i="1"/>
  <c r="AQ436" i="1"/>
  <c r="AR436" i="1"/>
  <c r="Z435" i="1"/>
  <c r="AA435" i="1"/>
  <c r="AB435" i="1"/>
  <c r="AC435" i="1"/>
  <c r="AD435" i="1"/>
  <c r="AE435" i="1"/>
  <c r="AF435" i="1"/>
  <c r="AG435" i="1"/>
  <c r="AH435" i="1"/>
  <c r="AI435" i="1"/>
  <c r="AJ435" i="1"/>
  <c r="AK435" i="1"/>
  <c r="AL435" i="1"/>
  <c r="AM435" i="1"/>
  <c r="AN435" i="1"/>
  <c r="AO435" i="1"/>
  <c r="AP435" i="1"/>
  <c r="AQ435" i="1"/>
  <c r="AR435" i="1"/>
  <c r="AS455" i="1" l="1"/>
  <c r="AS454" i="1"/>
  <c r="AS453" i="1"/>
  <c r="AS452" i="1"/>
  <c r="AS451" i="1"/>
  <c r="AS450" i="1"/>
  <c r="AS449" i="1"/>
  <c r="AS448" i="1"/>
  <c r="AS447" i="1"/>
  <c r="AS446" i="1"/>
  <c r="AS445" i="1"/>
  <c r="AS444" i="1"/>
  <c r="AS443" i="1"/>
  <c r="AS442" i="1"/>
  <c r="AS441" i="1"/>
  <c r="AS440" i="1"/>
  <c r="AS439" i="1"/>
  <c r="AS438" i="1"/>
  <c r="AS437" i="1"/>
  <c r="AS436" i="1"/>
  <c r="AS435" i="1"/>
  <c r="Z434" i="1" l="1"/>
  <c r="AA434" i="1"/>
  <c r="AB434" i="1"/>
  <c r="AC434" i="1"/>
  <c r="AD434" i="1"/>
  <c r="AE434" i="1"/>
  <c r="AF434" i="1"/>
  <c r="AG434" i="1"/>
  <c r="AH434" i="1"/>
  <c r="AI434" i="1"/>
  <c r="AJ434" i="1"/>
  <c r="AK434" i="1"/>
  <c r="AL434" i="1"/>
  <c r="AM434" i="1"/>
  <c r="AN434" i="1"/>
  <c r="AO434" i="1"/>
  <c r="AP434" i="1"/>
  <c r="AQ434" i="1"/>
  <c r="AR434" i="1"/>
  <c r="Z433" i="1"/>
  <c r="AA433" i="1"/>
  <c r="AB433" i="1"/>
  <c r="AC433" i="1"/>
  <c r="AD433" i="1"/>
  <c r="AE433" i="1"/>
  <c r="AF433" i="1"/>
  <c r="AG433" i="1"/>
  <c r="AH433" i="1"/>
  <c r="AI433" i="1"/>
  <c r="AJ433" i="1"/>
  <c r="AK433" i="1"/>
  <c r="AL433" i="1"/>
  <c r="AM433" i="1"/>
  <c r="AN433" i="1"/>
  <c r="AO433" i="1"/>
  <c r="AP433" i="1"/>
  <c r="AQ433" i="1"/>
  <c r="AR433" i="1"/>
  <c r="Z432" i="1"/>
  <c r="AA432" i="1"/>
  <c r="AB432" i="1"/>
  <c r="AC432" i="1"/>
  <c r="AD432" i="1"/>
  <c r="AE432" i="1"/>
  <c r="AF432" i="1"/>
  <c r="AG432" i="1"/>
  <c r="AH432" i="1"/>
  <c r="AI432" i="1"/>
  <c r="AJ432" i="1"/>
  <c r="AK432" i="1"/>
  <c r="AL432" i="1"/>
  <c r="AM432" i="1"/>
  <c r="AN432" i="1"/>
  <c r="AO432" i="1"/>
  <c r="AP432" i="1"/>
  <c r="AQ432" i="1"/>
  <c r="AR432" i="1"/>
  <c r="Z431" i="1"/>
  <c r="AA431" i="1"/>
  <c r="AB431" i="1"/>
  <c r="AC431" i="1"/>
  <c r="AD431" i="1"/>
  <c r="AE431" i="1"/>
  <c r="AF431" i="1"/>
  <c r="AG431" i="1"/>
  <c r="AH431" i="1"/>
  <c r="AI431" i="1"/>
  <c r="AJ431" i="1"/>
  <c r="AK431" i="1"/>
  <c r="AL431" i="1"/>
  <c r="AM431" i="1"/>
  <c r="AN431" i="1"/>
  <c r="AO431" i="1"/>
  <c r="AP431" i="1"/>
  <c r="AQ431" i="1"/>
  <c r="AR431" i="1"/>
  <c r="Z430" i="1"/>
  <c r="AA430" i="1"/>
  <c r="AB430" i="1"/>
  <c r="AC430" i="1"/>
  <c r="AD430" i="1"/>
  <c r="AE430" i="1"/>
  <c r="AF430" i="1"/>
  <c r="AG430" i="1"/>
  <c r="AH430" i="1"/>
  <c r="AI430" i="1"/>
  <c r="AJ430" i="1"/>
  <c r="AK430" i="1"/>
  <c r="AL430" i="1"/>
  <c r="AM430" i="1"/>
  <c r="AN430" i="1"/>
  <c r="AO430" i="1"/>
  <c r="AP430" i="1"/>
  <c r="AQ430" i="1"/>
  <c r="AR430" i="1"/>
  <c r="Z429" i="1"/>
  <c r="AA429" i="1"/>
  <c r="AB429" i="1"/>
  <c r="AC429" i="1"/>
  <c r="AD429" i="1"/>
  <c r="AE429" i="1"/>
  <c r="AF429" i="1"/>
  <c r="AG429" i="1"/>
  <c r="AH429" i="1"/>
  <c r="AI429" i="1"/>
  <c r="AJ429" i="1"/>
  <c r="AK429" i="1"/>
  <c r="AL429" i="1"/>
  <c r="AM429" i="1"/>
  <c r="AN429" i="1"/>
  <c r="AO429" i="1"/>
  <c r="AP429" i="1"/>
  <c r="AQ429" i="1"/>
  <c r="AR429" i="1"/>
  <c r="Z428" i="1"/>
  <c r="AA428" i="1"/>
  <c r="AB428" i="1"/>
  <c r="AC428" i="1"/>
  <c r="AD428" i="1"/>
  <c r="AE428" i="1"/>
  <c r="AF428" i="1"/>
  <c r="AG428" i="1"/>
  <c r="AH428" i="1"/>
  <c r="AI428" i="1"/>
  <c r="AJ428" i="1"/>
  <c r="AK428" i="1"/>
  <c r="AL428" i="1"/>
  <c r="AM428" i="1"/>
  <c r="AN428" i="1"/>
  <c r="AO428" i="1"/>
  <c r="AP428" i="1"/>
  <c r="AQ428" i="1"/>
  <c r="AR428" i="1"/>
  <c r="Z427" i="1"/>
  <c r="AA427" i="1"/>
  <c r="AB427" i="1"/>
  <c r="AC427" i="1"/>
  <c r="AD427" i="1"/>
  <c r="AE427" i="1"/>
  <c r="AF427" i="1"/>
  <c r="AG427" i="1"/>
  <c r="AH427" i="1"/>
  <c r="AI427" i="1"/>
  <c r="AJ427" i="1"/>
  <c r="AK427" i="1"/>
  <c r="AL427" i="1"/>
  <c r="AM427" i="1"/>
  <c r="AN427" i="1"/>
  <c r="AO427" i="1"/>
  <c r="AP427" i="1"/>
  <c r="AQ427" i="1"/>
  <c r="AR427" i="1"/>
  <c r="Z426" i="1"/>
  <c r="AA426" i="1"/>
  <c r="AB426" i="1"/>
  <c r="AC426" i="1"/>
  <c r="AD426" i="1"/>
  <c r="AE426" i="1"/>
  <c r="AF426" i="1"/>
  <c r="AG426" i="1"/>
  <c r="AH426" i="1"/>
  <c r="AI426" i="1"/>
  <c r="AJ426" i="1"/>
  <c r="AK426" i="1"/>
  <c r="AL426" i="1"/>
  <c r="AM426" i="1"/>
  <c r="AN426" i="1"/>
  <c r="AO426" i="1"/>
  <c r="AP426" i="1"/>
  <c r="AQ426" i="1"/>
  <c r="AR426" i="1"/>
  <c r="Z425" i="1"/>
  <c r="AA425" i="1"/>
  <c r="AB425" i="1"/>
  <c r="AC425" i="1"/>
  <c r="AD425" i="1"/>
  <c r="AE425" i="1"/>
  <c r="AF425" i="1"/>
  <c r="AG425" i="1"/>
  <c r="AH425" i="1"/>
  <c r="AI425" i="1"/>
  <c r="AJ425" i="1"/>
  <c r="AK425" i="1"/>
  <c r="AL425" i="1"/>
  <c r="AM425" i="1"/>
  <c r="AN425" i="1"/>
  <c r="AO425" i="1"/>
  <c r="AP425" i="1"/>
  <c r="AQ425" i="1"/>
  <c r="AR425" i="1"/>
  <c r="Z424" i="1"/>
  <c r="AA424" i="1"/>
  <c r="AB424" i="1"/>
  <c r="AC424" i="1"/>
  <c r="AD424" i="1"/>
  <c r="AE424" i="1"/>
  <c r="AF424" i="1"/>
  <c r="AG424" i="1"/>
  <c r="AH424" i="1"/>
  <c r="AI424" i="1"/>
  <c r="AJ424" i="1"/>
  <c r="AK424" i="1"/>
  <c r="AL424" i="1"/>
  <c r="AM424" i="1"/>
  <c r="AN424" i="1"/>
  <c r="AO424" i="1"/>
  <c r="AP424" i="1"/>
  <c r="AQ424" i="1"/>
  <c r="AR424" i="1"/>
  <c r="Z423" i="1"/>
  <c r="AA423" i="1"/>
  <c r="AB423" i="1"/>
  <c r="AC423" i="1"/>
  <c r="AD423" i="1"/>
  <c r="AE423" i="1"/>
  <c r="AF423" i="1"/>
  <c r="AG423" i="1"/>
  <c r="AH423" i="1"/>
  <c r="AI423" i="1"/>
  <c r="AJ423" i="1"/>
  <c r="AK423" i="1"/>
  <c r="AL423" i="1"/>
  <c r="AM423" i="1"/>
  <c r="AN423" i="1"/>
  <c r="AO423" i="1"/>
  <c r="AP423" i="1"/>
  <c r="AQ423" i="1"/>
  <c r="AR423" i="1"/>
  <c r="Z422" i="1"/>
  <c r="AA422" i="1"/>
  <c r="AB422" i="1"/>
  <c r="AC422" i="1"/>
  <c r="AD422" i="1"/>
  <c r="AE422" i="1"/>
  <c r="AF422" i="1"/>
  <c r="AG422" i="1"/>
  <c r="AH422" i="1"/>
  <c r="AI422" i="1"/>
  <c r="AJ422" i="1"/>
  <c r="AK422" i="1"/>
  <c r="AL422" i="1"/>
  <c r="AM422" i="1"/>
  <c r="AN422" i="1"/>
  <c r="AO422" i="1"/>
  <c r="AP422" i="1"/>
  <c r="AQ422" i="1"/>
  <c r="AR422" i="1"/>
  <c r="Z421" i="1"/>
  <c r="AA421" i="1"/>
  <c r="AB421" i="1"/>
  <c r="AC421" i="1"/>
  <c r="AD421" i="1"/>
  <c r="AE421" i="1"/>
  <c r="AF421" i="1"/>
  <c r="AG421" i="1"/>
  <c r="AH421" i="1"/>
  <c r="AI421" i="1"/>
  <c r="AJ421" i="1"/>
  <c r="AK421" i="1"/>
  <c r="AL421" i="1"/>
  <c r="AM421" i="1"/>
  <c r="AN421" i="1"/>
  <c r="AO421" i="1"/>
  <c r="AP421" i="1"/>
  <c r="AQ421" i="1"/>
  <c r="AR421" i="1"/>
  <c r="Z420" i="1"/>
  <c r="AA420" i="1"/>
  <c r="AB420" i="1"/>
  <c r="AC420" i="1"/>
  <c r="AD420" i="1"/>
  <c r="AE420" i="1"/>
  <c r="AF420" i="1"/>
  <c r="AG420" i="1"/>
  <c r="AH420" i="1"/>
  <c r="AI420" i="1"/>
  <c r="AJ420" i="1"/>
  <c r="AK420" i="1"/>
  <c r="AL420" i="1"/>
  <c r="AM420" i="1"/>
  <c r="AN420" i="1"/>
  <c r="AO420" i="1"/>
  <c r="AP420" i="1"/>
  <c r="AQ420" i="1"/>
  <c r="AR420" i="1"/>
  <c r="AS434" i="1" l="1"/>
  <c r="AS433" i="1"/>
  <c r="AS432" i="1"/>
  <c r="AS431" i="1"/>
  <c r="AS430" i="1"/>
  <c r="AS429" i="1"/>
  <c r="AS428" i="1"/>
  <c r="AS427" i="1"/>
  <c r="AS426" i="1"/>
  <c r="AS425" i="1"/>
  <c r="AS424" i="1"/>
  <c r="AS423" i="1"/>
  <c r="AS422" i="1"/>
  <c r="AS421" i="1"/>
  <c r="AS420" i="1"/>
  <c r="Z419" i="1"/>
  <c r="AA419" i="1"/>
  <c r="AB419" i="1"/>
  <c r="AC419" i="1"/>
  <c r="AD419" i="1"/>
  <c r="AE419" i="1"/>
  <c r="AF419" i="1"/>
  <c r="AG419" i="1"/>
  <c r="AH419" i="1"/>
  <c r="AI419" i="1"/>
  <c r="AJ419" i="1"/>
  <c r="AK419" i="1"/>
  <c r="AL419" i="1"/>
  <c r="AM419" i="1"/>
  <c r="AN419" i="1"/>
  <c r="AO419" i="1"/>
  <c r="AP419" i="1"/>
  <c r="AQ419" i="1"/>
  <c r="AR419" i="1"/>
  <c r="Z418" i="1"/>
  <c r="AA418" i="1"/>
  <c r="AB418" i="1"/>
  <c r="AC418" i="1"/>
  <c r="AD418" i="1"/>
  <c r="AE418" i="1"/>
  <c r="AF418" i="1"/>
  <c r="AG418" i="1"/>
  <c r="AH418" i="1"/>
  <c r="AI418" i="1"/>
  <c r="AJ418" i="1"/>
  <c r="AK418" i="1"/>
  <c r="AL418" i="1"/>
  <c r="AM418" i="1"/>
  <c r="AN418" i="1"/>
  <c r="AO418" i="1"/>
  <c r="AP418" i="1"/>
  <c r="AQ418" i="1"/>
  <c r="AR418" i="1"/>
  <c r="AS419" i="1" l="1"/>
  <c r="AS418" i="1"/>
  <c r="Z417" i="1"/>
  <c r="AA417" i="1"/>
  <c r="AB417" i="1"/>
  <c r="AC417" i="1"/>
  <c r="AD417" i="1"/>
  <c r="AE417" i="1"/>
  <c r="AF417" i="1"/>
  <c r="AG417" i="1"/>
  <c r="AH417" i="1"/>
  <c r="AI417" i="1"/>
  <c r="AJ417" i="1"/>
  <c r="AK417" i="1"/>
  <c r="AL417" i="1"/>
  <c r="AM417" i="1"/>
  <c r="AN417" i="1"/>
  <c r="AO417" i="1"/>
  <c r="AP417" i="1"/>
  <c r="AQ417" i="1"/>
  <c r="AR417" i="1"/>
  <c r="Z416" i="1"/>
  <c r="AA416" i="1"/>
  <c r="AB416" i="1"/>
  <c r="AC416" i="1"/>
  <c r="AD416" i="1"/>
  <c r="AE416" i="1"/>
  <c r="AF416" i="1"/>
  <c r="AG416" i="1"/>
  <c r="AH416" i="1"/>
  <c r="AI416" i="1"/>
  <c r="AJ416" i="1"/>
  <c r="AK416" i="1"/>
  <c r="AL416" i="1"/>
  <c r="AM416" i="1"/>
  <c r="AN416" i="1"/>
  <c r="AO416" i="1"/>
  <c r="AP416" i="1"/>
  <c r="AQ416" i="1"/>
  <c r="AR416" i="1"/>
  <c r="Z415" i="1"/>
  <c r="AA415" i="1"/>
  <c r="AB415" i="1"/>
  <c r="AC415" i="1"/>
  <c r="AD415" i="1"/>
  <c r="AE415" i="1"/>
  <c r="AF415" i="1"/>
  <c r="AG415" i="1"/>
  <c r="AH415" i="1"/>
  <c r="AI415" i="1"/>
  <c r="AJ415" i="1"/>
  <c r="AK415" i="1"/>
  <c r="AL415" i="1"/>
  <c r="AM415" i="1"/>
  <c r="AN415" i="1"/>
  <c r="AO415" i="1"/>
  <c r="AP415" i="1"/>
  <c r="AQ415" i="1"/>
  <c r="AR415" i="1"/>
  <c r="Z414" i="1"/>
  <c r="AA414" i="1"/>
  <c r="AB414" i="1"/>
  <c r="AC414" i="1"/>
  <c r="AD414" i="1"/>
  <c r="AE414" i="1"/>
  <c r="AF414" i="1"/>
  <c r="AG414" i="1"/>
  <c r="AH414" i="1"/>
  <c r="AI414" i="1"/>
  <c r="AJ414" i="1"/>
  <c r="AK414" i="1"/>
  <c r="AL414" i="1"/>
  <c r="AM414" i="1"/>
  <c r="AN414" i="1"/>
  <c r="AO414" i="1"/>
  <c r="AP414" i="1"/>
  <c r="AQ414" i="1"/>
  <c r="AR414" i="1"/>
  <c r="Z413" i="1"/>
  <c r="AA413" i="1"/>
  <c r="AB413" i="1"/>
  <c r="AC413" i="1"/>
  <c r="AD413" i="1"/>
  <c r="AE413" i="1"/>
  <c r="AF413" i="1"/>
  <c r="AG413" i="1"/>
  <c r="AH413" i="1"/>
  <c r="AI413" i="1"/>
  <c r="AJ413" i="1"/>
  <c r="AK413" i="1"/>
  <c r="AL413" i="1"/>
  <c r="AM413" i="1"/>
  <c r="AN413" i="1"/>
  <c r="AO413" i="1"/>
  <c r="AP413" i="1"/>
  <c r="AQ413" i="1"/>
  <c r="AR413" i="1"/>
  <c r="Z412" i="1"/>
  <c r="AA412" i="1"/>
  <c r="AB412" i="1"/>
  <c r="AC412" i="1"/>
  <c r="AD412" i="1"/>
  <c r="AE412" i="1"/>
  <c r="AF412" i="1"/>
  <c r="AG412" i="1"/>
  <c r="AH412" i="1"/>
  <c r="AI412" i="1"/>
  <c r="AJ412" i="1"/>
  <c r="AK412" i="1"/>
  <c r="AL412" i="1"/>
  <c r="AM412" i="1"/>
  <c r="AN412" i="1"/>
  <c r="AO412" i="1"/>
  <c r="AP412" i="1"/>
  <c r="AQ412" i="1"/>
  <c r="AR412" i="1"/>
  <c r="Z411" i="1"/>
  <c r="AA411" i="1"/>
  <c r="AB411" i="1"/>
  <c r="AC411" i="1"/>
  <c r="AD411" i="1"/>
  <c r="AE411" i="1"/>
  <c r="AF411" i="1"/>
  <c r="AG411" i="1"/>
  <c r="AH411" i="1"/>
  <c r="AI411" i="1"/>
  <c r="AJ411" i="1"/>
  <c r="AK411" i="1"/>
  <c r="AL411" i="1"/>
  <c r="AM411" i="1"/>
  <c r="AN411" i="1"/>
  <c r="AO411" i="1"/>
  <c r="AP411" i="1"/>
  <c r="AQ411" i="1"/>
  <c r="AR411" i="1"/>
  <c r="Z410" i="1"/>
  <c r="AA410" i="1"/>
  <c r="AB410" i="1"/>
  <c r="AC410" i="1"/>
  <c r="AD410" i="1"/>
  <c r="AE410" i="1"/>
  <c r="AF410" i="1"/>
  <c r="AG410" i="1"/>
  <c r="AH410" i="1"/>
  <c r="AI410" i="1"/>
  <c r="AJ410" i="1"/>
  <c r="AK410" i="1"/>
  <c r="AL410" i="1"/>
  <c r="AM410" i="1"/>
  <c r="AN410" i="1"/>
  <c r="AO410" i="1"/>
  <c r="AP410" i="1"/>
  <c r="AQ410" i="1"/>
  <c r="AR410" i="1"/>
  <c r="Z409" i="1"/>
  <c r="AA409" i="1"/>
  <c r="AB409" i="1"/>
  <c r="AC409" i="1"/>
  <c r="AD409" i="1"/>
  <c r="AE409" i="1"/>
  <c r="AF409" i="1"/>
  <c r="AG409" i="1"/>
  <c r="AH409" i="1"/>
  <c r="AI409" i="1"/>
  <c r="AJ409" i="1"/>
  <c r="AK409" i="1"/>
  <c r="AL409" i="1"/>
  <c r="AM409" i="1"/>
  <c r="AN409" i="1"/>
  <c r="AO409" i="1"/>
  <c r="AP409" i="1"/>
  <c r="AQ409" i="1"/>
  <c r="AR409" i="1"/>
  <c r="Z408" i="1"/>
  <c r="AA408" i="1"/>
  <c r="AB408" i="1"/>
  <c r="AC408" i="1"/>
  <c r="AD408" i="1"/>
  <c r="AE408" i="1"/>
  <c r="AF408" i="1"/>
  <c r="AG408" i="1"/>
  <c r="AH408" i="1"/>
  <c r="AI408" i="1"/>
  <c r="AJ408" i="1"/>
  <c r="AK408" i="1"/>
  <c r="AL408" i="1"/>
  <c r="AM408" i="1"/>
  <c r="AN408" i="1"/>
  <c r="AO408" i="1"/>
  <c r="AP408" i="1"/>
  <c r="AQ408" i="1"/>
  <c r="AR408" i="1"/>
  <c r="Z407" i="1"/>
  <c r="AA407" i="1"/>
  <c r="AB407" i="1"/>
  <c r="AC407" i="1"/>
  <c r="AD407" i="1"/>
  <c r="AE407" i="1"/>
  <c r="AF407" i="1"/>
  <c r="AG407" i="1"/>
  <c r="AH407" i="1"/>
  <c r="AI407" i="1"/>
  <c r="AJ407" i="1"/>
  <c r="AK407" i="1"/>
  <c r="AL407" i="1"/>
  <c r="AM407" i="1"/>
  <c r="AN407" i="1"/>
  <c r="AO407" i="1"/>
  <c r="AP407" i="1"/>
  <c r="AQ407" i="1"/>
  <c r="AR407" i="1"/>
  <c r="Z406" i="1"/>
  <c r="AA406" i="1"/>
  <c r="AB406" i="1"/>
  <c r="AC406" i="1"/>
  <c r="AD406" i="1"/>
  <c r="AE406" i="1"/>
  <c r="AF406" i="1"/>
  <c r="AG406" i="1"/>
  <c r="AH406" i="1"/>
  <c r="AI406" i="1"/>
  <c r="AJ406" i="1"/>
  <c r="AK406" i="1"/>
  <c r="AL406" i="1"/>
  <c r="AM406" i="1"/>
  <c r="AN406" i="1"/>
  <c r="AO406" i="1"/>
  <c r="AP406" i="1"/>
  <c r="AQ406" i="1"/>
  <c r="AR406" i="1"/>
  <c r="Z405" i="1"/>
  <c r="AA405" i="1"/>
  <c r="AB405" i="1"/>
  <c r="AC405" i="1"/>
  <c r="AD405" i="1"/>
  <c r="AE405" i="1"/>
  <c r="AF405" i="1"/>
  <c r="AG405" i="1"/>
  <c r="AH405" i="1"/>
  <c r="AI405" i="1"/>
  <c r="AJ405" i="1"/>
  <c r="AK405" i="1"/>
  <c r="AL405" i="1"/>
  <c r="AM405" i="1"/>
  <c r="AN405" i="1"/>
  <c r="AO405" i="1"/>
  <c r="AP405" i="1"/>
  <c r="AQ405" i="1"/>
  <c r="AR405" i="1"/>
  <c r="Z404" i="1"/>
  <c r="AA404" i="1"/>
  <c r="AB404" i="1"/>
  <c r="AC404" i="1"/>
  <c r="AD404" i="1"/>
  <c r="AE404" i="1"/>
  <c r="AF404" i="1"/>
  <c r="AG404" i="1"/>
  <c r="AH404" i="1"/>
  <c r="AI404" i="1"/>
  <c r="AJ404" i="1"/>
  <c r="AK404" i="1"/>
  <c r="AL404" i="1"/>
  <c r="AM404" i="1"/>
  <c r="AN404" i="1"/>
  <c r="AO404" i="1"/>
  <c r="AP404" i="1"/>
  <c r="AQ404" i="1"/>
  <c r="AR404" i="1"/>
  <c r="Z403" i="1"/>
  <c r="AA403" i="1"/>
  <c r="AB403" i="1"/>
  <c r="AC403" i="1"/>
  <c r="AD403" i="1"/>
  <c r="AE403" i="1"/>
  <c r="AF403" i="1"/>
  <c r="AG403" i="1"/>
  <c r="AH403" i="1"/>
  <c r="AI403" i="1"/>
  <c r="AJ403" i="1"/>
  <c r="AK403" i="1"/>
  <c r="AL403" i="1"/>
  <c r="AM403" i="1"/>
  <c r="AN403" i="1"/>
  <c r="AO403" i="1"/>
  <c r="AP403" i="1"/>
  <c r="AQ403" i="1"/>
  <c r="AR403" i="1"/>
  <c r="Z402" i="1"/>
  <c r="AA402" i="1"/>
  <c r="AB402" i="1"/>
  <c r="AC402" i="1"/>
  <c r="AD402" i="1"/>
  <c r="AE402" i="1"/>
  <c r="AF402" i="1"/>
  <c r="AG402" i="1"/>
  <c r="AH402" i="1"/>
  <c r="AI402" i="1"/>
  <c r="AJ402" i="1"/>
  <c r="AK402" i="1"/>
  <c r="AL402" i="1"/>
  <c r="AM402" i="1"/>
  <c r="AN402" i="1"/>
  <c r="AO402" i="1"/>
  <c r="AP402" i="1"/>
  <c r="AQ402" i="1"/>
  <c r="AR402" i="1"/>
  <c r="Z401" i="1"/>
  <c r="AA401" i="1"/>
  <c r="AB401" i="1"/>
  <c r="AC401" i="1"/>
  <c r="AD401" i="1"/>
  <c r="AE401" i="1"/>
  <c r="AF401" i="1"/>
  <c r="AG401" i="1"/>
  <c r="AH401" i="1"/>
  <c r="AI401" i="1"/>
  <c r="AJ401" i="1"/>
  <c r="AK401" i="1"/>
  <c r="AL401" i="1"/>
  <c r="AM401" i="1"/>
  <c r="AN401" i="1"/>
  <c r="AO401" i="1"/>
  <c r="AP401" i="1"/>
  <c r="AQ401" i="1"/>
  <c r="AR401" i="1"/>
  <c r="Z400" i="1"/>
  <c r="AA400" i="1"/>
  <c r="AB400" i="1"/>
  <c r="AC400" i="1"/>
  <c r="AD400" i="1"/>
  <c r="AE400" i="1"/>
  <c r="AF400" i="1"/>
  <c r="AG400" i="1"/>
  <c r="AH400" i="1"/>
  <c r="AI400" i="1"/>
  <c r="AJ400" i="1"/>
  <c r="AK400" i="1"/>
  <c r="AL400" i="1"/>
  <c r="AM400" i="1"/>
  <c r="AN400" i="1"/>
  <c r="AO400" i="1"/>
  <c r="AP400" i="1"/>
  <c r="AQ400" i="1"/>
  <c r="AR400" i="1"/>
  <c r="Z399" i="1"/>
  <c r="AA399" i="1"/>
  <c r="AB399" i="1"/>
  <c r="AC399" i="1"/>
  <c r="AD399" i="1"/>
  <c r="AE399" i="1"/>
  <c r="AF399" i="1"/>
  <c r="AG399" i="1"/>
  <c r="AH399" i="1"/>
  <c r="AI399" i="1"/>
  <c r="AJ399" i="1"/>
  <c r="AK399" i="1"/>
  <c r="AL399" i="1"/>
  <c r="AM399" i="1"/>
  <c r="AN399" i="1"/>
  <c r="AO399" i="1"/>
  <c r="AP399" i="1"/>
  <c r="AQ399" i="1"/>
  <c r="AR399" i="1"/>
  <c r="Z398" i="1"/>
  <c r="AA398" i="1"/>
  <c r="AB398" i="1"/>
  <c r="AC398" i="1"/>
  <c r="AD398" i="1"/>
  <c r="AE398" i="1"/>
  <c r="AF398" i="1"/>
  <c r="AG398" i="1"/>
  <c r="AH398" i="1"/>
  <c r="AI398" i="1"/>
  <c r="AJ398" i="1"/>
  <c r="AK398" i="1"/>
  <c r="AL398" i="1"/>
  <c r="AM398" i="1"/>
  <c r="AN398" i="1"/>
  <c r="AO398" i="1"/>
  <c r="AP398" i="1"/>
  <c r="AQ398" i="1"/>
  <c r="AR398" i="1"/>
  <c r="Z397" i="1"/>
  <c r="AA397" i="1"/>
  <c r="AB397" i="1"/>
  <c r="AC397" i="1"/>
  <c r="AD397" i="1"/>
  <c r="AE397" i="1"/>
  <c r="AF397" i="1"/>
  <c r="AG397" i="1"/>
  <c r="AH397" i="1"/>
  <c r="AI397" i="1"/>
  <c r="AJ397" i="1"/>
  <c r="AK397" i="1"/>
  <c r="AL397" i="1"/>
  <c r="AM397" i="1"/>
  <c r="AN397" i="1"/>
  <c r="AO397" i="1"/>
  <c r="AP397" i="1"/>
  <c r="AQ397" i="1"/>
  <c r="AR397" i="1"/>
  <c r="Z396" i="1"/>
  <c r="AA396" i="1"/>
  <c r="AB396" i="1"/>
  <c r="AC396" i="1"/>
  <c r="AD396" i="1"/>
  <c r="AE396" i="1"/>
  <c r="AF396" i="1"/>
  <c r="AG396" i="1"/>
  <c r="AH396" i="1"/>
  <c r="AI396" i="1"/>
  <c r="AJ396" i="1"/>
  <c r="AK396" i="1"/>
  <c r="AL396" i="1"/>
  <c r="AM396" i="1"/>
  <c r="AN396" i="1"/>
  <c r="AO396" i="1"/>
  <c r="AP396" i="1"/>
  <c r="AQ396" i="1"/>
  <c r="AR396" i="1"/>
  <c r="Z395" i="1"/>
  <c r="AA395" i="1"/>
  <c r="AB395" i="1"/>
  <c r="AC395" i="1"/>
  <c r="AD395" i="1"/>
  <c r="AE395" i="1"/>
  <c r="AF395" i="1"/>
  <c r="AG395" i="1"/>
  <c r="AH395" i="1"/>
  <c r="AI395" i="1"/>
  <c r="AJ395" i="1"/>
  <c r="AK395" i="1"/>
  <c r="AL395" i="1"/>
  <c r="AM395" i="1"/>
  <c r="AN395" i="1"/>
  <c r="AO395" i="1"/>
  <c r="AP395" i="1"/>
  <c r="AQ395" i="1"/>
  <c r="AR395" i="1"/>
  <c r="Z394" i="1"/>
  <c r="AA394" i="1"/>
  <c r="AB394" i="1"/>
  <c r="AC394" i="1"/>
  <c r="AD394" i="1"/>
  <c r="AE394" i="1"/>
  <c r="AF394" i="1"/>
  <c r="AG394" i="1"/>
  <c r="AH394" i="1"/>
  <c r="AI394" i="1"/>
  <c r="AJ394" i="1"/>
  <c r="AK394" i="1"/>
  <c r="AL394" i="1"/>
  <c r="AM394" i="1"/>
  <c r="AN394" i="1"/>
  <c r="AO394" i="1"/>
  <c r="AP394" i="1"/>
  <c r="AQ394" i="1"/>
  <c r="AR394" i="1"/>
  <c r="AS417" i="1" l="1"/>
  <c r="AS416" i="1"/>
  <c r="AS415" i="1"/>
  <c r="AS414" i="1"/>
  <c r="AS413" i="1"/>
  <c r="AS412" i="1"/>
  <c r="AS411" i="1"/>
  <c r="AS410" i="1"/>
  <c r="AS409" i="1"/>
  <c r="AS408" i="1"/>
  <c r="AS407" i="1"/>
  <c r="AS406" i="1"/>
  <c r="AS405" i="1"/>
  <c r="AS404" i="1"/>
  <c r="AS403" i="1"/>
  <c r="AS402" i="1"/>
  <c r="AS401" i="1"/>
  <c r="AS400" i="1"/>
  <c r="AS399" i="1"/>
  <c r="AS398" i="1"/>
  <c r="AS397" i="1"/>
  <c r="AS396" i="1"/>
  <c r="AS395" i="1"/>
  <c r="AS394" i="1"/>
  <c r="Z393" i="1" l="1"/>
  <c r="AA393" i="1"/>
  <c r="AB393" i="1"/>
  <c r="AC393" i="1"/>
  <c r="AD393" i="1"/>
  <c r="AE393" i="1"/>
  <c r="AF393" i="1"/>
  <c r="AG393" i="1"/>
  <c r="AH393" i="1"/>
  <c r="AI393" i="1"/>
  <c r="AJ393" i="1"/>
  <c r="AK393" i="1"/>
  <c r="AL393" i="1"/>
  <c r="AM393" i="1"/>
  <c r="AN393" i="1"/>
  <c r="AO393" i="1"/>
  <c r="AP393" i="1"/>
  <c r="AQ393" i="1"/>
  <c r="AR393" i="1"/>
  <c r="Z392" i="1"/>
  <c r="AA392" i="1"/>
  <c r="AB392" i="1"/>
  <c r="AC392" i="1"/>
  <c r="AD392" i="1"/>
  <c r="AE392" i="1"/>
  <c r="AF392" i="1"/>
  <c r="AG392" i="1"/>
  <c r="AH392" i="1"/>
  <c r="AI392" i="1"/>
  <c r="AJ392" i="1"/>
  <c r="AK392" i="1"/>
  <c r="AL392" i="1"/>
  <c r="AM392" i="1"/>
  <c r="AN392" i="1"/>
  <c r="AO392" i="1"/>
  <c r="AP392" i="1"/>
  <c r="AQ392" i="1"/>
  <c r="AR392" i="1"/>
  <c r="Z391" i="1"/>
  <c r="AA391" i="1"/>
  <c r="AB391" i="1"/>
  <c r="AC391" i="1"/>
  <c r="AD391" i="1"/>
  <c r="AE391" i="1"/>
  <c r="AF391" i="1"/>
  <c r="AG391" i="1"/>
  <c r="AH391" i="1"/>
  <c r="AI391" i="1"/>
  <c r="AJ391" i="1"/>
  <c r="AK391" i="1"/>
  <c r="AL391" i="1"/>
  <c r="AM391" i="1"/>
  <c r="AN391" i="1"/>
  <c r="AO391" i="1"/>
  <c r="AP391" i="1"/>
  <c r="AQ391" i="1"/>
  <c r="AR391" i="1"/>
  <c r="Z390" i="1"/>
  <c r="AA390" i="1"/>
  <c r="AB390" i="1"/>
  <c r="AC390" i="1"/>
  <c r="AD390" i="1"/>
  <c r="AE390" i="1"/>
  <c r="AF390" i="1"/>
  <c r="AG390" i="1"/>
  <c r="AH390" i="1"/>
  <c r="AI390" i="1"/>
  <c r="AJ390" i="1"/>
  <c r="AK390" i="1"/>
  <c r="AL390" i="1"/>
  <c r="AM390" i="1"/>
  <c r="AN390" i="1"/>
  <c r="AO390" i="1"/>
  <c r="AP390" i="1"/>
  <c r="AQ390" i="1"/>
  <c r="AR390" i="1"/>
  <c r="Z389" i="1"/>
  <c r="AA389" i="1"/>
  <c r="AB389" i="1"/>
  <c r="AC389" i="1"/>
  <c r="AD389" i="1"/>
  <c r="AE389" i="1"/>
  <c r="AF389" i="1"/>
  <c r="AG389" i="1"/>
  <c r="AH389" i="1"/>
  <c r="AI389" i="1"/>
  <c r="AJ389" i="1"/>
  <c r="AK389" i="1"/>
  <c r="AL389" i="1"/>
  <c r="AM389" i="1"/>
  <c r="AN389" i="1"/>
  <c r="AO389" i="1"/>
  <c r="AP389" i="1"/>
  <c r="AQ389" i="1"/>
  <c r="AR389" i="1"/>
  <c r="AS393" i="1" l="1"/>
  <c r="AS392" i="1"/>
  <c r="AS391" i="1"/>
  <c r="AS390" i="1"/>
  <c r="AS389" i="1"/>
  <c r="Z388" i="1"/>
  <c r="AA388" i="1"/>
  <c r="AB388" i="1"/>
  <c r="AC388" i="1"/>
  <c r="AD388" i="1"/>
  <c r="AE388" i="1"/>
  <c r="AF388" i="1"/>
  <c r="AG388" i="1"/>
  <c r="AH388" i="1"/>
  <c r="AI388" i="1"/>
  <c r="AJ388" i="1"/>
  <c r="AK388" i="1"/>
  <c r="AL388" i="1"/>
  <c r="AM388" i="1"/>
  <c r="AN388" i="1"/>
  <c r="AO388" i="1"/>
  <c r="AP388" i="1"/>
  <c r="AQ388" i="1"/>
  <c r="AR388" i="1"/>
  <c r="Z387" i="1"/>
  <c r="AA387" i="1"/>
  <c r="AB387" i="1"/>
  <c r="AC387" i="1"/>
  <c r="AD387" i="1"/>
  <c r="AE387" i="1"/>
  <c r="AF387" i="1"/>
  <c r="AG387" i="1"/>
  <c r="AH387" i="1"/>
  <c r="AI387" i="1"/>
  <c r="AJ387" i="1"/>
  <c r="AK387" i="1"/>
  <c r="AL387" i="1"/>
  <c r="AM387" i="1"/>
  <c r="AN387" i="1"/>
  <c r="AO387" i="1"/>
  <c r="AP387" i="1"/>
  <c r="AQ387" i="1"/>
  <c r="AR387" i="1"/>
  <c r="Z386" i="1"/>
  <c r="AA386" i="1"/>
  <c r="AB386" i="1"/>
  <c r="AC386" i="1"/>
  <c r="AD386" i="1"/>
  <c r="AE386" i="1"/>
  <c r="AF386" i="1"/>
  <c r="AG386" i="1"/>
  <c r="AH386" i="1"/>
  <c r="AI386" i="1"/>
  <c r="AJ386" i="1"/>
  <c r="AK386" i="1"/>
  <c r="AL386" i="1"/>
  <c r="AM386" i="1"/>
  <c r="AN386" i="1"/>
  <c r="AO386" i="1"/>
  <c r="AP386" i="1"/>
  <c r="AQ386" i="1"/>
  <c r="AR386" i="1"/>
  <c r="Z385" i="1"/>
  <c r="AA385" i="1"/>
  <c r="AB385" i="1"/>
  <c r="AC385" i="1"/>
  <c r="AD385" i="1"/>
  <c r="AE385" i="1"/>
  <c r="AF385" i="1"/>
  <c r="AG385" i="1"/>
  <c r="AH385" i="1"/>
  <c r="AI385" i="1"/>
  <c r="AJ385" i="1"/>
  <c r="AK385" i="1"/>
  <c r="AL385" i="1"/>
  <c r="AM385" i="1"/>
  <c r="AN385" i="1"/>
  <c r="AO385" i="1"/>
  <c r="AP385" i="1"/>
  <c r="AQ385" i="1"/>
  <c r="AR385" i="1"/>
  <c r="Z384" i="1"/>
  <c r="AA384" i="1"/>
  <c r="AB384" i="1"/>
  <c r="AC384" i="1"/>
  <c r="AD384" i="1"/>
  <c r="AE384" i="1"/>
  <c r="AF384" i="1"/>
  <c r="AG384" i="1"/>
  <c r="AH384" i="1"/>
  <c r="AI384" i="1"/>
  <c r="AJ384" i="1"/>
  <c r="AK384" i="1"/>
  <c r="AL384" i="1"/>
  <c r="AM384" i="1"/>
  <c r="AN384" i="1"/>
  <c r="AO384" i="1"/>
  <c r="AP384" i="1"/>
  <c r="AQ384" i="1"/>
  <c r="AR384" i="1"/>
  <c r="Z383" i="1"/>
  <c r="AA383" i="1"/>
  <c r="AB383" i="1"/>
  <c r="AC383" i="1"/>
  <c r="AD383" i="1"/>
  <c r="AE383" i="1"/>
  <c r="AF383" i="1"/>
  <c r="AG383" i="1"/>
  <c r="AH383" i="1"/>
  <c r="AI383" i="1"/>
  <c r="AJ383" i="1"/>
  <c r="AK383" i="1"/>
  <c r="AL383" i="1"/>
  <c r="AM383" i="1"/>
  <c r="AN383" i="1"/>
  <c r="AO383" i="1"/>
  <c r="AP383" i="1"/>
  <c r="AQ383" i="1"/>
  <c r="AR383" i="1"/>
  <c r="Z382" i="1"/>
  <c r="AA382" i="1"/>
  <c r="AB382" i="1"/>
  <c r="AC382" i="1"/>
  <c r="AD382" i="1"/>
  <c r="AE382" i="1"/>
  <c r="AF382" i="1"/>
  <c r="AG382" i="1"/>
  <c r="AH382" i="1"/>
  <c r="AI382" i="1"/>
  <c r="AJ382" i="1"/>
  <c r="AK382" i="1"/>
  <c r="AL382" i="1"/>
  <c r="AM382" i="1"/>
  <c r="AN382" i="1"/>
  <c r="AO382" i="1"/>
  <c r="AP382" i="1"/>
  <c r="AQ382" i="1"/>
  <c r="AR382" i="1"/>
  <c r="Z381" i="1"/>
  <c r="AA381" i="1"/>
  <c r="AB381" i="1"/>
  <c r="AC381" i="1"/>
  <c r="AD381" i="1"/>
  <c r="AE381" i="1"/>
  <c r="AF381" i="1"/>
  <c r="AG381" i="1"/>
  <c r="AH381" i="1"/>
  <c r="AI381" i="1"/>
  <c r="AJ381" i="1"/>
  <c r="AK381" i="1"/>
  <c r="AL381" i="1"/>
  <c r="AM381" i="1"/>
  <c r="AN381" i="1"/>
  <c r="AO381" i="1"/>
  <c r="AP381" i="1"/>
  <c r="AQ381" i="1"/>
  <c r="AR381" i="1"/>
  <c r="Z380" i="1"/>
  <c r="AA380" i="1"/>
  <c r="AB380" i="1"/>
  <c r="AC380" i="1"/>
  <c r="AD380" i="1"/>
  <c r="AE380" i="1"/>
  <c r="AF380" i="1"/>
  <c r="AG380" i="1"/>
  <c r="AH380" i="1"/>
  <c r="AI380" i="1"/>
  <c r="AJ380" i="1"/>
  <c r="AK380" i="1"/>
  <c r="AL380" i="1"/>
  <c r="AM380" i="1"/>
  <c r="AN380" i="1"/>
  <c r="AO380" i="1"/>
  <c r="AP380" i="1"/>
  <c r="AQ380" i="1"/>
  <c r="AR380" i="1"/>
  <c r="Z379" i="1"/>
  <c r="AA379" i="1"/>
  <c r="AB379" i="1"/>
  <c r="AC379" i="1"/>
  <c r="AD379" i="1"/>
  <c r="AE379" i="1"/>
  <c r="AF379" i="1"/>
  <c r="AG379" i="1"/>
  <c r="AH379" i="1"/>
  <c r="AI379" i="1"/>
  <c r="AJ379" i="1"/>
  <c r="AK379" i="1"/>
  <c r="AL379" i="1"/>
  <c r="AM379" i="1"/>
  <c r="AN379" i="1"/>
  <c r="AO379" i="1"/>
  <c r="AP379" i="1"/>
  <c r="AQ379" i="1"/>
  <c r="AR379" i="1"/>
  <c r="Z378" i="1"/>
  <c r="AA378" i="1"/>
  <c r="AB378" i="1"/>
  <c r="AC378" i="1"/>
  <c r="AD378" i="1"/>
  <c r="AE378" i="1"/>
  <c r="AF378" i="1"/>
  <c r="AG378" i="1"/>
  <c r="AH378" i="1"/>
  <c r="AI378" i="1"/>
  <c r="AJ378" i="1"/>
  <c r="AK378" i="1"/>
  <c r="AL378" i="1"/>
  <c r="AM378" i="1"/>
  <c r="AN378" i="1"/>
  <c r="AO378" i="1"/>
  <c r="AP378" i="1"/>
  <c r="AQ378" i="1"/>
  <c r="AR378" i="1"/>
  <c r="Z377" i="1"/>
  <c r="AA377" i="1"/>
  <c r="AB377" i="1"/>
  <c r="AC377" i="1"/>
  <c r="AD377" i="1"/>
  <c r="AE377" i="1"/>
  <c r="AF377" i="1"/>
  <c r="AG377" i="1"/>
  <c r="AH377" i="1"/>
  <c r="AI377" i="1"/>
  <c r="AJ377" i="1"/>
  <c r="AK377" i="1"/>
  <c r="AL377" i="1"/>
  <c r="AM377" i="1"/>
  <c r="AN377" i="1"/>
  <c r="AO377" i="1"/>
  <c r="AP377" i="1"/>
  <c r="AQ377" i="1"/>
  <c r="AR377" i="1"/>
  <c r="Z376" i="1"/>
  <c r="AA376" i="1"/>
  <c r="AB376" i="1"/>
  <c r="AC376" i="1"/>
  <c r="AD376" i="1"/>
  <c r="AE376" i="1"/>
  <c r="AF376" i="1"/>
  <c r="AG376" i="1"/>
  <c r="AH376" i="1"/>
  <c r="AI376" i="1"/>
  <c r="AJ376" i="1"/>
  <c r="AK376" i="1"/>
  <c r="AL376" i="1"/>
  <c r="AM376" i="1"/>
  <c r="AN376" i="1"/>
  <c r="AO376" i="1"/>
  <c r="AP376" i="1"/>
  <c r="AQ376" i="1"/>
  <c r="AR376" i="1"/>
  <c r="Z375" i="1"/>
  <c r="AA375" i="1"/>
  <c r="AB375" i="1"/>
  <c r="AC375" i="1"/>
  <c r="AD375" i="1"/>
  <c r="AE375" i="1"/>
  <c r="AF375" i="1"/>
  <c r="AG375" i="1"/>
  <c r="AH375" i="1"/>
  <c r="AI375" i="1"/>
  <c r="AJ375" i="1"/>
  <c r="AK375" i="1"/>
  <c r="AL375" i="1"/>
  <c r="AM375" i="1"/>
  <c r="AN375" i="1"/>
  <c r="AO375" i="1"/>
  <c r="AP375" i="1"/>
  <c r="AQ375" i="1"/>
  <c r="AR375" i="1"/>
  <c r="Z374" i="1"/>
  <c r="AA374" i="1"/>
  <c r="AB374" i="1"/>
  <c r="AC374" i="1"/>
  <c r="AD374" i="1"/>
  <c r="AE374" i="1"/>
  <c r="AF374" i="1"/>
  <c r="AG374" i="1"/>
  <c r="AH374" i="1"/>
  <c r="AI374" i="1"/>
  <c r="AJ374" i="1"/>
  <c r="AK374" i="1"/>
  <c r="AL374" i="1"/>
  <c r="AM374" i="1"/>
  <c r="AN374" i="1"/>
  <c r="AO374" i="1"/>
  <c r="AP374" i="1"/>
  <c r="AQ374" i="1"/>
  <c r="AR374" i="1"/>
  <c r="AS388" i="1" l="1"/>
  <c r="AS387" i="1"/>
  <c r="AS386" i="1"/>
  <c r="AS385" i="1"/>
  <c r="AS384" i="1"/>
  <c r="AS382" i="1"/>
  <c r="AS383" i="1"/>
  <c r="AS381" i="1"/>
  <c r="AS380" i="1"/>
  <c r="AS378" i="1"/>
  <c r="AS379" i="1"/>
  <c r="AS377" i="1"/>
  <c r="AS376" i="1"/>
  <c r="AS375" i="1"/>
  <c r="AS374" i="1"/>
  <c r="Z373" i="1"/>
  <c r="AA373" i="1"/>
  <c r="AB373" i="1"/>
  <c r="AC373" i="1"/>
  <c r="AD373" i="1"/>
  <c r="AE373" i="1"/>
  <c r="AF373" i="1"/>
  <c r="AG373" i="1"/>
  <c r="AH373" i="1"/>
  <c r="AI373" i="1"/>
  <c r="AJ373" i="1"/>
  <c r="AK373" i="1"/>
  <c r="AL373" i="1"/>
  <c r="AM373" i="1"/>
  <c r="AN373" i="1"/>
  <c r="AO373" i="1"/>
  <c r="AP373" i="1"/>
  <c r="AQ373" i="1"/>
  <c r="AR373" i="1"/>
  <c r="Z372" i="1"/>
  <c r="AA372" i="1"/>
  <c r="AB372" i="1"/>
  <c r="AC372" i="1"/>
  <c r="AD372" i="1"/>
  <c r="AE372" i="1"/>
  <c r="AF372" i="1"/>
  <c r="AG372" i="1"/>
  <c r="AH372" i="1"/>
  <c r="AI372" i="1"/>
  <c r="AJ372" i="1"/>
  <c r="AK372" i="1"/>
  <c r="AL372" i="1"/>
  <c r="AM372" i="1"/>
  <c r="AN372" i="1"/>
  <c r="AO372" i="1"/>
  <c r="AP372" i="1"/>
  <c r="AQ372" i="1"/>
  <c r="AR372" i="1"/>
  <c r="Z371" i="1"/>
  <c r="AA371" i="1"/>
  <c r="AB371" i="1"/>
  <c r="AC371" i="1"/>
  <c r="AD371" i="1"/>
  <c r="AE371" i="1"/>
  <c r="AF371" i="1"/>
  <c r="AG371" i="1"/>
  <c r="AH371" i="1"/>
  <c r="AI371" i="1"/>
  <c r="AJ371" i="1"/>
  <c r="AK371" i="1"/>
  <c r="AL371" i="1"/>
  <c r="AM371" i="1"/>
  <c r="AN371" i="1"/>
  <c r="AO371" i="1"/>
  <c r="AP371" i="1"/>
  <c r="AQ371" i="1"/>
  <c r="AR371" i="1"/>
  <c r="Z370" i="1"/>
  <c r="AA370" i="1"/>
  <c r="AB370" i="1"/>
  <c r="AC370" i="1"/>
  <c r="AD370" i="1"/>
  <c r="AE370" i="1"/>
  <c r="AF370" i="1"/>
  <c r="AG370" i="1"/>
  <c r="AH370" i="1"/>
  <c r="AI370" i="1"/>
  <c r="AJ370" i="1"/>
  <c r="AK370" i="1"/>
  <c r="AL370" i="1"/>
  <c r="AM370" i="1"/>
  <c r="AN370" i="1"/>
  <c r="AO370" i="1"/>
  <c r="AP370" i="1"/>
  <c r="AQ370" i="1"/>
  <c r="AR370" i="1"/>
  <c r="Z369" i="1"/>
  <c r="AA369" i="1"/>
  <c r="AB369" i="1"/>
  <c r="AC369" i="1"/>
  <c r="AD369" i="1"/>
  <c r="AE369" i="1"/>
  <c r="AF369" i="1"/>
  <c r="AG369" i="1"/>
  <c r="AH369" i="1"/>
  <c r="AI369" i="1"/>
  <c r="AJ369" i="1"/>
  <c r="AK369" i="1"/>
  <c r="AL369" i="1"/>
  <c r="AM369" i="1"/>
  <c r="AN369" i="1"/>
  <c r="AO369" i="1"/>
  <c r="AP369" i="1"/>
  <c r="AQ369" i="1"/>
  <c r="AR369" i="1"/>
  <c r="Z368" i="1"/>
  <c r="AA368" i="1"/>
  <c r="AB368" i="1"/>
  <c r="AC368" i="1"/>
  <c r="AD368" i="1"/>
  <c r="AE368" i="1"/>
  <c r="AF368" i="1"/>
  <c r="AG368" i="1"/>
  <c r="AH368" i="1"/>
  <c r="AI368" i="1"/>
  <c r="AJ368" i="1"/>
  <c r="AK368" i="1"/>
  <c r="AL368" i="1"/>
  <c r="AM368" i="1"/>
  <c r="AN368" i="1"/>
  <c r="AO368" i="1"/>
  <c r="AP368" i="1"/>
  <c r="AQ368" i="1"/>
  <c r="AR368" i="1"/>
  <c r="Z367" i="1"/>
  <c r="AA367" i="1"/>
  <c r="AB367" i="1"/>
  <c r="AC367" i="1"/>
  <c r="AD367" i="1"/>
  <c r="AE367" i="1"/>
  <c r="AF367" i="1"/>
  <c r="AG367" i="1"/>
  <c r="AH367" i="1"/>
  <c r="AI367" i="1"/>
  <c r="AJ367" i="1"/>
  <c r="AK367" i="1"/>
  <c r="AL367" i="1"/>
  <c r="AM367" i="1"/>
  <c r="AN367" i="1"/>
  <c r="AO367" i="1"/>
  <c r="AP367" i="1"/>
  <c r="AQ367" i="1"/>
  <c r="AR367" i="1"/>
  <c r="Z366" i="1"/>
  <c r="AA366" i="1"/>
  <c r="AB366" i="1"/>
  <c r="AC366" i="1"/>
  <c r="AD366" i="1"/>
  <c r="AE366" i="1"/>
  <c r="AF366" i="1"/>
  <c r="AG366" i="1"/>
  <c r="AH366" i="1"/>
  <c r="AI366" i="1"/>
  <c r="AJ366" i="1"/>
  <c r="AK366" i="1"/>
  <c r="AL366" i="1"/>
  <c r="AM366" i="1"/>
  <c r="AN366" i="1"/>
  <c r="AO366" i="1"/>
  <c r="AP366" i="1"/>
  <c r="AQ366" i="1"/>
  <c r="AR366" i="1"/>
  <c r="Z365" i="1"/>
  <c r="AA365" i="1"/>
  <c r="AB365" i="1"/>
  <c r="AC365" i="1"/>
  <c r="AD365" i="1"/>
  <c r="AE365" i="1"/>
  <c r="AF365" i="1"/>
  <c r="AG365" i="1"/>
  <c r="AH365" i="1"/>
  <c r="AI365" i="1"/>
  <c r="AJ365" i="1"/>
  <c r="AK365" i="1"/>
  <c r="AL365" i="1"/>
  <c r="AM365" i="1"/>
  <c r="AN365" i="1"/>
  <c r="AO365" i="1"/>
  <c r="AP365" i="1"/>
  <c r="AQ365" i="1"/>
  <c r="AR365" i="1"/>
  <c r="Z364" i="1"/>
  <c r="AA364" i="1"/>
  <c r="AB364" i="1"/>
  <c r="AC364" i="1"/>
  <c r="AD364" i="1"/>
  <c r="AE364" i="1"/>
  <c r="AF364" i="1"/>
  <c r="AG364" i="1"/>
  <c r="AH364" i="1"/>
  <c r="AI364" i="1"/>
  <c r="AJ364" i="1"/>
  <c r="AK364" i="1"/>
  <c r="AL364" i="1"/>
  <c r="AM364" i="1"/>
  <c r="AN364" i="1"/>
  <c r="AO364" i="1"/>
  <c r="AP364" i="1"/>
  <c r="AQ364" i="1"/>
  <c r="AR364" i="1"/>
  <c r="AS373" i="1" l="1"/>
  <c r="AS372" i="1"/>
  <c r="AS371" i="1"/>
  <c r="AS370" i="1"/>
  <c r="AS369" i="1"/>
  <c r="AS368" i="1"/>
  <c r="AS367" i="1"/>
  <c r="AS366" i="1"/>
  <c r="AS365" i="1"/>
  <c r="AS364" i="1"/>
  <c r="Z363" i="1"/>
  <c r="AA363" i="1"/>
  <c r="AB363" i="1"/>
  <c r="AC363" i="1"/>
  <c r="AD363" i="1"/>
  <c r="AE363" i="1"/>
  <c r="AF363" i="1"/>
  <c r="AG363" i="1"/>
  <c r="AH363" i="1"/>
  <c r="AI363" i="1"/>
  <c r="AJ363" i="1"/>
  <c r="AK363" i="1"/>
  <c r="AL363" i="1"/>
  <c r="AM363" i="1"/>
  <c r="AN363" i="1"/>
  <c r="AO363" i="1"/>
  <c r="AP363" i="1"/>
  <c r="AQ363" i="1"/>
  <c r="AR363" i="1"/>
  <c r="Z362" i="1"/>
  <c r="AA362" i="1"/>
  <c r="AB362" i="1"/>
  <c r="AC362" i="1"/>
  <c r="AD362" i="1"/>
  <c r="AE362" i="1"/>
  <c r="AF362" i="1"/>
  <c r="AG362" i="1"/>
  <c r="AH362" i="1"/>
  <c r="AI362" i="1"/>
  <c r="AJ362" i="1"/>
  <c r="AK362" i="1"/>
  <c r="AL362" i="1"/>
  <c r="AM362" i="1"/>
  <c r="AN362" i="1"/>
  <c r="AO362" i="1"/>
  <c r="AP362" i="1"/>
  <c r="AQ362" i="1"/>
  <c r="AR362" i="1"/>
  <c r="Z361" i="1"/>
  <c r="AA361" i="1"/>
  <c r="AB361" i="1"/>
  <c r="AC361" i="1"/>
  <c r="AD361" i="1"/>
  <c r="AE361" i="1"/>
  <c r="AF361" i="1"/>
  <c r="AG361" i="1"/>
  <c r="AH361" i="1"/>
  <c r="AI361" i="1"/>
  <c r="AJ361" i="1"/>
  <c r="AK361" i="1"/>
  <c r="AL361" i="1"/>
  <c r="AM361" i="1"/>
  <c r="AN361" i="1"/>
  <c r="AO361" i="1"/>
  <c r="AP361" i="1"/>
  <c r="AQ361" i="1"/>
  <c r="AR361" i="1"/>
  <c r="Z360" i="1"/>
  <c r="AA360" i="1"/>
  <c r="AB360" i="1"/>
  <c r="AC360" i="1"/>
  <c r="AD360" i="1"/>
  <c r="AE360" i="1"/>
  <c r="AF360" i="1"/>
  <c r="AG360" i="1"/>
  <c r="AH360" i="1"/>
  <c r="AI360" i="1"/>
  <c r="AJ360" i="1"/>
  <c r="AK360" i="1"/>
  <c r="AL360" i="1"/>
  <c r="AM360" i="1"/>
  <c r="AN360" i="1"/>
  <c r="AO360" i="1"/>
  <c r="AP360" i="1"/>
  <c r="AQ360" i="1"/>
  <c r="AR360" i="1"/>
  <c r="AS363" i="1" l="1"/>
  <c r="AS362" i="1"/>
  <c r="AS360" i="1"/>
  <c r="AS361" i="1"/>
  <c r="Z359" i="1" l="1"/>
  <c r="AA359" i="1"/>
  <c r="AB359" i="1"/>
  <c r="AC359" i="1"/>
  <c r="AD359" i="1"/>
  <c r="AE359" i="1"/>
  <c r="AF359" i="1"/>
  <c r="AG359" i="1"/>
  <c r="AH359" i="1"/>
  <c r="AI359" i="1"/>
  <c r="AJ359" i="1"/>
  <c r="AK359" i="1"/>
  <c r="AL359" i="1"/>
  <c r="AM359" i="1"/>
  <c r="AN359" i="1"/>
  <c r="AO359" i="1"/>
  <c r="AP359" i="1"/>
  <c r="AQ359" i="1"/>
  <c r="AR359" i="1"/>
  <c r="Z358" i="1"/>
  <c r="AA358" i="1"/>
  <c r="AB358" i="1"/>
  <c r="AC358" i="1"/>
  <c r="AD358" i="1"/>
  <c r="AE358" i="1"/>
  <c r="AF358" i="1"/>
  <c r="AG358" i="1"/>
  <c r="AH358" i="1"/>
  <c r="AI358" i="1"/>
  <c r="AJ358" i="1"/>
  <c r="AK358" i="1"/>
  <c r="AL358" i="1"/>
  <c r="AM358" i="1"/>
  <c r="AN358" i="1"/>
  <c r="AO358" i="1"/>
  <c r="AP358" i="1"/>
  <c r="AQ358" i="1"/>
  <c r="AR358" i="1"/>
  <c r="Z357" i="1"/>
  <c r="AA357" i="1"/>
  <c r="AB357" i="1"/>
  <c r="AC357" i="1"/>
  <c r="AD357" i="1"/>
  <c r="AE357" i="1"/>
  <c r="AF357" i="1"/>
  <c r="AG357" i="1"/>
  <c r="AH357" i="1"/>
  <c r="AI357" i="1"/>
  <c r="AJ357" i="1"/>
  <c r="AK357" i="1"/>
  <c r="AL357" i="1"/>
  <c r="AM357" i="1"/>
  <c r="AN357" i="1"/>
  <c r="AO357" i="1"/>
  <c r="AP357" i="1"/>
  <c r="AQ357" i="1"/>
  <c r="AR357" i="1"/>
  <c r="Z356" i="1"/>
  <c r="AA356" i="1"/>
  <c r="AB356" i="1"/>
  <c r="AC356" i="1"/>
  <c r="AD356" i="1"/>
  <c r="AE356" i="1"/>
  <c r="AF356" i="1"/>
  <c r="AG356" i="1"/>
  <c r="AH356" i="1"/>
  <c r="AI356" i="1"/>
  <c r="AJ356" i="1"/>
  <c r="AK356" i="1"/>
  <c r="AL356" i="1"/>
  <c r="AM356" i="1"/>
  <c r="AN356" i="1"/>
  <c r="AO356" i="1"/>
  <c r="AP356" i="1"/>
  <c r="AQ356" i="1"/>
  <c r="AR356" i="1"/>
  <c r="Z355" i="1"/>
  <c r="AA355" i="1"/>
  <c r="AB355" i="1"/>
  <c r="AC355" i="1"/>
  <c r="AD355" i="1"/>
  <c r="AE355" i="1"/>
  <c r="AF355" i="1"/>
  <c r="AG355" i="1"/>
  <c r="AH355" i="1"/>
  <c r="AI355" i="1"/>
  <c r="AJ355" i="1"/>
  <c r="AK355" i="1"/>
  <c r="AL355" i="1"/>
  <c r="AM355" i="1"/>
  <c r="AN355" i="1"/>
  <c r="AO355" i="1"/>
  <c r="AP355" i="1"/>
  <c r="AQ355" i="1"/>
  <c r="AR355" i="1"/>
  <c r="Z354" i="1"/>
  <c r="AA354" i="1"/>
  <c r="AB354" i="1"/>
  <c r="AC354" i="1"/>
  <c r="AD354" i="1"/>
  <c r="AE354" i="1"/>
  <c r="AF354" i="1"/>
  <c r="AG354" i="1"/>
  <c r="AH354" i="1"/>
  <c r="AI354" i="1"/>
  <c r="AJ354" i="1"/>
  <c r="AK354" i="1"/>
  <c r="AL354" i="1"/>
  <c r="AM354" i="1"/>
  <c r="AN354" i="1"/>
  <c r="AO354" i="1"/>
  <c r="AP354" i="1"/>
  <c r="AQ354" i="1"/>
  <c r="AR354" i="1"/>
  <c r="Z353" i="1"/>
  <c r="AA353" i="1"/>
  <c r="AB353" i="1"/>
  <c r="AC353" i="1"/>
  <c r="AD353" i="1"/>
  <c r="AE353" i="1"/>
  <c r="AF353" i="1"/>
  <c r="AG353" i="1"/>
  <c r="AH353" i="1"/>
  <c r="AI353" i="1"/>
  <c r="AJ353" i="1"/>
  <c r="AK353" i="1"/>
  <c r="AL353" i="1"/>
  <c r="AM353" i="1"/>
  <c r="AN353" i="1"/>
  <c r="AO353" i="1"/>
  <c r="AP353" i="1"/>
  <c r="AQ353" i="1"/>
  <c r="AR353" i="1"/>
  <c r="Z352" i="1"/>
  <c r="AA352" i="1"/>
  <c r="AB352" i="1"/>
  <c r="AC352" i="1"/>
  <c r="AD352" i="1"/>
  <c r="AE352" i="1"/>
  <c r="AF352" i="1"/>
  <c r="AG352" i="1"/>
  <c r="AH352" i="1"/>
  <c r="AI352" i="1"/>
  <c r="AJ352" i="1"/>
  <c r="AK352" i="1"/>
  <c r="AL352" i="1"/>
  <c r="AM352" i="1"/>
  <c r="AN352" i="1"/>
  <c r="AO352" i="1"/>
  <c r="AP352" i="1"/>
  <c r="AQ352" i="1"/>
  <c r="AR352" i="1"/>
  <c r="Z351" i="1"/>
  <c r="AA351" i="1"/>
  <c r="AB351" i="1"/>
  <c r="AC351" i="1"/>
  <c r="AD351" i="1"/>
  <c r="AE351" i="1"/>
  <c r="AF351" i="1"/>
  <c r="AG351" i="1"/>
  <c r="AH351" i="1"/>
  <c r="AI351" i="1"/>
  <c r="AJ351" i="1"/>
  <c r="AK351" i="1"/>
  <c r="AL351" i="1"/>
  <c r="AM351" i="1"/>
  <c r="AN351" i="1"/>
  <c r="AO351" i="1"/>
  <c r="AP351" i="1"/>
  <c r="AQ351" i="1"/>
  <c r="AR351" i="1"/>
  <c r="Z350" i="1"/>
  <c r="AA350" i="1"/>
  <c r="AB350" i="1"/>
  <c r="AC350" i="1"/>
  <c r="AD350" i="1"/>
  <c r="AE350" i="1"/>
  <c r="AF350" i="1"/>
  <c r="AG350" i="1"/>
  <c r="AH350" i="1"/>
  <c r="AI350" i="1"/>
  <c r="AJ350" i="1"/>
  <c r="AK350" i="1"/>
  <c r="AL350" i="1"/>
  <c r="AM350" i="1"/>
  <c r="AN350" i="1"/>
  <c r="AO350" i="1"/>
  <c r="AP350" i="1"/>
  <c r="AQ350" i="1"/>
  <c r="AR350" i="1"/>
  <c r="Z349" i="1"/>
  <c r="AA349" i="1"/>
  <c r="AB349" i="1"/>
  <c r="AC349" i="1"/>
  <c r="AD349" i="1"/>
  <c r="AE349" i="1"/>
  <c r="AF349" i="1"/>
  <c r="AG349" i="1"/>
  <c r="AH349" i="1"/>
  <c r="AI349" i="1"/>
  <c r="AJ349" i="1"/>
  <c r="AK349" i="1"/>
  <c r="AL349" i="1"/>
  <c r="AM349" i="1"/>
  <c r="AN349" i="1"/>
  <c r="AO349" i="1"/>
  <c r="AP349" i="1"/>
  <c r="AQ349" i="1"/>
  <c r="AR349" i="1"/>
  <c r="Z348" i="1"/>
  <c r="AA348" i="1"/>
  <c r="AB348" i="1"/>
  <c r="AC348" i="1"/>
  <c r="AD348" i="1"/>
  <c r="AE348" i="1"/>
  <c r="AF348" i="1"/>
  <c r="AG348" i="1"/>
  <c r="AH348" i="1"/>
  <c r="AI348" i="1"/>
  <c r="AJ348" i="1"/>
  <c r="AK348" i="1"/>
  <c r="AL348" i="1"/>
  <c r="AM348" i="1"/>
  <c r="AN348" i="1"/>
  <c r="AO348" i="1"/>
  <c r="AP348" i="1"/>
  <c r="AQ348" i="1"/>
  <c r="AR348" i="1"/>
  <c r="Z347" i="1"/>
  <c r="AA347" i="1"/>
  <c r="AB347" i="1"/>
  <c r="AC347" i="1"/>
  <c r="AD347" i="1"/>
  <c r="AE347" i="1"/>
  <c r="AF347" i="1"/>
  <c r="AG347" i="1"/>
  <c r="AH347" i="1"/>
  <c r="AI347" i="1"/>
  <c r="AJ347" i="1"/>
  <c r="AK347" i="1"/>
  <c r="AL347" i="1"/>
  <c r="AM347" i="1"/>
  <c r="AN347" i="1"/>
  <c r="AO347" i="1"/>
  <c r="AP347" i="1"/>
  <c r="AQ347" i="1"/>
  <c r="AR347" i="1"/>
  <c r="AS359" i="1" l="1"/>
  <c r="AS358" i="1"/>
  <c r="AS357" i="1"/>
  <c r="AS356" i="1"/>
  <c r="AS355" i="1"/>
  <c r="AS354" i="1"/>
  <c r="AS353" i="1"/>
  <c r="AS352" i="1"/>
  <c r="AS351" i="1"/>
  <c r="AS350" i="1"/>
  <c r="AS349" i="1"/>
  <c r="AS348" i="1"/>
  <c r="AS347" i="1"/>
  <c r="Z346" i="1" l="1"/>
  <c r="AA346" i="1"/>
  <c r="AB346" i="1"/>
  <c r="AC346" i="1"/>
  <c r="AD346" i="1"/>
  <c r="AE346" i="1"/>
  <c r="AF346" i="1"/>
  <c r="AG346" i="1"/>
  <c r="AH346" i="1"/>
  <c r="AI346" i="1"/>
  <c r="AJ346" i="1"/>
  <c r="AK346" i="1"/>
  <c r="AL346" i="1"/>
  <c r="AM346" i="1"/>
  <c r="AN346" i="1"/>
  <c r="AO346" i="1"/>
  <c r="AP346" i="1"/>
  <c r="AQ346" i="1"/>
  <c r="AR346" i="1"/>
  <c r="Z345" i="1"/>
  <c r="AA345" i="1"/>
  <c r="AB345" i="1"/>
  <c r="AC345" i="1"/>
  <c r="AD345" i="1"/>
  <c r="AE345" i="1"/>
  <c r="AF345" i="1"/>
  <c r="AG345" i="1"/>
  <c r="AH345" i="1"/>
  <c r="AI345" i="1"/>
  <c r="AJ345" i="1"/>
  <c r="AK345" i="1"/>
  <c r="AL345" i="1"/>
  <c r="AM345" i="1"/>
  <c r="AN345" i="1"/>
  <c r="AO345" i="1"/>
  <c r="AP345" i="1"/>
  <c r="AQ345" i="1"/>
  <c r="AR345" i="1"/>
  <c r="Z344" i="1"/>
  <c r="AA344" i="1"/>
  <c r="AB344" i="1"/>
  <c r="AC344" i="1"/>
  <c r="AD344" i="1"/>
  <c r="AE344" i="1"/>
  <c r="AF344" i="1"/>
  <c r="AG344" i="1"/>
  <c r="AH344" i="1"/>
  <c r="AI344" i="1"/>
  <c r="AJ344" i="1"/>
  <c r="AK344" i="1"/>
  <c r="AL344" i="1"/>
  <c r="AM344" i="1"/>
  <c r="AN344" i="1"/>
  <c r="AO344" i="1"/>
  <c r="AP344" i="1"/>
  <c r="AQ344" i="1"/>
  <c r="AR344" i="1"/>
  <c r="Z343" i="1"/>
  <c r="AA343" i="1"/>
  <c r="AB343" i="1"/>
  <c r="AC343" i="1"/>
  <c r="AD343" i="1"/>
  <c r="AE343" i="1"/>
  <c r="AF343" i="1"/>
  <c r="AG343" i="1"/>
  <c r="AH343" i="1"/>
  <c r="AI343" i="1"/>
  <c r="AJ343" i="1"/>
  <c r="AK343" i="1"/>
  <c r="AL343" i="1"/>
  <c r="AM343" i="1"/>
  <c r="AN343" i="1"/>
  <c r="AO343" i="1"/>
  <c r="AP343" i="1"/>
  <c r="AQ343" i="1"/>
  <c r="AR343" i="1"/>
  <c r="Z342" i="1"/>
  <c r="AA342" i="1"/>
  <c r="AB342" i="1"/>
  <c r="AC342" i="1"/>
  <c r="AD342" i="1"/>
  <c r="AE342" i="1"/>
  <c r="AF342" i="1"/>
  <c r="AG342" i="1"/>
  <c r="AH342" i="1"/>
  <c r="AI342" i="1"/>
  <c r="AJ342" i="1"/>
  <c r="AK342" i="1"/>
  <c r="AL342" i="1"/>
  <c r="AM342" i="1"/>
  <c r="AN342" i="1"/>
  <c r="AO342" i="1"/>
  <c r="AP342" i="1"/>
  <c r="AQ342" i="1"/>
  <c r="AR342" i="1"/>
  <c r="Z341" i="1"/>
  <c r="AA341" i="1"/>
  <c r="AB341" i="1"/>
  <c r="AC341" i="1"/>
  <c r="AD341" i="1"/>
  <c r="AE341" i="1"/>
  <c r="AF341" i="1"/>
  <c r="AG341" i="1"/>
  <c r="AH341" i="1"/>
  <c r="AI341" i="1"/>
  <c r="AJ341" i="1"/>
  <c r="AK341" i="1"/>
  <c r="AL341" i="1"/>
  <c r="AM341" i="1"/>
  <c r="AN341" i="1"/>
  <c r="AO341" i="1"/>
  <c r="AP341" i="1"/>
  <c r="AQ341" i="1"/>
  <c r="AR341" i="1"/>
  <c r="Z340" i="1"/>
  <c r="AA340" i="1"/>
  <c r="AB340" i="1"/>
  <c r="AC340" i="1"/>
  <c r="AD340" i="1"/>
  <c r="AE340" i="1"/>
  <c r="AF340" i="1"/>
  <c r="AG340" i="1"/>
  <c r="AH340" i="1"/>
  <c r="AI340" i="1"/>
  <c r="AJ340" i="1"/>
  <c r="AK340" i="1"/>
  <c r="AL340" i="1"/>
  <c r="AM340" i="1"/>
  <c r="AN340" i="1"/>
  <c r="AO340" i="1"/>
  <c r="AP340" i="1"/>
  <c r="AQ340" i="1"/>
  <c r="AR340" i="1"/>
  <c r="Z339" i="1"/>
  <c r="AA339" i="1"/>
  <c r="AB339" i="1"/>
  <c r="AC339" i="1"/>
  <c r="AD339" i="1"/>
  <c r="AE339" i="1"/>
  <c r="AF339" i="1"/>
  <c r="AG339" i="1"/>
  <c r="AH339" i="1"/>
  <c r="AI339" i="1"/>
  <c r="AJ339" i="1"/>
  <c r="AK339" i="1"/>
  <c r="AL339" i="1"/>
  <c r="AM339" i="1"/>
  <c r="AN339" i="1"/>
  <c r="AO339" i="1"/>
  <c r="AP339" i="1"/>
  <c r="AQ339" i="1"/>
  <c r="AR339" i="1"/>
  <c r="Z338" i="1"/>
  <c r="AA338" i="1"/>
  <c r="AB338" i="1"/>
  <c r="AC338" i="1"/>
  <c r="AD338" i="1"/>
  <c r="AE338" i="1"/>
  <c r="AF338" i="1"/>
  <c r="AG338" i="1"/>
  <c r="AH338" i="1"/>
  <c r="AI338" i="1"/>
  <c r="AJ338" i="1"/>
  <c r="AK338" i="1"/>
  <c r="AL338" i="1"/>
  <c r="AM338" i="1"/>
  <c r="AN338" i="1"/>
  <c r="AO338" i="1"/>
  <c r="AP338" i="1"/>
  <c r="AQ338" i="1"/>
  <c r="AR338" i="1"/>
  <c r="Z337" i="1"/>
  <c r="AA337" i="1"/>
  <c r="AB337" i="1"/>
  <c r="AC337" i="1"/>
  <c r="AD337" i="1"/>
  <c r="AE337" i="1"/>
  <c r="AF337" i="1"/>
  <c r="AG337" i="1"/>
  <c r="AH337" i="1"/>
  <c r="AI337" i="1"/>
  <c r="AJ337" i="1"/>
  <c r="AK337" i="1"/>
  <c r="AL337" i="1"/>
  <c r="AM337" i="1"/>
  <c r="AN337" i="1"/>
  <c r="AO337" i="1"/>
  <c r="AP337" i="1"/>
  <c r="AQ337" i="1"/>
  <c r="AR337" i="1"/>
  <c r="Z336" i="1"/>
  <c r="AA336" i="1"/>
  <c r="AB336" i="1"/>
  <c r="AC336" i="1"/>
  <c r="AD336" i="1"/>
  <c r="AE336" i="1"/>
  <c r="AF336" i="1"/>
  <c r="AG336" i="1"/>
  <c r="AH336" i="1"/>
  <c r="AI336" i="1"/>
  <c r="AJ336" i="1"/>
  <c r="AK336" i="1"/>
  <c r="AL336" i="1"/>
  <c r="AM336" i="1"/>
  <c r="AN336" i="1"/>
  <c r="AO336" i="1"/>
  <c r="AP336" i="1"/>
  <c r="AQ336" i="1"/>
  <c r="AR336" i="1"/>
  <c r="Z335" i="1"/>
  <c r="AA335" i="1"/>
  <c r="AB335" i="1"/>
  <c r="AC335" i="1"/>
  <c r="AD335" i="1"/>
  <c r="AE335" i="1"/>
  <c r="AF335" i="1"/>
  <c r="AG335" i="1"/>
  <c r="AH335" i="1"/>
  <c r="AI335" i="1"/>
  <c r="AJ335" i="1"/>
  <c r="AK335" i="1"/>
  <c r="AL335" i="1"/>
  <c r="AM335" i="1"/>
  <c r="AN335" i="1"/>
  <c r="AO335" i="1"/>
  <c r="AP335" i="1"/>
  <c r="AQ335" i="1"/>
  <c r="AR335" i="1"/>
  <c r="Z334" i="1"/>
  <c r="AA334" i="1"/>
  <c r="AB334" i="1"/>
  <c r="AC334" i="1"/>
  <c r="AD334" i="1"/>
  <c r="AE334" i="1"/>
  <c r="AF334" i="1"/>
  <c r="AG334" i="1"/>
  <c r="AH334" i="1"/>
  <c r="AI334" i="1"/>
  <c r="AJ334" i="1"/>
  <c r="AK334" i="1"/>
  <c r="AL334" i="1"/>
  <c r="AM334" i="1"/>
  <c r="AN334" i="1"/>
  <c r="AO334" i="1"/>
  <c r="AP334" i="1"/>
  <c r="AQ334" i="1"/>
  <c r="AR334" i="1"/>
  <c r="Z333" i="1"/>
  <c r="AA333" i="1"/>
  <c r="AB333" i="1"/>
  <c r="AC333" i="1"/>
  <c r="AD333" i="1"/>
  <c r="AE333" i="1"/>
  <c r="AF333" i="1"/>
  <c r="AG333" i="1"/>
  <c r="AH333" i="1"/>
  <c r="AI333" i="1"/>
  <c r="AJ333" i="1"/>
  <c r="AK333" i="1"/>
  <c r="AL333" i="1"/>
  <c r="AM333" i="1"/>
  <c r="AN333" i="1"/>
  <c r="AO333" i="1"/>
  <c r="AP333" i="1"/>
  <c r="AQ333" i="1"/>
  <c r="AR333" i="1"/>
  <c r="AS346" i="1" l="1"/>
  <c r="AS345" i="1"/>
  <c r="AS344" i="1"/>
  <c r="AS343" i="1"/>
  <c r="AS342" i="1"/>
  <c r="AS341" i="1"/>
  <c r="AS340" i="1"/>
  <c r="AS339" i="1"/>
  <c r="AS338" i="1"/>
  <c r="AS337" i="1"/>
  <c r="AS336" i="1"/>
  <c r="AS335" i="1"/>
  <c r="AS334" i="1"/>
  <c r="AS333" i="1"/>
  <c r="Z332" i="1"/>
  <c r="AA332" i="1"/>
  <c r="AB332" i="1"/>
  <c r="AC332" i="1"/>
  <c r="AD332" i="1"/>
  <c r="AE332" i="1"/>
  <c r="AF332" i="1"/>
  <c r="AG332" i="1"/>
  <c r="AH332" i="1"/>
  <c r="AI332" i="1"/>
  <c r="AJ332" i="1"/>
  <c r="AK332" i="1"/>
  <c r="AL332" i="1"/>
  <c r="AM332" i="1"/>
  <c r="AN332" i="1"/>
  <c r="AO332" i="1"/>
  <c r="AP332" i="1"/>
  <c r="AQ332" i="1"/>
  <c r="AR332" i="1"/>
  <c r="Z331" i="1"/>
  <c r="AA331" i="1"/>
  <c r="AB331" i="1"/>
  <c r="AC331" i="1"/>
  <c r="AD331" i="1"/>
  <c r="AE331" i="1"/>
  <c r="AF331" i="1"/>
  <c r="AG331" i="1"/>
  <c r="AH331" i="1"/>
  <c r="AI331" i="1"/>
  <c r="AJ331" i="1"/>
  <c r="AK331" i="1"/>
  <c r="AL331" i="1"/>
  <c r="AM331" i="1"/>
  <c r="AN331" i="1"/>
  <c r="AO331" i="1"/>
  <c r="AP331" i="1"/>
  <c r="AQ331" i="1"/>
  <c r="AR331" i="1"/>
  <c r="Z330" i="1"/>
  <c r="AA330" i="1"/>
  <c r="AB330" i="1"/>
  <c r="AC330" i="1"/>
  <c r="AD330" i="1"/>
  <c r="AE330" i="1"/>
  <c r="AF330" i="1"/>
  <c r="AG330" i="1"/>
  <c r="AH330" i="1"/>
  <c r="AI330" i="1"/>
  <c r="AJ330" i="1"/>
  <c r="AK330" i="1"/>
  <c r="AL330" i="1"/>
  <c r="AM330" i="1"/>
  <c r="AN330" i="1"/>
  <c r="AO330" i="1"/>
  <c r="AP330" i="1"/>
  <c r="AQ330" i="1"/>
  <c r="AR330" i="1"/>
  <c r="Z329" i="1"/>
  <c r="AA329" i="1"/>
  <c r="AB329" i="1"/>
  <c r="AC329" i="1"/>
  <c r="AD329" i="1"/>
  <c r="AE329" i="1"/>
  <c r="AF329" i="1"/>
  <c r="AG329" i="1"/>
  <c r="AH329" i="1"/>
  <c r="AI329" i="1"/>
  <c r="AJ329" i="1"/>
  <c r="AK329" i="1"/>
  <c r="AL329" i="1"/>
  <c r="AM329" i="1"/>
  <c r="AN329" i="1"/>
  <c r="AO329" i="1"/>
  <c r="AP329" i="1"/>
  <c r="AQ329" i="1"/>
  <c r="AR329" i="1"/>
  <c r="Z328" i="1"/>
  <c r="AA328" i="1"/>
  <c r="AB328" i="1"/>
  <c r="AC328" i="1"/>
  <c r="AD328" i="1"/>
  <c r="AE328" i="1"/>
  <c r="AF328" i="1"/>
  <c r="AG328" i="1"/>
  <c r="AH328" i="1"/>
  <c r="AI328" i="1"/>
  <c r="AJ328" i="1"/>
  <c r="AK328" i="1"/>
  <c r="AL328" i="1"/>
  <c r="AM328" i="1"/>
  <c r="AN328" i="1"/>
  <c r="AO328" i="1"/>
  <c r="AP328" i="1"/>
  <c r="AQ328" i="1"/>
  <c r="AR328" i="1"/>
  <c r="Z327" i="1"/>
  <c r="AA327" i="1"/>
  <c r="AB327" i="1"/>
  <c r="AC327" i="1"/>
  <c r="AD327" i="1"/>
  <c r="AE327" i="1"/>
  <c r="AF327" i="1"/>
  <c r="AG327" i="1"/>
  <c r="AH327" i="1"/>
  <c r="AI327" i="1"/>
  <c r="AJ327" i="1"/>
  <c r="AK327" i="1"/>
  <c r="AL327" i="1"/>
  <c r="AM327" i="1"/>
  <c r="AN327" i="1"/>
  <c r="AO327" i="1"/>
  <c r="AP327" i="1"/>
  <c r="AQ327" i="1"/>
  <c r="AR327" i="1"/>
  <c r="Z326" i="1"/>
  <c r="AA326" i="1"/>
  <c r="AB326" i="1"/>
  <c r="AC326" i="1"/>
  <c r="AD326" i="1"/>
  <c r="AE326" i="1"/>
  <c r="AF326" i="1"/>
  <c r="AG326" i="1"/>
  <c r="AH326" i="1"/>
  <c r="AI326" i="1"/>
  <c r="AJ326" i="1"/>
  <c r="AK326" i="1"/>
  <c r="AL326" i="1"/>
  <c r="AM326" i="1"/>
  <c r="AN326" i="1"/>
  <c r="AO326" i="1"/>
  <c r="AP326" i="1"/>
  <c r="AQ326" i="1"/>
  <c r="AR326" i="1"/>
  <c r="Z325" i="1"/>
  <c r="AA325" i="1"/>
  <c r="AB325" i="1"/>
  <c r="AC325" i="1"/>
  <c r="AD325" i="1"/>
  <c r="AE325" i="1"/>
  <c r="AF325" i="1"/>
  <c r="AG325" i="1"/>
  <c r="AH325" i="1"/>
  <c r="AI325" i="1"/>
  <c r="AJ325" i="1"/>
  <c r="AK325" i="1"/>
  <c r="AL325" i="1"/>
  <c r="AM325" i="1"/>
  <c r="AN325" i="1"/>
  <c r="AO325" i="1"/>
  <c r="AP325" i="1"/>
  <c r="AQ325" i="1"/>
  <c r="AR325" i="1"/>
  <c r="Z324" i="1"/>
  <c r="AA324" i="1"/>
  <c r="AB324" i="1"/>
  <c r="AC324" i="1"/>
  <c r="AD324" i="1"/>
  <c r="AE324" i="1"/>
  <c r="AF324" i="1"/>
  <c r="AG324" i="1"/>
  <c r="AH324" i="1"/>
  <c r="AI324" i="1"/>
  <c r="AJ324" i="1"/>
  <c r="AK324" i="1"/>
  <c r="AL324" i="1"/>
  <c r="AM324" i="1"/>
  <c r="AN324" i="1"/>
  <c r="AO324" i="1"/>
  <c r="AP324" i="1"/>
  <c r="AQ324" i="1"/>
  <c r="AR324" i="1"/>
  <c r="AS332" i="1" l="1"/>
  <c r="AS331" i="1"/>
  <c r="AS330" i="1"/>
  <c r="AS329" i="1"/>
  <c r="AS328" i="1"/>
  <c r="AS327" i="1"/>
  <c r="AS326" i="1"/>
  <c r="AS325" i="1"/>
  <c r="AS324" i="1"/>
  <c r="Z323" i="1"/>
  <c r="AA323" i="1"/>
  <c r="AB323" i="1"/>
  <c r="AC323" i="1"/>
  <c r="AD323" i="1"/>
  <c r="AE323" i="1"/>
  <c r="AF323" i="1"/>
  <c r="AG323" i="1"/>
  <c r="AH323" i="1"/>
  <c r="AI323" i="1"/>
  <c r="AJ323" i="1"/>
  <c r="AK323" i="1"/>
  <c r="AL323" i="1"/>
  <c r="AM323" i="1"/>
  <c r="AN323" i="1"/>
  <c r="AO323" i="1"/>
  <c r="AP323" i="1"/>
  <c r="AQ323" i="1"/>
  <c r="AR323" i="1"/>
  <c r="AS323" i="1" l="1"/>
  <c r="Z322" i="1"/>
  <c r="AA322" i="1"/>
  <c r="AB322" i="1"/>
  <c r="AC322" i="1"/>
  <c r="AD322" i="1"/>
  <c r="AE322" i="1"/>
  <c r="AF322" i="1"/>
  <c r="AG322" i="1"/>
  <c r="AH322" i="1"/>
  <c r="AI322" i="1"/>
  <c r="AJ322" i="1"/>
  <c r="AK322" i="1"/>
  <c r="AL322" i="1"/>
  <c r="AM322" i="1"/>
  <c r="AN322" i="1"/>
  <c r="AO322" i="1"/>
  <c r="AP322" i="1"/>
  <c r="AQ322" i="1"/>
  <c r="AR322" i="1"/>
  <c r="Z321" i="1"/>
  <c r="AA321" i="1"/>
  <c r="AB321" i="1"/>
  <c r="AC321" i="1"/>
  <c r="AD321" i="1"/>
  <c r="AE321" i="1"/>
  <c r="AF321" i="1"/>
  <c r="AG321" i="1"/>
  <c r="AH321" i="1"/>
  <c r="AI321" i="1"/>
  <c r="AJ321" i="1"/>
  <c r="AK321" i="1"/>
  <c r="AL321" i="1"/>
  <c r="AM321" i="1"/>
  <c r="AN321" i="1"/>
  <c r="AO321" i="1"/>
  <c r="AP321" i="1"/>
  <c r="AQ321" i="1"/>
  <c r="AR321" i="1"/>
  <c r="Z320" i="1"/>
  <c r="AA320" i="1"/>
  <c r="AB320" i="1"/>
  <c r="AC320" i="1"/>
  <c r="AD320" i="1"/>
  <c r="AE320" i="1"/>
  <c r="AF320" i="1"/>
  <c r="AG320" i="1"/>
  <c r="AH320" i="1"/>
  <c r="AI320" i="1"/>
  <c r="AJ320" i="1"/>
  <c r="AK320" i="1"/>
  <c r="AL320" i="1"/>
  <c r="AM320" i="1"/>
  <c r="AN320" i="1"/>
  <c r="AO320" i="1"/>
  <c r="AP320" i="1"/>
  <c r="AQ320" i="1"/>
  <c r="AR320" i="1"/>
  <c r="AS322" i="1" l="1"/>
  <c r="AS320" i="1"/>
  <c r="AS321" i="1"/>
  <c r="Z319" i="1" l="1"/>
  <c r="AA319" i="1"/>
  <c r="AB319" i="1"/>
  <c r="AC319" i="1"/>
  <c r="AD319" i="1"/>
  <c r="AE319" i="1"/>
  <c r="AF319" i="1"/>
  <c r="AG319" i="1"/>
  <c r="AH319" i="1"/>
  <c r="AI319" i="1"/>
  <c r="AJ319" i="1"/>
  <c r="AK319" i="1"/>
  <c r="AL319" i="1"/>
  <c r="AM319" i="1"/>
  <c r="AN319" i="1"/>
  <c r="AO319" i="1"/>
  <c r="AP319" i="1"/>
  <c r="AQ319" i="1"/>
  <c r="AR319" i="1"/>
  <c r="Z318" i="1"/>
  <c r="AA318" i="1"/>
  <c r="AB318" i="1"/>
  <c r="AC318" i="1"/>
  <c r="AD318" i="1"/>
  <c r="AE318" i="1"/>
  <c r="AF318" i="1"/>
  <c r="AG318" i="1"/>
  <c r="AH318" i="1"/>
  <c r="AI318" i="1"/>
  <c r="AJ318" i="1"/>
  <c r="AK318" i="1"/>
  <c r="AL318" i="1"/>
  <c r="AM318" i="1"/>
  <c r="AN318" i="1"/>
  <c r="AO318" i="1"/>
  <c r="AP318" i="1"/>
  <c r="AQ318" i="1"/>
  <c r="AR318" i="1"/>
  <c r="Z317" i="1"/>
  <c r="AA317" i="1"/>
  <c r="AB317" i="1"/>
  <c r="AC317" i="1"/>
  <c r="AD317" i="1"/>
  <c r="AE317" i="1"/>
  <c r="AF317" i="1"/>
  <c r="AG317" i="1"/>
  <c r="AH317" i="1"/>
  <c r="AI317" i="1"/>
  <c r="AJ317" i="1"/>
  <c r="AK317" i="1"/>
  <c r="AL317" i="1"/>
  <c r="AM317" i="1"/>
  <c r="AN317" i="1"/>
  <c r="AO317" i="1"/>
  <c r="AP317" i="1"/>
  <c r="AQ317" i="1"/>
  <c r="AR317" i="1"/>
  <c r="Z316" i="1"/>
  <c r="AA316" i="1"/>
  <c r="AB316" i="1"/>
  <c r="AC316" i="1"/>
  <c r="AD316" i="1"/>
  <c r="AE316" i="1"/>
  <c r="AF316" i="1"/>
  <c r="AG316" i="1"/>
  <c r="AH316" i="1"/>
  <c r="AI316" i="1"/>
  <c r="AJ316" i="1"/>
  <c r="AK316" i="1"/>
  <c r="AL316" i="1"/>
  <c r="AM316" i="1"/>
  <c r="AN316" i="1"/>
  <c r="AO316" i="1"/>
  <c r="AP316" i="1"/>
  <c r="AQ316" i="1"/>
  <c r="AR316" i="1"/>
  <c r="Z315" i="1"/>
  <c r="AA315" i="1"/>
  <c r="AB315" i="1"/>
  <c r="AC315" i="1"/>
  <c r="AD315" i="1"/>
  <c r="AE315" i="1"/>
  <c r="AF315" i="1"/>
  <c r="AG315" i="1"/>
  <c r="AH315" i="1"/>
  <c r="AI315" i="1"/>
  <c r="AJ315" i="1"/>
  <c r="AK315" i="1"/>
  <c r="AL315" i="1"/>
  <c r="AM315" i="1"/>
  <c r="AN315" i="1"/>
  <c r="AO315" i="1"/>
  <c r="AP315" i="1"/>
  <c r="AQ315" i="1"/>
  <c r="AR315" i="1"/>
  <c r="Z314" i="1"/>
  <c r="AA314" i="1"/>
  <c r="AB314" i="1"/>
  <c r="AC314" i="1"/>
  <c r="AD314" i="1"/>
  <c r="AE314" i="1"/>
  <c r="AF314" i="1"/>
  <c r="AG314" i="1"/>
  <c r="AH314" i="1"/>
  <c r="AI314" i="1"/>
  <c r="AJ314" i="1"/>
  <c r="AK314" i="1"/>
  <c r="AL314" i="1"/>
  <c r="AM314" i="1"/>
  <c r="AN314" i="1"/>
  <c r="AO314" i="1"/>
  <c r="AP314" i="1"/>
  <c r="AQ314" i="1"/>
  <c r="AR314" i="1"/>
  <c r="Z313" i="1"/>
  <c r="AA313" i="1"/>
  <c r="AB313" i="1"/>
  <c r="AC313" i="1"/>
  <c r="AD313" i="1"/>
  <c r="AE313" i="1"/>
  <c r="AF313" i="1"/>
  <c r="AG313" i="1"/>
  <c r="AH313" i="1"/>
  <c r="AI313" i="1"/>
  <c r="AJ313" i="1"/>
  <c r="AK313" i="1"/>
  <c r="AL313" i="1"/>
  <c r="AM313" i="1"/>
  <c r="AN313" i="1"/>
  <c r="AO313" i="1"/>
  <c r="AP313" i="1"/>
  <c r="AQ313" i="1"/>
  <c r="AR313" i="1"/>
  <c r="Z312" i="1"/>
  <c r="AA312" i="1"/>
  <c r="AB312" i="1"/>
  <c r="AC312" i="1"/>
  <c r="AD312" i="1"/>
  <c r="AE312" i="1"/>
  <c r="AF312" i="1"/>
  <c r="AG312" i="1"/>
  <c r="AH312" i="1"/>
  <c r="AI312" i="1"/>
  <c r="AJ312" i="1"/>
  <c r="AK312" i="1"/>
  <c r="AL312" i="1"/>
  <c r="AM312" i="1"/>
  <c r="AN312" i="1"/>
  <c r="AO312" i="1"/>
  <c r="AP312" i="1"/>
  <c r="AQ312" i="1"/>
  <c r="AR312" i="1"/>
  <c r="Z311" i="1"/>
  <c r="AA311" i="1"/>
  <c r="AB311" i="1"/>
  <c r="AC311" i="1"/>
  <c r="AD311" i="1"/>
  <c r="AE311" i="1"/>
  <c r="AF311" i="1"/>
  <c r="AG311" i="1"/>
  <c r="AH311" i="1"/>
  <c r="AI311" i="1"/>
  <c r="AJ311" i="1"/>
  <c r="AK311" i="1"/>
  <c r="AL311" i="1"/>
  <c r="AM311" i="1"/>
  <c r="AN311" i="1"/>
  <c r="AO311" i="1"/>
  <c r="AP311" i="1"/>
  <c r="AQ311" i="1"/>
  <c r="AR311" i="1"/>
  <c r="Z310" i="1"/>
  <c r="AA310" i="1"/>
  <c r="AB310" i="1"/>
  <c r="AC310" i="1"/>
  <c r="AD310" i="1"/>
  <c r="AE310" i="1"/>
  <c r="AF310" i="1"/>
  <c r="AG310" i="1"/>
  <c r="AH310" i="1"/>
  <c r="AI310" i="1"/>
  <c r="AJ310" i="1"/>
  <c r="AK310" i="1"/>
  <c r="AL310" i="1"/>
  <c r="AM310" i="1"/>
  <c r="AN310" i="1"/>
  <c r="AO310" i="1"/>
  <c r="AP310" i="1"/>
  <c r="AQ310" i="1"/>
  <c r="AR310" i="1"/>
  <c r="Z309" i="1"/>
  <c r="AA309" i="1"/>
  <c r="AB309" i="1"/>
  <c r="AC309" i="1"/>
  <c r="AD309" i="1"/>
  <c r="AE309" i="1"/>
  <c r="AF309" i="1"/>
  <c r="AG309" i="1"/>
  <c r="AH309" i="1"/>
  <c r="AI309" i="1"/>
  <c r="AJ309" i="1"/>
  <c r="AK309" i="1"/>
  <c r="AL309" i="1"/>
  <c r="AM309" i="1"/>
  <c r="AN309" i="1"/>
  <c r="AO309" i="1"/>
  <c r="AP309" i="1"/>
  <c r="AQ309" i="1"/>
  <c r="AR309" i="1"/>
  <c r="Z308" i="1"/>
  <c r="AA308" i="1"/>
  <c r="AB308" i="1"/>
  <c r="AC308" i="1"/>
  <c r="AD308" i="1"/>
  <c r="AE308" i="1"/>
  <c r="AF308" i="1"/>
  <c r="AG308" i="1"/>
  <c r="AH308" i="1"/>
  <c r="AI308" i="1"/>
  <c r="AJ308" i="1"/>
  <c r="AK308" i="1"/>
  <c r="AL308" i="1"/>
  <c r="AM308" i="1"/>
  <c r="AN308" i="1"/>
  <c r="AO308" i="1"/>
  <c r="AP308" i="1"/>
  <c r="AQ308" i="1"/>
  <c r="AR308" i="1"/>
  <c r="Z307" i="1"/>
  <c r="AA307" i="1"/>
  <c r="AB307" i="1"/>
  <c r="AC307" i="1"/>
  <c r="AD307" i="1"/>
  <c r="AE307" i="1"/>
  <c r="AF307" i="1"/>
  <c r="AG307" i="1"/>
  <c r="AH307" i="1"/>
  <c r="AI307" i="1"/>
  <c r="AJ307" i="1"/>
  <c r="AK307" i="1"/>
  <c r="AL307" i="1"/>
  <c r="AM307" i="1"/>
  <c r="AN307" i="1"/>
  <c r="AO307" i="1"/>
  <c r="AP307" i="1"/>
  <c r="AQ307" i="1"/>
  <c r="AR307" i="1"/>
  <c r="Z306" i="1"/>
  <c r="AA306" i="1"/>
  <c r="AB306" i="1"/>
  <c r="AC306" i="1"/>
  <c r="AD306" i="1"/>
  <c r="AE306" i="1"/>
  <c r="AF306" i="1"/>
  <c r="AG306" i="1"/>
  <c r="AH306" i="1"/>
  <c r="AI306" i="1"/>
  <c r="AJ306" i="1"/>
  <c r="AK306" i="1"/>
  <c r="AL306" i="1"/>
  <c r="AM306" i="1"/>
  <c r="AN306" i="1"/>
  <c r="AO306" i="1"/>
  <c r="AP306" i="1"/>
  <c r="AQ306" i="1"/>
  <c r="AR306" i="1"/>
  <c r="Z305" i="1"/>
  <c r="AA305" i="1"/>
  <c r="AB305" i="1"/>
  <c r="AC305" i="1"/>
  <c r="AD305" i="1"/>
  <c r="AE305" i="1"/>
  <c r="AF305" i="1"/>
  <c r="AG305" i="1"/>
  <c r="AH305" i="1"/>
  <c r="AI305" i="1"/>
  <c r="AJ305" i="1"/>
  <c r="AK305" i="1"/>
  <c r="AL305" i="1"/>
  <c r="AM305" i="1"/>
  <c r="AN305" i="1"/>
  <c r="AO305" i="1"/>
  <c r="AP305" i="1"/>
  <c r="AQ305" i="1"/>
  <c r="AR305" i="1"/>
  <c r="Z304" i="1"/>
  <c r="AA304" i="1"/>
  <c r="AB304" i="1"/>
  <c r="AC304" i="1"/>
  <c r="AD304" i="1"/>
  <c r="AE304" i="1"/>
  <c r="AF304" i="1"/>
  <c r="AG304" i="1"/>
  <c r="AH304" i="1"/>
  <c r="AI304" i="1"/>
  <c r="AJ304" i="1"/>
  <c r="AK304" i="1"/>
  <c r="AL304" i="1"/>
  <c r="AM304" i="1"/>
  <c r="AN304" i="1"/>
  <c r="AO304" i="1"/>
  <c r="AP304" i="1"/>
  <c r="AQ304" i="1"/>
  <c r="AR304" i="1"/>
  <c r="AS319" i="1" l="1"/>
  <c r="AS317" i="1"/>
  <c r="AS318" i="1"/>
  <c r="AS316" i="1"/>
  <c r="AS315" i="1"/>
  <c r="AS314" i="1"/>
  <c r="AS313" i="1"/>
  <c r="AS312" i="1"/>
  <c r="AS311" i="1"/>
  <c r="AS310" i="1"/>
  <c r="AS309" i="1"/>
  <c r="AS308" i="1"/>
  <c r="AS307" i="1"/>
  <c r="AS306" i="1"/>
  <c r="AS305" i="1"/>
  <c r="AS304" i="1"/>
  <c r="Z303" i="1" l="1"/>
  <c r="AA303" i="1"/>
  <c r="AB303" i="1"/>
  <c r="AC303" i="1"/>
  <c r="AD303" i="1"/>
  <c r="AE303" i="1"/>
  <c r="AF303" i="1"/>
  <c r="AG303" i="1"/>
  <c r="AH303" i="1"/>
  <c r="AI303" i="1"/>
  <c r="AJ303" i="1"/>
  <c r="AK303" i="1"/>
  <c r="AL303" i="1"/>
  <c r="AM303" i="1"/>
  <c r="AN303" i="1"/>
  <c r="AO303" i="1"/>
  <c r="AP303" i="1"/>
  <c r="AQ303" i="1"/>
  <c r="AR303" i="1"/>
  <c r="Z302" i="1"/>
  <c r="AA302" i="1"/>
  <c r="AB302" i="1"/>
  <c r="AC302" i="1"/>
  <c r="AD302" i="1"/>
  <c r="AE302" i="1"/>
  <c r="AF302" i="1"/>
  <c r="AG302" i="1"/>
  <c r="AH302" i="1"/>
  <c r="AI302" i="1"/>
  <c r="AJ302" i="1"/>
  <c r="AK302" i="1"/>
  <c r="AL302" i="1"/>
  <c r="AM302" i="1"/>
  <c r="AN302" i="1"/>
  <c r="AO302" i="1"/>
  <c r="AP302" i="1"/>
  <c r="AQ302" i="1"/>
  <c r="AR302" i="1"/>
  <c r="Z301" i="1"/>
  <c r="AA301" i="1"/>
  <c r="AB301" i="1"/>
  <c r="AC301" i="1"/>
  <c r="AD301" i="1"/>
  <c r="AE301" i="1"/>
  <c r="AF301" i="1"/>
  <c r="AG301" i="1"/>
  <c r="AH301" i="1"/>
  <c r="AI301" i="1"/>
  <c r="AJ301" i="1"/>
  <c r="AK301" i="1"/>
  <c r="AL301" i="1"/>
  <c r="AM301" i="1"/>
  <c r="AN301" i="1"/>
  <c r="AO301" i="1"/>
  <c r="AP301" i="1"/>
  <c r="AQ301" i="1"/>
  <c r="AR301" i="1"/>
  <c r="Z300" i="1"/>
  <c r="AA300" i="1"/>
  <c r="AB300" i="1"/>
  <c r="AC300" i="1"/>
  <c r="AD300" i="1"/>
  <c r="AE300" i="1"/>
  <c r="AF300" i="1"/>
  <c r="AG300" i="1"/>
  <c r="AH300" i="1"/>
  <c r="AI300" i="1"/>
  <c r="AJ300" i="1"/>
  <c r="AK300" i="1"/>
  <c r="AL300" i="1"/>
  <c r="AM300" i="1"/>
  <c r="AN300" i="1"/>
  <c r="AO300" i="1"/>
  <c r="AP300" i="1"/>
  <c r="AQ300" i="1"/>
  <c r="AR300" i="1"/>
  <c r="Z299" i="1"/>
  <c r="AA299" i="1"/>
  <c r="AB299" i="1"/>
  <c r="AC299" i="1"/>
  <c r="AD299" i="1"/>
  <c r="AE299" i="1"/>
  <c r="AF299" i="1"/>
  <c r="AG299" i="1"/>
  <c r="AH299" i="1"/>
  <c r="AI299" i="1"/>
  <c r="AJ299" i="1"/>
  <c r="AK299" i="1"/>
  <c r="AL299" i="1"/>
  <c r="AM299" i="1"/>
  <c r="AN299" i="1"/>
  <c r="AO299" i="1"/>
  <c r="AP299" i="1"/>
  <c r="AQ299" i="1"/>
  <c r="AR299" i="1"/>
  <c r="Z298" i="1"/>
  <c r="AA298" i="1"/>
  <c r="AB298" i="1"/>
  <c r="AC298" i="1"/>
  <c r="AD298" i="1"/>
  <c r="AE298" i="1"/>
  <c r="AF298" i="1"/>
  <c r="AG298" i="1"/>
  <c r="AH298" i="1"/>
  <c r="AI298" i="1"/>
  <c r="AJ298" i="1"/>
  <c r="AK298" i="1"/>
  <c r="AL298" i="1"/>
  <c r="AM298" i="1"/>
  <c r="AN298" i="1"/>
  <c r="AO298" i="1"/>
  <c r="AP298" i="1"/>
  <c r="AQ298" i="1"/>
  <c r="AR298" i="1"/>
  <c r="Z297" i="1"/>
  <c r="AA297" i="1"/>
  <c r="AB297" i="1"/>
  <c r="AC297" i="1"/>
  <c r="AD297" i="1"/>
  <c r="AE297" i="1"/>
  <c r="AF297" i="1"/>
  <c r="AG297" i="1"/>
  <c r="AH297" i="1"/>
  <c r="AI297" i="1"/>
  <c r="AJ297" i="1"/>
  <c r="AK297" i="1"/>
  <c r="AL297" i="1"/>
  <c r="AM297" i="1"/>
  <c r="AN297" i="1"/>
  <c r="AO297" i="1"/>
  <c r="AP297" i="1"/>
  <c r="AQ297" i="1"/>
  <c r="AR297" i="1"/>
  <c r="Z296" i="1"/>
  <c r="AA296" i="1"/>
  <c r="AB296" i="1"/>
  <c r="AC296" i="1"/>
  <c r="AD296" i="1"/>
  <c r="AE296" i="1"/>
  <c r="AF296" i="1"/>
  <c r="AG296" i="1"/>
  <c r="AH296" i="1"/>
  <c r="AI296" i="1"/>
  <c r="AJ296" i="1"/>
  <c r="AK296" i="1"/>
  <c r="AL296" i="1"/>
  <c r="AM296" i="1"/>
  <c r="AN296" i="1"/>
  <c r="AO296" i="1"/>
  <c r="AP296" i="1"/>
  <c r="AQ296" i="1"/>
  <c r="AR296" i="1"/>
  <c r="Z295" i="1"/>
  <c r="AA295" i="1"/>
  <c r="AB295" i="1"/>
  <c r="AC295" i="1"/>
  <c r="AD295" i="1"/>
  <c r="AE295" i="1"/>
  <c r="AF295" i="1"/>
  <c r="AG295" i="1"/>
  <c r="AH295" i="1"/>
  <c r="AI295" i="1"/>
  <c r="AJ295" i="1"/>
  <c r="AK295" i="1"/>
  <c r="AL295" i="1"/>
  <c r="AM295" i="1"/>
  <c r="AN295" i="1"/>
  <c r="AO295" i="1"/>
  <c r="AP295" i="1"/>
  <c r="AQ295" i="1"/>
  <c r="AR295" i="1"/>
  <c r="Z294" i="1"/>
  <c r="AA294" i="1"/>
  <c r="AB294" i="1"/>
  <c r="AC294" i="1"/>
  <c r="AD294" i="1"/>
  <c r="AE294" i="1"/>
  <c r="AF294" i="1"/>
  <c r="AG294" i="1"/>
  <c r="AH294" i="1"/>
  <c r="AI294" i="1"/>
  <c r="AJ294" i="1"/>
  <c r="AK294" i="1"/>
  <c r="AL294" i="1"/>
  <c r="AM294" i="1"/>
  <c r="AN294" i="1"/>
  <c r="AO294" i="1"/>
  <c r="AP294" i="1"/>
  <c r="AQ294" i="1"/>
  <c r="AR294" i="1"/>
  <c r="Z293" i="1"/>
  <c r="AA293" i="1"/>
  <c r="AB293" i="1"/>
  <c r="AC293" i="1"/>
  <c r="AD293" i="1"/>
  <c r="AE293" i="1"/>
  <c r="AF293" i="1"/>
  <c r="AG293" i="1"/>
  <c r="AH293" i="1"/>
  <c r="AI293" i="1"/>
  <c r="AJ293" i="1"/>
  <c r="AK293" i="1"/>
  <c r="AL293" i="1"/>
  <c r="AM293" i="1"/>
  <c r="AN293" i="1"/>
  <c r="AO293" i="1"/>
  <c r="AP293" i="1"/>
  <c r="AQ293" i="1"/>
  <c r="AR293" i="1"/>
  <c r="Z292" i="1"/>
  <c r="AA292" i="1"/>
  <c r="AB292" i="1"/>
  <c r="AC292" i="1"/>
  <c r="AD292" i="1"/>
  <c r="AE292" i="1"/>
  <c r="AF292" i="1"/>
  <c r="AG292" i="1"/>
  <c r="AH292" i="1"/>
  <c r="AI292" i="1"/>
  <c r="AJ292" i="1"/>
  <c r="AK292" i="1"/>
  <c r="AL292" i="1"/>
  <c r="AM292" i="1"/>
  <c r="AN292" i="1"/>
  <c r="AO292" i="1"/>
  <c r="AP292" i="1"/>
  <c r="AQ292" i="1"/>
  <c r="AR292" i="1"/>
  <c r="Z291" i="1"/>
  <c r="AA291" i="1"/>
  <c r="AB291" i="1"/>
  <c r="AC291" i="1"/>
  <c r="AD291" i="1"/>
  <c r="AE291" i="1"/>
  <c r="AF291" i="1"/>
  <c r="AG291" i="1"/>
  <c r="AH291" i="1"/>
  <c r="AI291" i="1"/>
  <c r="AJ291" i="1"/>
  <c r="AK291" i="1"/>
  <c r="AL291" i="1"/>
  <c r="AM291" i="1"/>
  <c r="AN291" i="1"/>
  <c r="AO291" i="1"/>
  <c r="AP291" i="1"/>
  <c r="AQ291" i="1"/>
  <c r="AR291" i="1"/>
  <c r="Z290" i="1"/>
  <c r="AA290" i="1"/>
  <c r="AB290" i="1"/>
  <c r="AC290" i="1"/>
  <c r="AD290" i="1"/>
  <c r="AE290" i="1"/>
  <c r="AF290" i="1"/>
  <c r="AG290" i="1"/>
  <c r="AH290" i="1"/>
  <c r="AI290" i="1"/>
  <c r="AJ290" i="1"/>
  <c r="AK290" i="1"/>
  <c r="AL290" i="1"/>
  <c r="AM290" i="1"/>
  <c r="AN290" i="1"/>
  <c r="AO290" i="1"/>
  <c r="AP290" i="1"/>
  <c r="AQ290" i="1"/>
  <c r="AR290" i="1"/>
  <c r="Z289" i="1"/>
  <c r="AA289" i="1"/>
  <c r="AB289" i="1"/>
  <c r="AC289" i="1"/>
  <c r="AD289" i="1"/>
  <c r="AE289" i="1"/>
  <c r="AF289" i="1"/>
  <c r="AG289" i="1"/>
  <c r="AH289" i="1"/>
  <c r="AI289" i="1"/>
  <c r="AJ289" i="1"/>
  <c r="AK289" i="1"/>
  <c r="AL289" i="1"/>
  <c r="AM289" i="1"/>
  <c r="AN289" i="1"/>
  <c r="AO289" i="1"/>
  <c r="AP289" i="1"/>
  <c r="AQ289" i="1"/>
  <c r="AR289" i="1"/>
  <c r="Z288" i="1"/>
  <c r="AA288" i="1"/>
  <c r="AB288" i="1"/>
  <c r="AC288" i="1"/>
  <c r="AD288" i="1"/>
  <c r="AE288" i="1"/>
  <c r="AF288" i="1"/>
  <c r="AG288" i="1"/>
  <c r="AH288" i="1"/>
  <c r="AI288" i="1"/>
  <c r="AJ288" i="1"/>
  <c r="AK288" i="1"/>
  <c r="AL288" i="1"/>
  <c r="AM288" i="1"/>
  <c r="AN288" i="1"/>
  <c r="AO288" i="1"/>
  <c r="AP288" i="1"/>
  <c r="AQ288" i="1"/>
  <c r="AR288" i="1"/>
  <c r="Z287" i="1"/>
  <c r="AA287" i="1"/>
  <c r="AB287" i="1"/>
  <c r="AC287" i="1"/>
  <c r="AD287" i="1"/>
  <c r="AE287" i="1"/>
  <c r="AF287" i="1"/>
  <c r="AG287" i="1"/>
  <c r="AH287" i="1"/>
  <c r="AI287" i="1"/>
  <c r="AJ287" i="1"/>
  <c r="AK287" i="1"/>
  <c r="AL287" i="1"/>
  <c r="AM287" i="1"/>
  <c r="AN287" i="1"/>
  <c r="AO287" i="1"/>
  <c r="AP287" i="1"/>
  <c r="AQ287" i="1"/>
  <c r="AR287" i="1"/>
  <c r="Z286" i="1"/>
  <c r="AA286" i="1"/>
  <c r="AB286" i="1"/>
  <c r="AC286" i="1"/>
  <c r="AD286" i="1"/>
  <c r="AE286" i="1"/>
  <c r="AF286" i="1"/>
  <c r="AG286" i="1"/>
  <c r="AH286" i="1"/>
  <c r="AI286" i="1"/>
  <c r="AJ286" i="1"/>
  <c r="AK286" i="1"/>
  <c r="AL286" i="1"/>
  <c r="AM286" i="1"/>
  <c r="AN286" i="1"/>
  <c r="AO286" i="1"/>
  <c r="AP286" i="1"/>
  <c r="AQ286" i="1"/>
  <c r="AR286" i="1"/>
  <c r="Z285" i="1"/>
  <c r="AA285" i="1"/>
  <c r="AB285" i="1"/>
  <c r="AC285" i="1"/>
  <c r="AD285" i="1"/>
  <c r="AE285" i="1"/>
  <c r="AF285" i="1"/>
  <c r="AG285" i="1"/>
  <c r="AH285" i="1"/>
  <c r="AI285" i="1"/>
  <c r="AJ285" i="1"/>
  <c r="AK285" i="1"/>
  <c r="AL285" i="1"/>
  <c r="AM285" i="1"/>
  <c r="AN285" i="1"/>
  <c r="AO285" i="1"/>
  <c r="AP285" i="1"/>
  <c r="AQ285" i="1"/>
  <c r="AR285" i="1"/>
  <c r="Z284" i="1"/>
  <c r="AA284" i="1"/>
  <c r="AB284" i="1"/>
  <c r="AC284" i="1"/>
  <c r="AD284" i="1"/>
  <c r="AE284" i="1"/>
  <c r="AF284" i="1"/>
  <c r="AG284" i="1"/>
  <c r="AH284" i="1"/>
  <c r="AI284" i="1"/>
  <c r="AJ284" i="1"/>
  <c r="AK284" i="1"/>
  <c r="AL284" i="1"/>
  <c r="AM284" i="1"/>
  <c r="AN284" i="1"/>
  <c r="AO284" i="1"/>
  <c r="AP284" i="1"/>
  <c r="AQ284" i="1"/>
  <c r="AR284" i="1"/>
  <c r="Z283" i="1"/>
  <c r="AA283" i="1"/>
  <c r="AB283" i="1"/>
  <c r="AC283" i="1"/>
  <c r="AD283" i="1"/>
  <c r="AE283" i="1"/>
  <c r="AF283" i="1"/>
  <c r="AG283" i="1"/>
  <c r="AH283" i="1"/>
  <c r="AI283" i="1"/>
  <c r="AJ283" i="1"/>
  <c r="AK283" i="1"/>
  <c r="AL283" i="1"/>
  <c r="AM283" i="1"/>
  <c r="AN283" i="1"/>
  <c r="AO283" i="1"/>
  <c r="AP283" i="1"/>
  <c r="AQ283" i="1"/>
  <c r="AR283" i="1"/>
  <c r="Z282" i="1"/>
  <c r="AA282" i="1"/>
  <c r="AB282" i="1"/>
  <c r="AC282" i="1"/>
  <c r="AD282" i="1"/>
  <c r="AE282" i="1"/>
  <c r="AF282" i="1"/>
  <c r="AG282" i="1"/>
  <c r="AH282" i="1"/>
  <c r="AI282" i="1"/>
  <c r="AJ282" i="1"/>
  <c r="AK282" i="1"/>
  <c r="AL282" i="1"/>
  <c r="AM282" i="1"/>
  <c r="AN282" i="1"/>
  <c r="AO282" i="1"/>
  <c r="AP282" i="1"/>
  <c r="AQ282" i="1"/>
  <c r="AR282" i="1"/>
  <c r="Z281" i="1"/>
  <c r="AA281" i="1"/>
  <c r="AB281" i="1"/>
  <c r="AC281" i="1"/>
  <c r="AD281" i="1"/>
  <c r="AE281" i="1"/>
  <c r="AF281" i="1"/>
  <c r="AG281" i="1"/>
  <c r="AH281" i="1"/>
  <c r="AI281" i="1"/>
  <c r="AJ281" i="1"/>
  <c r="AK281" i="1"/>
  <c r="AL281" i="1"/>
  <c r="AM281" i="1"/>
  <c r="AN281" i="1"/>
  <c r="AO281" i="1"/>
  <c r="AP281" i="1"/>
  <c r="AQ281" i="1"/>
  <c r="AR281" i="1"/>
  <c r="Z280" i="1"/>
  <c r="AA280" i="1"/>
  <c r="AB280" i="1"/>
  <c r="AC280" i="1"/>
  <c r="AD280" i="1"/>
  <c r="AE280" i="1"/>
  <c r="AF280" i="1"/>
  <c r="AG280" i="1"/>
  <c r="AH280" i="1"/>
  <c r="AI280" i="1"/>
  <c r="AJ280" i="1"/>
  <c r="AK280" i="1"/>
  <c r="AL280" i="1"/>
  <c r="AM280" i="1"/>
  <c r="AN280" i="1"/>
  <c r="AO280" i="1"/>
  <c r="AP280" i="1"/>
  <c r="AQ280" i="1"/>
  <c r="AR280" i="1"/>
  <c r="Z279" i="1"/>
  <c r="AA279" i="1"/>
  <c r="AB279" i="1"/>
  <c r="AC279" i="1"/>
  <c r="AD279" i="1"/>
  <c r="AE279" i="1"/>
  <c r="AF279" i="1"/>
  <c r="AG279" i="1"/>
  <c r="AH279" i="1"/>
  <c r="AI279" i="1"/>
  <c r="AJ279" i="1"/>
  <c r="AK279" i="1"/>
  <c r="AL279" i="1"/>
  <c r="AM279" i="1"/>
  <c r="AN279" i="1"/>
  <c r="AO279" i="1"/>
  <c r="AP279" i="1"/>
  <c r="AQ279" i="1"/>
  <c r="AR279" i="1"/>
  <c r="Z278" i="1"/>
  <c r="AA278" i="1"/>
  <c r="AB278" i="1"/>
  <c r="AC278" i="1"/>
  <c r="AD278" i="1"/>
  <c r="AE278" i="1"/>
  <c r="AF278" i="1"/>
  <c r="AG278" i="1"/>
  <c r="AH278" i="1"/>
  <c r="AI278" i="1"/>
  <c r="AJ278" i="1"/>
  <c r="AK278" i="1"/>
  <c r="AL278" i="1"/>
  <c r="AM278" i="1"/>
  <c r="AN278" i="1"/>
  <c r="AO278" i="1"/>
  <c r="AP278" i="1"/>
  <c r="AQ278" i="1"/>
  <c r="AR278" i="1"/>
  <c r="Z277" i="1"/>
  <c r="AA277" i="1"/>
  <c r="AB277" i="1"/>
  <c r="AC277" i="1"/>
  <c r="AD277" i="1"/>
  <c r="AE277" i="1"/>
  <c r="AF277" i="1"/>
  <c r="AG277" i="1"/>
  <c r="AH277" i="1"/>
  <c r="AI277" i="1"/>
  <c r="AJ277" i="1"/>
  <c r="AK277" i="1"/>
  <c r="AL277" i="1"/>
  <c r="AM277" i="1"/>
  <c r="AN277" i="1"/>
  <c r="AO277" i="1"/>
  <c r="AP277" i="1"/>
  <c r="AQ277" i="1"/>
  <c r="AR277" i="1"/>
  <c r="AS303" i="1" l="1"/>
  <c r="AS302" i="1"/>
  <c r="AS301" i="1"/>
  <c r="AS300" i="1"/>
  <c r="AS299" i="1"/>
  <c r="AS298" i="1"/>
  <c r="AS297" i="1"/>
  <c r="AS296" i="1"/>
  <c r="AS295" i="1"/>
  <c r="AS294" i="1"/>
  <c r="AS293" i="1"/>
  <c r="AS292" i="1"/>
  <c r="AS291" i="1"/>
  <c r="AS290" i="1"/>
  <c r="AS289" i="1"/>
  <c r="AS288" i="1"/>
  <c r="AS287" i="1"/>
  <c r="AS286" i="1"/>
  <c r="AS285" i="1"/>
  <c r="AS284" i="1"/>
  <c r="AS283" i="1"/>
  <c r="AS282" i="1"/>
  <c r="AS281" i="1"/>
  <c r="AS280" i="1"/>
  <c r="AS279" i="1"/>
  <c r="AS278" i="1"/>
  <c r="AS277" i="1"/>
  <c r="Z276" i="1" l="1"/>
  <c r="AA276" i="1"/>
  <c r="AB276" i="1"/>
  <c r="AC276" i="1"/>
  <c r="AD276" i="1"/>
  <c r="AE276" i="1"/>
  <c r="AF276" i="1"/>
  <c r="AG276" i="1"/>
  <c r="AH276" i="1"/>
  <c r="AI276" i="1"/>
  <c r="AJ276" i="1"/>
  <c r="AK276" i="1"/>
  <c r="AL276" i="1"/>
  <c r="AM276" i="1"/>
  <c r="AN276" i="1"/>
  <c r="AO276" i="1"/>
  <c r="AP276" i="1"/>
  <c r="AQ276" i="1"/>
  <c r="AR276" i="1"/>
  <c r="Z275" i="1"/>
  <c r="AA275" i="1"/>
  <c r="AB275" i="1"/>
  <c r="AC275" i="1"/>
  <c r="AD275" i="1"/>
  <c r="AE275" i="1"/>
  <c r="AF275" i="1"/>
  <c r="AG275" i="1"/>
  <c r="AH275" i="1"/>
  <c r="AI275" i="1"/>
  <c r="AJ275" i="1"/>
  <c r="AK275" i="1"/>
  <c r="AL275" i="1"/>
  <c r="AM275" i="1"/>
  <c r="AN275" i="1"/>
  <c r="AO275" i="1"/>
  <c r="AP275" i="1"/>
  <c r="AQ275" i="1"/>
  <c r="AR275" i="1"/>
  <c r="Z274" i="1"/>
  <c r="AA274" i="1"/>
  <c r="AB274" i="1"/>
  <c r="AC274" i="1"/>
  <c r="AD274" i="1"/>
  <c r="AE274" i="1"/>
  <c r="AF274" i="1"/>
  <c r="AG274" i="1"/>
  <c r="AH274" i="1"/>
  <c r="AI274" i="1"/>
  <c r="AJ274" i="1"/>
  <c r="AK274" i="1"/>
  <c r="AL274" i="1"/>
  <c r="AM274" i="1"/>
  <c r="AN274" i="1"/>
  <c r="AO274" i="1"/>
  <c r="AP274" i="1"/>
  <c r="AQ274" i="1"/>
  <c r="AR274" i="1"/>
  <c r="Z273" i="1"/>
  <c r="AA273" i="1"/>
  <c r="AB273" i="1"/>
  <c r="AC273" i="1"/>
  <c r="AD273" i="1"/>
  <c r="AE273" i="1"/>
  <c r="AF273" i="1"/>
  <c r="AG273" i="1"/>
  <c r="AH273" i="1"/>
  <c r="AI273" i="1"/>
  <c r="AJ273" i="1"/>
  <c r="AK273" i="1"/>
  <c r="AL273" i="1"/>
  <c r="AM273" i="1"/>
  <c r="AN273" i="1"/>
  <c r="AO273" i="1"/>
  <c r="AP273" i="1"/>
  <c r="AQ273" i="1"/>
  <c r="AR273" i="1"/>
  <c r="Z272" i="1"/>
  <c r="AA272" i="1"/>
  <c r="AB272" i="1"/>
  <c r="AC272" i="1"/>
  <c r="AD272" i="1"/>
  <c r="AE272" i="1"/>
  <c r="AF272" i="1"/>
  <c r="AG272" i="1"/>
  <c r="AH272" i="1"/>
  <c r="AI272" i="1"/>
  <c r="AJ272" i="1"/>
  <c r="AK272" i="1"/>
  <c r="AL272" i="1"/>
  <c r="AM272" i="1"/>
  <c r="AN272" i="1"/>
  <c r="AO272" i="1"/>
  <c r="AP272" i="1"/>
  <c r="AQ272" i="1"/>
  <c r="AR272" i="1"/>
  <c r="Z271" i="1"/>
  <c r="AA271" i="1"/>
  <c r="AB271" i="1"/>
  <c r="AC271" i="1"/>
  <c r="AD271" i="1"/>
  <c r="AE271" i="1"/>
  <c r="AF271" i="1"/>
  <c r="AG271" i="1"/>
  <c r="AH271" i="1"/>
  <c r="AI271" i="1"/>
  <c r="AJ271" i="1"/>
  <c r="AK271" i="1"/>
  <c r="AL271" i="1"/>
  <c r="AM271" i="1"/>
  <c r="AN271" i="1"/>
  <c r="AO271" i="1"/>
  <c r="AP271" i="1"/>
  <c r="AQ271" i="1"/>
  <c r="AR271" i="1"/>
  <c r="Z270" i="1"/>
  <c r="AA270" i="1"/>
  <c r="AB270" i="1"/>
  <c r="AC270" i="1"/>
  <c r="AD270" i="1"/>
  <c r="AE270" i="1"/>
  <c r="AF270" i="1"/>
  <c r="AG270" i="1"/>
  <c r="AH270" i="1"/>
  <c r="AI270" i="1"/>
  <c r="AJ270" i="1"/>
  <c r="AK270" i="1"/>
  <c r="AL270" i="1"/>
  <c r="AM270" i="1"/>
  <c r="AN270" i="1"/>
  <c r="AO270" i="1"/>
  <c r="AP270" i="1"/>
  <c r="AQ270" i="1"/>
  <c r="AR270" i="1"/>
  <c r="Z269" i="1"/>
  <c r="AA269" i="1"/>
  <c r="AB269" i="1"/>
  <c r="AC269" i="1"/>
  <c r="AD269" i="1"/>
  <c r="AE269" i="1"/>
  <c r="AF269" i="1"/>
  <c r="AG269" i="1"/>
  <c r="AH269" i="1"/>
  <c r="AI269" i="1"/>
  <c r="AJ269" i="1"/>
  <c r="AK269" i="1"/>
  <c r="AL269" i="1"/>
  <c r="AM269" i="1"/>
  <c r="AN269" i="1"/>
  <c r="AO269" i="1"/>
  <c r="AP269" i="1"/>
  <c r="AQ269" i="1"/>
  <c r="AR269" i="1"/>
  <c r="Z268" i="1"/>
  <c r="AA268" i="1"/>
  <c r="AB268" i="1"/>
  <c r="AC268" i="1"/>
  <c r="AD268" i="1"/>
  <c r="AE268" i="1"/>
  <c r="AF268" i="1"/>
  <c r="AG268" i="1"/>
  <c r="AH268" i="1"/>
  <c r="AI268" i="1"/>
  <c r="AJ268" i="1"/>
  <c r="AK268" i="1"/>
  <c r="AL268" i="1"/>
  <c r="AM268" i="1"/>
  <c r="AN268" i="1"/>
  <c r="AO268" i="1"/>
  <c r="AP268" i="1"/>
  <c r="AQ268" i="1"/>
  <c r="AR268" i="1"/>
  <c r="Z267" i="1"/>
  <c r="AA267" i="1"/>
  <c r="AB267" i="1"/>
  <c r="AC267" i="1"/>
  <c r="AD267" i="1"/>
  <c r="AE267" i="1"/>
  <c r="AF267" i="1"/>
  <c r="AG267" i="1"/>
  <c r="AH267" i="1"/>
  <c r="AI267" i="1"/>
  <c r="AJ267" i="1"/>
  <c r="AK267" i="1"/>
  <c r="AL267" i="1"/>
  <c r="AM267" i="1"/>
  <c r="AN267" i="1"/>
  <c r="AO267" i="1"/>
  <c r="AP267" i="1"/>
  <c r="AQ267" i="1"/>
  <c r="AR267" i="1"/>
  <c r="Z266" i="1"/>
  <c r="AA266" i="1"/>
  <c r="AB266" i="1"/>
  <c r="AC266" i="1"/>
  <c r="AD266" i="1"/>
  <c r="AE266" i="1"/>
  <c r="AF266" i="1"/>
  <c r="AG266" i="1"/>
  <c r="AH266" i="1"/>
  <c r="AI266" i="1"/>
  <c r="AJ266" i="1"/>
  <c r="AK266" i="1"/>
  <c r="AL266" i="1"/>
  <c r="AM266" i="1"/>
  <c r="AN266" i="1"/>
  <c r="AO266" i="1"/>
  <c r="AP266" i="1"/>
  <c r="AQ266" i="1"/>
  <c r="AR266" i="1"/>
  <c r="Z265" i="1"/>
  <c r="AA265" i="1"/>
  <c r="AB265" i="1"/>
  <c r="AC265" i="1"/>
  <c r="AD265" i="1"/>
  <c r="AE265" i="1"/>
  <c r="AF265" i="1"/>
  <c r="AG265" i="1"/>
  <c r="AH265" i="1"/>
  <c r="AI265" i="1"/>
  <c r="AJ265" i="1"/>
  <c r="AK265" i="1"/>
  <c r="AL265" i="1"/>
  <c r="AM265" i="1"/>
  <c r="AN265" i="1"/>
  <c r="AO265" i="1"/>
  <c r="AP265" i="1"/>
  <c r="AQ265" i="1"/>
  <c r="AR265" i="1"/>
  <c r="Z264" i="1"/>
  <c r="AA264" i="1"/>
  <c r="AB264" i="1"/>
  <c r="AC264" i="1"/>
  <c r="AD264" i="1"/>
  <c r="AE264" i="1"/>
  <c r="AF264" i="1"/>
  <c r="AG264" i="1"/>
  <c r="AH264" i="1"/>
  <c r="AI264" i="1"/>
  <c r="AJ264" i="1"/>
  <c r="AK264" i="1"/>
  <c r="AL264" i="1"/>
  <c r="AM264" i="1"/>
  <c r="AN264" i="1"/>
  <c r="AO264" i="1"/>
  <c r="AP264" i="1"/>
  <c r="AQ264" i="1"/>
  <c r="AR264" i="1"/>
  <c r="Z263" i="1"/>
  <c r="AA263" i="1"/>
  <c r="AB263" i="1"/>
  <c r="AC263" i="1"/>
  <c r="AD263" i="1"/>
  <c r="AE263" i="1"/>
  <c r="AF263" i="1"/>
  <c r="AG263" i="1"/>
  <c r="AH263" i="1"/>
  <c r="AI263" i="1"/>
  <c r="AJ263" i="1"/>
  <c r="AK263" i="1"/>
  <c r="AL263" i="1"/>
  <c r="AM263" i="1"/>
  <c r="AN263" i="1"/>
  <c r="AO263" i="1"/>
  <c r="AP263" i="1"/>
  <c r="AQ263" i="1"/>
  <c r="AR263" i="1"/>
  <c r="AS276" i="1" l="1"/>
  <c r="AS275" i="1"/>
  <c r="AS274" i="1"/>
  <c r="AS273" i="1"/>
  <c r="AS271" i="1"/>
  <c r="AS272" i="1"/>
  <c r="AS270" i="1"/>
  <c r="AS269" i="1"/>
  <c r="AS268" i="1"/>
  <c r="AS267" i="1"/>
  <c r="AS266" i="1"/>
  <c r="AS265" i="1"/>
  <c r="AS264" i="1"/>
  <c r="AS263" i="1"/>
  <c r="Z262" i="1" l="1"/>
  <c r="AA262" i="1"/>
  <c r="AB262" i="1"/>
  <c r="AC262" i="1"/>
  <c r="AD262" i="1"/>
  <c r="AE262" i="1"/>
  <c r="AF262" i="1"/>
  <c r="AG262" i="1"/>
  <c r="AH262" i="1"/>
  <c r="AI262" i="1"/>
  <c r="AJ262" i="1"/>
  <c r="AK262" i="1"/>
  <c r="AL262" i="1"/>
  <c r="AM262" i="1"/>
  <c r="AN262" i="1"/>
  <c r="AO262" i="1"/>
  <c r="AP262" i="1"/>
  <c r="AQ262" i="1"/>
  <c r="AR262" i="1"/>
  <c r="Z261" i="1"/>
  <c r="AA261" i="1"/>
  <c r="AB261" i="1"/>
  <c r="AC261" i="1"/>
  <c r="AD261" i="1"/>
  <c r="AE261" i="1"/>
  <c r="AF261" i="1"/>
  <c r="AG261" i="1"/>
  <c r="AH261" i="1"/>
  <c r="AI261" i="1"/>
  <c r="AJ261" i="1"/>
  <c r="AK261" i="1"/>
  <c r="AL261" i="1"/>
  <c r="AM261" i="1"/>
  <c r="AN261" i="1"/>
  <c r="AO261" i="1"/>
  <c r="AP261" i="1"/>
  <c r="AQ261" i="1"/>
  <c r="AR261" i="1"/>
  <c r="Z260" i="1"/>
  <c r="AA260" i="1"/>
  <c r="AB260" i="1"/>
  <c r="AC260" i="1"/>
  <c r="AD260" i="1"/>
  <c r="AE260" i="1"/>
  <c r="AF260" i="1"/>
  <c r="AG260" i="1"/>
  <c r="AH260" i="1"/>
  <c r="AI260" i="1"/>
  <c r="AJ260" i="1"/>
  <c r="AK260" i="1"/>
  <c r="AL260" i="1"/>
  <c r="AM260" i="1"/>
  <c r="AN260" i="1"/>
  <c r="AO260" i="1"/>
  <c r="AP260" i="1"/>
  <c r="AQ260" i="1"/>
  <c r="AR260" i="1"/>
  <c r="Z259" i="1"/>
  <c r="AA259" i="1"/>
  <c r="AB259" i="1"/>
  <c r="AC259" i="1"/>
  <c r="AD259" i="1"/>
  <c r="AE259" i="1"/>
  <c r="AF259" i="1"/>
  <c r="AG259" i="1"/>
  <c r="AH259" i="1"/>
  <c r="AI259" i="1"/>
  <c r="AJ259" i="1"/>
  <c r="AK259" i="1"/>
  <c r="AL259" i="1"/>
  <c r="AM259" i="1"/>
  <c r="AN259" i="1"/>
  <c r="AO259" i="1"/>
  <c r="AP259" i="1"/>
  <c r="AQ259" i="1"/>
  <c r="AR259" i="1"/>
  <c r="Z258" i="1"/>
  <c r="AA258" i="1"/>
  <c r="AB258" i="1"/>
  <c r="AC258" i="1"/>
  <c r="AD258" i="1"/>
  <c r="AE258" i="1"/>
  <c r="AF258" i="1"/>
  <c r="AG258" i="1"/>
  <c r="AH258" i="1"/>
  <c r="AI258" i="1"/>
  <c r="AJ258" i="1"/>
  <c r="AK258" i="1"/>
  <c r="AL258" i="1"/>
  <c r="AM258" i="1"/>
  <c r="AN258" i="1"/>
  <c r="AO258" i="1"/>
  <c r="AP258" i="1"/>
  <c r="AQ258" i="1"/>
  <c r="AR258" i="1"/>
  <c r="Z257" i="1"/>
  <c r="AA257" i="1"/>
  <c r="AB257" i="1"/>
  <c r="AC257" i="1"/>
  <c r="AD257" i="1"/>
  <c r="AE257" i="1"/>
  <c r="AF257" i="1"/>
  <c r="AG257" i="1"/>
  <c r="AH257" i="1"/>
  <c r="AI257" i="1"/>
  <c r="AJ257" i="1"/>
  <c r="AK257" i="1"/>
  <c r="AL257" i="1"/>
  <c r="AM257" i="1"/>
  <c r="AN257" i="1"/>
  <c r="AO257" i="1"/>
  <c r="AP257" i="1"/>
  <c r="AQ257" i="1"/>
  <c r="AR257" i="1"/>
  <c r="Z256" i="1"/>
  <c r="AA256" i="1"/>
  <c r="AB256" i="1"/>
  <c r="AC256" i="1"/>
  <c r="AD256" i="1"/>
  <c r="AE256" i="1"/>
  <c r="AF256" i="1"/>
  <c r="AG256" i="1"/>
  <c r="AH256" i="1"/>
  <c r="AI256" i="1"/>
  <c r="AJ256" i="1"/>
  <c r="AK256" i="1"/>
  <c r="AL256" i="1"/>
  <c r="AM256" i="1"/>
  <c r="AN256" i="1"/>
  <c r="AO256" i="1"/>
  <c r="AP256" i="1"/>
  <c r="AQ256" i="1"/>
  <c r="AR256" i="1"/>
  <c r="Z255" i="1"/>
  <c r="AA255" i="1"/>
  <c r="AB255" i="1"/>
  <c r="AC255" i="1"/>
  <c r="AD255" i="1"/>
  <c r="AE255" i="1"/>
  <c r="AF255" i="1"/>
  <c r="AG255" i="1"/>
  <c r="AH255" i="1"/>
  <c r="AI255" i="1"/>
  <c r="AJ255" i="1"/>
  <c r="AK255" i="1"/>
  <c r="AL255" i="1"/>
  <c r="AM255" i="1"/>
  <c r="AN255" i="1"/>
  <c r="AO255" i="1"/>
  <c r="AP255" i="1"/>
  <c r="AQ255" i="1"/>
  <c r="AR255" i="1"/>
  <c r="Z254" i="1"/>
  <c r="AA254" i="1"/>
  <c r="AB254" i="1"/>
  <c r="AC254" i="1"/>
  <c r="AD254" i="1"/>
  <c r="AE254" i="1"/>
  <c r="AF254" i="1"/>
  <c r="AG254" i="1"/>
  <c r="AH254" i="1"/>
  <c r="AI254" i="1"/>
  <c r="AJ254" i="1"/>
  <c r="AK254" i="1"/>
  <c r="AL254" i="1"/>
  <c r="AM254" i="1"/>
  <c r="AN254" i="1"/>
  <c r="AO254" i="1"/>
  <c r="AP254" i="1"/>
  <c r="AQ254" i="1"/>
  <c r="AR254" i="1"/>
  <c r="Z253" i="1"/>
  <c r="AA253" i="1"/>
  <c r="AB253" i="1"/>
  <c r="AC253" i="1"/>
  <c r="AD253" i="1"/>
  <c r="AE253" i="1"/>
  <c r="AF253" i="1"/>
  <c r="AG253" i="1"/>
  <c r="AH253" i="1"/>
  <c r="AI253" i="1"/>
  <c r="AJ253" i="1"/>
  <c r="AK253" i="1"/>
  <c r="AL253" i="1"/>
  <c r="AM253" i="1"/>
  <c r="AN253" i="1"/>
  <c r="AO253" i="1"/>
  <c r="AP253" i="1"/>
  <c r="AQ253" i="1"/>
  <c r="AR253" i="1"/>
  <c r="Z252" i="1"/>
  <c r="AA252" i="1"/>
  <c r="AB252" i="1"/>
  <c r="AC252" i="1"/>
  <c r="AD252" i="1"/>
  <c r="AE252" i="1"/>
  <c r="AF252" i="1"/>
  <c r="AG252" i="1"/>
  <c r="AH252" i="1"/>
  <c r="AI252" i="1"/>
  <c r="AJ252" i="1"/>
  <c r="AK252" i="1"/>
  <c r="AL252" i="1"/>
  <c r="AM252" i="1"/>
  <c r="AN252" i="1"/>
  <c r="AO252" i="1"/>
  <c r="AP252" i="1"/>
  <c r="AQ252" i="1"/>
  <c r="AR252" i="1"/>
  <c r="Z251" i="1"/>
  <c r="AA251" i="1"/>
  <c r="AB251" i="1"/>
  <c r="AC251" i="1"/>
  <c r="AD251" i="1"/>
  <c r="AE251" i="1"/>
  <c r="AF251" i="1"/>
  <c r="AG251" i="1"/>
  <c r="AH251" i="1"/>
  <c r="AI251" i="1"/>
  <c r="AJ251" i="1"/>
  <c r="AK251" i="1"/>
  <c r="AL251" i="1"/>
  <c r="AM251" i="1"/>
  <c r="AN251" i="1"/>
  <c r="AO251" i="1"/>
  <c r="AP251" i="1"/>
  <c r="AQ251" i="1"/>
  <c r="AR251" i="1"/>
  <c r="Z250" i="1"/>
  <c r="AA250" i="1"/>
  <c r="AB250" i="1"/>
  <c r="AC250" i="1"/>
  <c r="AD250" i="1"/>
  <c r="AE250" i="1"/>
  <c r="AF250" i="1"/>
  <c r="AG250" i="1"/>
  <c r="AH250" i="1"/>
  <c r="AI250" i="1"/>
  <c r="AJ250" i="1"/>
  <c r="AK250" i="1"/>
  <c r="AL250" i="1"/>
  <c r="AM250" i="1"/>
  <c r="AN250" i="1"/>
  <c r="AO250" i="1"/>
  <c r="AP250" i="1"/>
  <c r="AQ250" i="1"/>
  <c r="AR250" i="1"/>
  <c r="AS262" i="1" l="1"/>
  <c r="AS261" i="1"/>
  <c r="AS260" i="1"/>
  <c r="AS259" i="1"/>
  <c r="AS258" i="1"/>
  <c r="AS257" i="1"/>
  <c r="AS256" i="1"/>
  <c r="AS255" i="1"/>
  <c r="AS254" i="1"/>
  <c r="AS253" i="1"/>
  <c r="AS252" i="1"/>
  <c r="AS251" i="1"/>
  <c r="AS250" i="1"/>
  <c r="Z249" i="1" l="1"/>
  <c r="AA249" i="1"/>
  <c r="AB249" i="1"/>
  <c r="AC249" i="1"/>
  <c r="AD249" i="1"/>
  <c r="AE249" i="1"/>
  <c r="AF249" i="1"/>
  <c r="AG249" i="1"/>
  <c r="AH249" i="1"/>
  <c r="AI249" i="1"/>
  <c r="AJ249" i="1"/>
  <c r="AK249" i="1"/>
  <c r="AL249" i="1"/>
  <c r="AM249" i="1"/>
  <c r="AN249" i="1"/>
  <c r="AO249" i="1"/>
  <c r="AP249" i="1"/>
  <c r="AQ249" i="1"/>
  <c r="AR249" i="1"/>
  <c r="AS249" i="1" l="1"/>
  <c r="Z248" i="1"/>
  <c r="AA248" i="1"/>
  <c r="AB248" i="1"/>
  <c r="AC248" i="1"/>
  <c r="AD248" i="1"/>
  <c r="AE248" i="1"/>
  <c r="AF248" i="1"/>
  <c r="AG248" i="1"/>
  <c r="AH248" i="1"/>
  <c r="AI248" i="1"/>
  <c r="AJ248" i="1"/>
  <c r="AK248" i="1"/>
  <c r="AL248" i="1"/>
  <c r="AM248" i="1"/>
  <c r="AN248" i="1"/>
  <c r="AO248" i="1"/>
  <c r="AP248" i="1"/>
  <c r="AQ248" i="1"/>
  <c r="AR248" i="1"/>
  <c r="Z247" i="1"/>
  <c r="AA247" i="1"/>
  <c r="AB247" i="1"/>
  <c r="AC247" i="1"/>
  <c r="AD247" i="1"/>
  <c r="AE247" i="1"/>
  <c r="AF247" i="1"/>
  <c r="AG247" i="1"/>
  <c r="AH247" i="1"/>
  <c r="AI247" i="1"/>
  <c r="AJ247" i="1"/>
  <c r="AK247" i="1"/>
  <c r="AL247" i="1"/>
  <c r="AM247" i="1"/>
  <c r="AN247" i="1"/>
  <c r="AO247" i="1"/>
  <c r="AP247" i="1"/>
  <c r="AQ247" i="1"/>
  <c r="AR247" i="1"/>
  <c r="Z246" i="1"/>
  <c r="AA246" i="1"/>
  <c r="AB246" i="1"/>
  <c r="AC246" i="1"/>
  <c r="AD246" i="1"/>
  <c r="AE246" i="1"/>
  <c r="AF246" i="1"/>
  <c r="AG246" i="1"/>
  <c r="AH246" i="1"/>
  <c r="AI246" i="1"/>
  <c r="AJ246" i="1"/>
  <c r="AK246" i="1"/>
  <c r="AL246" i="1"/>
  <c r="AM246" i="1"/>
  <c r="AN246" i="1"/>
  <c r="AO246" i="1"/>
  <c r="AP246" i="1"/>
  <c r="AQ246" i="1"/>
  <c r="AR246" i="1"/>
  <c r="Z245" i="1"/>
  <c r="AA245" i="1"/>
  <c r="AB245" i="1"/>
  <c r="AC245" i="1"/>
  <c r="AD245" i="1"/>
  <c r="AE245" i="1"/>
  <c r="AF245" i="1"/>
  <c r="AG245" i="1"/>
  <c r="AH245" i="1"/>
  <c r="AI245" i="1"/>
  <c r="AJ245" i="1"/>
  <c r="AK245" i="1"/>
  <c r="AL245" i="1"/>
  <c r="AM245" i="1"/>
  <c r="AN245" i="1"/>
  <c r="AO245" i="1"/>
  <c r="AP245" i="1"/>
  <c r="AQ245" i="1"/>
  <c r="AR245" i="1"/>
  <c r="Z244" i="1"/>
  <c r="AA244" i="1"/>
  <c r="AB244" i="1"/>
  <c r="AC244" i="1"/>
  <c r="AD244" i="1"/>
  <c r="AE244" i="1"/>
  <c r="AF244" i="1"/>
  <c r="AG244" i="1"/>
  <c r="AH244" i="1"/>
  <c r="AI244" i="1"/>
  <c r="AJ244" i="1"/>
  <c r="AK244" i="1"/>
  <c r="AL244" i="1"/>
  <c r="AM244" i="1"/>
  <c r="AN244" i="1"/>
  <c r="AO244" i="1"/>
  <c r="AP244" i="1"/>
  <c r="AQ244" i="1"/>
  <c r="AR244" i="1"/>
  <c r="Z243" i="1"/>
  <c r="AA243" i="1"/>
  <c r="AB243" i="1"/>
  <c r="AC243" i="1"/>
  <c r="AD243" i="1"/>
  <c r="AE243" i="1"/>
  <c r="AF243" i="1"/>
  <c r="AG243" i="1"/>
  <c r="AH243" i="1"/>
  <c r="AI243" i="1"/>
  <c r="AJ243" i="1"/>
  <c r="AK243" i="1"/>
  <c r="AL243" i="1"/>
  <c r="AM243" i="1"/>
  <c r="AN243" i="1"/>
  <c r="AO243" i="1"/>
  <c r="AP243" i="1"/>
  <c r="AQ243" i="1"/>
  <c r="AR243" i="1"/>
  <c r="Z242" i="1"/>
  <c r="AA242" i="1"/>
  <c r="AB242" i="1"/>
  <c r="AC242" i="1"/>
  <c r="AD242" i="1"/>
  <c r="AE242" i="1"/>
  <c r="AF242" i="1"/>
  <c r="AG242" i="1"/>
  <c r="AH242" i="1"/>
  <c r="AI242" i="1"/>
  <c r="AJ242" i="1"/>
  <c r="AK242" i="1"/>
  <c r="AL242" i="1"/>
  <c r="AM242" i="1"/>
  <c r="AN242" i="1"/>
  <c r="AO242" i="1"/>
  <c r="AP242" i="1"/>
  <c r="AQ242" i="1"/>
  <c r="AR242" i="1"/>
  <c r="Z241" i="1"/>
  <c r="AA241" i="1"/>
  <c r="AB241" i="1"/>
  <c r="AC241" i="1"/>
  <c r="AD241" i="1"/>
  <c r="AE241" i="1"/>
  <c r="AF241" i="1"/>
  <c r="AG241" i="1"/>
  <c r="AH241" i="1"/>
  <c r="AI241" i="1"/>
  <c r="AJ241" i="1"/>
  <c r="AK241" i="1"/>
  <c r="AL241" i="1"/>
  <c r="AM241" i="1"/>
  <c r="AN241" i="1"/>
  <c r="AO241" i="1"/>
  <c r="AP241" i="1"/>
  <c r="AQ241" i="1"/>
  <c r="AR241" i="1"/>
  <c r="Z240" i="1"/>
  <c r="AA240" i="1"/>
  <c r="AB240" i="1"/>
  <c r="AC240" i="1"/>
  <c r="AD240" i="1"/>
  <c r="AE240" i="1"/>
  <c r="AF240" i="1"/>
  <c r="AG240" i="1"/>
  <c r="AH240" i="1"/>
  <c r="AI240" i="1"/>
  <c r="AJ240" i="1"/>
  <c r="AK240" i="1"/>
  <c r="AL240" i="1"/>
  <c r="AM240" i="1"/>
  <c r="AN240" i="1"/>
  <c r="AO240" i="1"/>
  <c r="AP240" i="1"/>
  <c r="AQ240" i="1"/>
  <c r="AR240" i="1"/>
  <c r="Z239" i="1"/>
  <c r="AA239" i="1"/>
  <c r="AB239" i="1"/>
  <c r="AC239" i="1"/>
  <c r="AD239" i="1"/>
  <c r="AE239" i="1"/>
  <c r="AF239" i="1"/>
  <c r="AG239" i="1"/>
  <c r="AH239" i="1"/>
  <c r="AI239" i="1"/>
  <c r="AJ239" i="1"/>
  <c r="AK239" i="1"/>
  <c r="AL239" i="1"/>
  <c r="AM239" i="1"/>
  <c r="AN239" i="1"/>
  <c r="AO239" i="1"/>
  <c r="AP239" i="1"/>
  <c r="AQ239" i="1"/>
  <c r="AR239" i="1"/>
  <c r="Z238" i="1"/>
  <c r="AA238" i="1"/>
  <c r="AB238" i="1"/>
  <c r="AC238" i="1"/>
  <c r="AD238" i="1"/>
  <c r="AE238" i="1"/>
  <c r="AF238" i="1"/>
  <c r="AG238" i="1"/>
  <c r="AH238" i="1"/>
  <c r="AI238" i="1"/>
  <c r="AJ238" i="1"/>
  <c r="AK238" i="1"/>
  <c r="AL238" i="1"/>
  <c r="AM238" i="1"/>
  <c r="AN238" i="1"/>
  <c r="AO238" i="1"/>
  <c r="AP238" i="1"/>
  <c r="AQ238" i="1"/>
  <c r="AR238" i="1"/>
  <c r="Z237" i="1"/>
  <c r="AA237" i="1"/>
  <c r="AB237" i="1"/>
  <c r="AC237" i="1"/>
  <c r="AD237" i="1"/>
  <c r="AE237" i="1"/>
  <c r="AF237" i="1"/>
  <c r="AG237" i="1"/>
  <c r="AH237" i="1"/>
  <c r="AI237" i="1"/>
  <c r="AJ237" i="1"/>
  <c r="AK237" i="1"/>
  <c r="AL237" i="1"/>
  <c r="AM237" i="1"/>
  <c r="AN237" i="1"/>
  <c r="AO237" i="1"/>
  <c r="AP237" i="1"/>
  <c r="AQ237" i="1"/>
  <c r="AR237" i="1"/>
  <c r="Z236" i="1"/>
  <c r="AA236" i="1"/>
  <c r="AB236" i="1"/>
  <c r="AC236" i="1"/>
  <c r="AD236" i="1"/>
  <c r="AE236" i="1"/>
  <c r="AF236" i="1"/>
  <c r="AG236" i="1"/>
  <c r="AH236" i="1"/>
  <c r="AI236" i="1"/>
  <c r="AJ236" i="1"/>
  <c r="AK236" i="1"/>
  <c r="AL236" i="1"/>
  <c r="AM236" i="1"/>
  <c r="AN236" i="1"/>
  <c r="AO236" i="1"/>
  <c r="AP236" i="1"/>
  <c r="AQ236" i="1"/>
  <c r="AR236" i="1"/>
  <c r="Z235" i="1"/>
  <c r="AA235" i="1"/>
  <c r="AB235" i="1"/>
  <c r="AC235" i="1"/>
  <c r="AD235" i="1"/>
  <c r="AE235" i="1"/>
  <c r="AF235" i="1"/>
  <c r="AG235" i="1"/>
  <c r="AH235" i="1"/>
  <c r="AI235" i="1"/>
  <c r="AJ235" i="1"/>
  <c r="AK235" i="1"/>
  <c r="AL235" i="1"/>
  <c r="AM235" i="1"/>
  <c r="AN235" i="1"/>
  <c r="AO235" i="1"/>
  <c r="AP235" i="1"/>
  <c r="AQ235" i="1"/>
  <c r="AR235" i="1"/>
  <c r="Z234" i="1"/>
  <c r="AA234" i="1"/>
  <c r="AB234" i="1"/>
  <c r="AC234" i="1"/>
  <c r="AD234" i="1"/>
  <c r="AE234" i="1"/>
  <c r="AF234" i="1"/>
  <c r="AG234" i="1"/>
  <c r="AH234" i="1"/>
  <c r="AI234" i="1"/>
  <c r="AJ234" i="1"/>
  <c r="AK234" i="1"/>
  <c r="AL234" i="1"/>
  <c r="AM234" i="1"/>
  <c r="AN234" i="1"/>
  <c r="AO234" i="1"/>
  <c r="AP234" i="1"/>
  <c r="AQ234" i="1"/>
  <c r="AR234" i="1"/>
  <c r="Z233" i="1"/>
  <c r="AA233" i="1"/>
  <c r="AB233" i="1"/>
  <c r="AC233" i="1"/>
  <c r="AD233" i="1"/>
  <c r="AE233" i="1"/>
  <c r="AF233" i="1"/>
  <c r="AG233" i="1"/>
  <c r="AH233" i="1"/>
  <c r="AI233" i="1"/>
  <c r="AJ233" i="1"/>
  <c r="AK233" i="1"/>
  <c r="AL233" i="1"/>
  <c r="AM233" i="1"/>
  <c r="AN233" i="1"/>
  <c r="AO233" i="1"/>
  <c r="AP233" i="1"/>
  <c r="AQ233" i="1"/>
  <c r="AR233" i="1"/>
  <c r="Z232" i="1"/>
  <c r="AA232" i="1"/>
  <c r="AB232" i="1"/>
  <c r="AC232" i="1"/>
  <c r="AD232" i="1"/>
  <c r="AE232" i="1"/>
  <c r="AF232" i="1"/>
  <c r="AG232" i="1"/>
  <c r="AH232" i="1"/>
  <c r="AI232" i="1"/>
  <c r="AJ232" i="1"/>
  <c r="AK232" i="1"/>
  <c r="AL232" i="1"/>
  <c r="AM232" i="1"/>
  <c r="AN232" i="1"/>
  <c r="AO232" i="1"/>
  <c r="AP232" i="1"/>
  <c r="AQ232" i="1"/>
  <c r="AR232" i="1"/>
  <c r="AS248" i="1" l="1"/>
  <c r="AS247" i="1"/>
  <c r="AS246" i="1"/>
  <c r="AS245" i="1"/>
  <c r="AS244" i="1"/>
  <c r="AS243" i="1"/>
  <c r="AS242" i="1"/>
  <c r="AS241" i="1"/>
  <c r="AS240" i="1"/>
  <c r="AS239" i="1"/>
  <c r="AS238" i="1"/>
  <c r="AS232" i="1"/>
  <c r="AS237" i="1"/>
  <c r="AS236" i="1"/>
  <c r="AS235" i="1"/>
  <c r="AS234" i="1"/>
  <c r="AS233" i="1"/>
  <c r="Z231" i="1"/>
  <c r="AA231" i="1"/>
  <c r="AB231" i="1"/>
  <c r="AC231" i="1"/>
  <c r="AD231" i="1"/>
  <c r="AE231" i="1"/>
  <c r="AF231" i="1"/>
  <c r="AG231" i="1"/>
  <c r="AH231" i="1"/>
  <c r="AI231" i="1"/>
  <c r="AJ231" i="1"/>
  <c r="AK231" i="1"/>
  <c r="AL231" i="1"/>
  <c r="AM231" i="1"/>
  <c r="AN231" i="1"/>
  <c r="AO231" i="1"/>
  <c r="AP231" i="1"/>
  <c r="AQ231" i="1"/>
  <c r="AR231" i="1"/>
  <c r="Z230" i="1"/>
  <c r="AA230" i="1"/>
  <c r="AB230" i="1"/>
  <c r="AC230" i="1"/>
  <c r="AD230" i="1"/>
  <c r="AE230" i="1"/>
  <c r="AF230" i="1"/>
  <c r="AG230" i="1"/>
  <c r="AH230" i="1"/>
  <c r="AI230" i="1"/>
  <c r="AJ230" i="1"/>
  <c r="AK230" i="1"/>
  <c r="AL230" i="1"/>
  <c r="AM230" i="1"/>
  <c r="AN230" i="1"/>
  <c r="AO230" i="1"/>
  <c r="AP230" i="1"/>
  <c r="AQ230" i="1"/>
  <c r="AR230" i="1"/>
  <c r="Z229" i="1"/>
  <c r="AA229" i="1"/>
  <c r="AB229" i="1"/>
  <c r="AC229" i="1"/>
  <c r="AD229" i="1"/>
  <c r="AE229" i="1"/>
  <c r="AF229" i="1"/>
  <c r="AG229" i="1"/>
  <c r="AH229" i="1"/>
  <c r="AI229" i="1"/>
  <c r="AJ229" i="1"/>
  <c r="AK229" i="1"/>
  <c r="AL229" i="1"/>
  <c r="AM229" i="1"/>
  <c r="AN229" i="1"/>
  <c r="AO229" i="1"/>
  <c r="AP229" i="1"/>
  <c r="AQ229" i="1"/>
  <c r="AR229" i="1"/>
  <c r="Z228" i="1"/>
  <c r="AA228" i="1"/>
  <c r="AB228" i="1"/>
  <c r="AC228" i="1"/>
  <c r="AD228" i="1"/>
  <c r="AE228" i="1"/>
  <c r="AF228" i="1"/>
  <c r="AG228" i="1"/>
  <c r="AH228" i="1"/>
  <c r="AI228" i="1"/>
  <c r="AJ228" i="1"/>
  <c r="AK228" i="1"/>
  <c r="AL228" i="1"/>
  <c r="AM228" i="1"/>
  <c r="AN228" i="1"/>
  <c r="AO228" i="1"/>
  <c r="AP228" i="1"/>
  <c r="AQ228" i="1"/>
  <c r="AR228" i="1"/>
  <c r="Z227" i="1"/>
  <c r="AA227" i="1"/>
  <c r="AB227" i="1"/>
  <c r="AC227" i="1"/>
  <c r="AD227" i="1"/>
  <c r="AE227" i="1"/>
  <c r="AF227" i="1"/>
  <c r="AG227" i="1"/>
  <c r="AH227" i="1"/>
  <c r="AI227" i="1"/>
  <c r="AJ227" i="1"/>
  <c r="AK227" i="1"/>
  <c r="AL227" i="1"/>
  <c r="AM227" i="1"/>
  <c r="AN227" i="1"/>
  <c r="AO227" i="1"/>
  <c r="AP227" i="1"/>
  <c r="AQ227" i="1"/>
  <c r="AR227" i="1"/>
  <c r="AS231" i="1" l="1"/>
  <c r="AS230" i="1"/>
  <c r="AS229" i="1"/>
  <c r="AS228" i="1"/>
  <c r="AS227" i="1"/>
  <c r="Z226" i="1" l="1"/>
  <c r="AA226" i="1"/>
  <c r="AB226" i="1"/>
  <c r="AC226" i="1"/>
  <c r="AD226" i="1"/>
  <c r="AE226" i="1"/>
  <c r="AF226" i="1"/>
  <c r="AG226" i="1"/>
  <c r="AH226" i="1"/>
  <c r="AI226" i="1"/>
  <c r="AJ226" i="1"/>
  <c r="AK226" i="1"/>
  <c r="AL226" i="1"/>
  <c r="AM226" i="1"/>
  <c r="AN226" i="1"/>
  <c r="AO226" i="1"/>
  <c r="AP226" i="1"/>
  <c r="AQ226" i="1"/>
  <c r="AR226" i="1"/>
  <c r="Z225" i="1"/>
  <c r="AA225" i="1"/>
  <c r="AB225" i="1"/>
  <c r="AC225" i="1"/>
  <c r="AD225" i="1"/>
  <c r="AE225" i="1"/>
  <c r="AF225" i="1"/>
  <c r="AG225" i="1"/>
  <c r="AH225" i="1"/>
  <c r="AI225" i="1"/>
  <c r="AJ225" i="1"/>
  <c r="AK225" i="1"/>
  <c r="AL225" i="1"/>
  <c r="AM225" i="1"/>
  <c r="AN225" i="1"/>
  <c r="AO225" i="1"/>
  <c r="AP225" i="1"/>
  <c r="AQ225" i="1"/>
  <c r="AR225" i="1"/>
  <c r="Z224" i="1"/>
  <c r="AA224" i="1"/>
  <c r="AB224" i="1"/>
  <c r="AC224" i="1"/>
  <c r="AD224" i="1"/>
  <c r="AE224" i="1"/>
  <c r="AF224" i="1"/>
  <c r="AG224" i="1"/>
  <c r="AH224" i="1"/>
  <c r="AI224" i="1"/>
  <c r="AJ224" i="1"/>
  <c r="AK224" i="1"/>
  <c r="AL224" i="1"/>
  <c r="AM224" i="1"/>
  <c r="AN224" i="1"/>
  <c r="AO224" i="1"/>
  <c r="AP224" i="1"/>
  <c r="AQ224" i="1"/>
  <c r="AR224" i="1"/>
  <c r="Z223" i="1"/>
  <c r="AA223" i="1"/>
  <c r="AB223" i="1"/>
  <c r="AC223" i="1"/>
  <c r="AD223" i="1"/>
  <c r="AE223" i="1"/>
  <c r="AF223" i="1"/>
  <c r="AG223" i="1"/>
  <c r="AH223" i="1"/>
  <c r="AI223" i="1"/>
  <c r="AJ223" i="1"/>
  <c r="AK223" i="1"/>
  <c r="AL223" i="1"/>
  <c r="AM223" i="1"/>
  <c r="AN223" i="1"/>
  <c r="AO223" i="1"/>
  <c r="AP223" i="1"/>
  <c r="AQ223" i="1"/>
  <c r="AR223" i="1"/>
  <c r="Z222" i="1"/>
  <c r="AA222" i="1"/>
  <c r="AB222" i="1"/>
  <c r="AC222" i="1"/>
  <c r="AD222" i="1"/>
  <c r="AE222" i="1"/>
  <c r="AF222" i="1"/>
  <c r="AG222" i="1"/>
  <c r="AH222" i="1"/>
  <c r="AI222" i="1"/>
  <c r="AJ222" i="1"/>
  <c r="AK222" i="1"/>
  <c r="AL222" i="1"/>
  <c r="AM222" i="1"/>
  <c r="AN222" i="1"/>
  <c r="AO222" i="1"/>
  <c r="AP222" i="1"/>
  <c r="AQ222" i="1"/>
  <c r="AR222" i="1"/>
  <c r="Z221" i="1"/>
  <c r="AA221" i="1"/>
  <c r="AB221" i="1"/>
  <c r="AC221" i="1"/>
  <c r="AD221" i="1"/>
  <c r="AE221" i="1"/>
  <c r="AF221" i="1"/>
  <c r="AG221" i="1"/>
  <c r="AH221" i="1"/>
  <c r="AI221" i="1"/>
  <c r="AJ221" i="1"/>
  <c r="AK221" i="1"/>
  <c r="AL221" i="1"/>
  <c r="AM221" i="1"/>
  <c r="AN221" i="1"/>
  <c r="AO221" i="1"/>
  <c r="AP221" i="1"/>
  <c r="AQ221" i="1"/>
  <c r="AR221" i="1"/>
  <c r="Z220" i="1"/>
  <c r="AA220" i="1"/>
  <c r="AB220" i="1"/>
  <c r="AC220" i="1"/>
  <c r="AD220" i="1"/>
  <c r="AE220" i="1"/>
  <c r="AF220" i="1"/>
  <c r="AG220" i="1"/>
  <c r="AH220" i="1"/>
  <c r="AI220" i="1"/>
  <c r="AJ220" i="1"/>
  <c r="AK220" i="1"/>
  <c r="AL220" i="1"/>
  <c r="AM220" i="1"/>
  <c r="AN220" i="1"/>
  <c r="AO220" i="1"/>
  <c r="AP220" i="1"/>
  <c r="AQ220" i="1"/>
  <c r="AR220" i="1"/>
  <c r="Z219" i="1"/>
  <c r="AA219" i="1"/>
  <c r="AB219" i="1"/>
  <c r="AC219" i="1"/>
  <c r="AD219" i="1"/>
  <c r="AE219" i="1"/>
  <c r="AF219" i="1"/>
  <c r="AG219" i="1"/>
  <c r="AH219" i="1"/>
  <c r="AI219" i="1"/>
  <c r="AJ219" i="1"/>
  <c r="AK219" i="1"/>
  <c r="AL219" i="1"/>
  <c r="AM219" i="1"/>
  <c r="AN219" i="1"/>
  <c r="AO219" i="1"/>
  <c r="AP219" i="1"/>
  <c r="AQ219" i="1"/>
  <c r="AR219" i="1"/>
  <c r="Z218" i="1"/>
  <c r="AA218" i="1"/>
  <c r="AB218" i="1"/>
  <c r="AC218" i="1"/>
  <c r="AD218" i="1"/>
  <c r="AE218" i="1"/>
  <c r="AF218" i="1"/>
  <c r="AG218" i="1"/>
  <c r="AH218" i="1"/>
  <c r="AI218" i="1"/>
  <c r="AJ218" i="1"/>
  <c r="AK218" i="1"/>
  <c r="AL218" i="1"/>
  <c r="AM218" i="1"/>
  <c r="AN218" i="1"/>
  <c r="AO218" i="1"/>
  <c r="AP218" i="1"/>
  <c r="AQ218" i="1"/>
  <c r="AR218" i="1"/>
  <c r="AS226" i="1" l="1"/>
  <c r="AS225" i="1"/>
  <c r="AS224" i="1"/>
  <c r="AS223" i="1"/>
  <c r="AS222" i="1"/>
  <c r="AS221" i="1"/>
  <c r="AS220" i="1"/>
  <c r="AS219" i="1"/>
  <c r="AS218" i="1"/>
  <c r="Z217" i="1" l="1"/>
  <c r="AA217" i="1"/>
  <c r="AB217" i="1"/>
  <c r="AC217" i="1"/>
  <c r="AD217" i="1"/>
  <c r="AE217" i="1"/>
  <c r="AF217" i="1"/>
  <c r="AG217" i="1"/>
  <c r="AH217" i="1"/>
  <c r="AI217" i="1"/>
  <c r="AJ217" i="1"/>
  <c r="AK217" i="1"/>
  <c r="AL217" i="1"/>
  <c r="AM217" i="1"/>
  <c r="AN217" i="1"/>
  <c r="AO217" i="1"/>
  <c r="AP217" i="1"/>
  <c r="AQ217" i="1"/>
  <c r="AR217" i="1"/>
  <c r="Z216" i="1"/>
  <c r="AA216" i="1"/>
  <c r="AB216" i="1"/>
  <c r="AC216" i="1"/>
  <c r="AD216" i="1"/>
  <c r="AE216" i="1"/>
  <c r="AF216" i="1"/>
  <c r="AG216" i="1"/>
  <c r="AH216" i="1"/>
  <c r="AI216" i="1"/>
  <c r="AJ216" i="1"/>
  <c r="AK216" i="1"/>
  <c r="AL216" i="1"/>
  <c r="AM216" i="1"/>
  <c r="AN216" i="1"/>
  <c r="AO216" i="1"/>
  <c r="AP216" i="1"/>
  <c r="AQ216" i="1"/>
  <c r="AR216" i="1"/>
  <c r="Z215" i="1"/>
  <c r="AA215" i="1"/>
  <c r="AB215" i="1"/>
  <c r="AC215" i="1"/>
  <c r="AD215" i="1"/>
  <c r="AE215" i="1"/>
  <c r="AF215" i="1"/>
  <c r="AG215" i="1"/>
  <c r="AH215" i="1"/>
  <c r="AI215" i="1"/>
  <c r="AJ215" i="1"/>
  <c r="AK215" i="1"/>
  <c r="AL215" i="1"/>
  <c r="AM215" i="1"/>
  <c r="AN215" i="1"/>
  <c r="AO215" i="1"/>
  <c r="AP215" i="1"/>
  <c r="AQ215" i="1"/>
  <c r="AR215" i="1"/>
  <c r="Z214" i="1"/>
  <c r="AA214" i="1"/>
  <c r="AB214" i="1"/>
  <c r="AC214" i="1"/>
  <c r="AD214" i="1"/>
  <c r="AE214" i="1"/>
  <c r="AF214" i="1"/>
  <c r="AG214" i="1"/>
  <c r="AH214" i="1"/>
  <c r="AI214" i="1"/>
  <c r="AJ214" i="1"/>
  <c r="AK214" i="1"/>
  <c r="AL214" i="1"/>
  <c r="AM214" i="1"/>
  <c r="AN214" i="1"/>
  <c r="AO214" i="1"/>
  <c r="AP214" i="1"/>
  <c r="AQ214" i="1"/>
  <c r="AR214" i="1"/>
  <c r="Z213" i="1"/>
  <c r="AA213" i="1"/>
  <c r="AB213" i="1"/>
  <c r="AC213" i="1"/>
  <c r="AD213" i="1"/>
  <c r="AE213" i="1"/>
  <c r="AF213" i="1"/>
  <c r="AG213" i="1"/>
  <c r="AH213" i="1"/>
  <c r="AI213" i="1"/>
  <c r="AJ213" i="1"/>
  <c r="AK213" i="1"/>
  <c r="AL213" i="1"/>
  <c r="AM213" i="1"/>
  <c r="AN213" i="1"/>
  <c r="AO213" i="1"/>
  <c r="AP213" i="1"/>
  <c r="AQ213" i="1"/>
  <c r="AR213" i="1"/>
  <c r="Z212" i="1"/>
  <c r="AA212" i="1"/>
  <c r="AB212" i="1"/>
  <c r="AC212" i="1"/>
  <c r="AD212" i="1"/>
  <c r="AE212" i="1"/>
  <c r="AF212" i="1"/>
  <c r="AG212" i="1"/>
  <c r="AH212" i="1"/>
  <c r="AI212" i="1"/>
  <c r="AJ212" i="1"/>
  <c r="AK212" i="1"/>
  <c r="AL212" i="1"/>
  <c r="AM212" i="1"/>
  <c r="AN212" i="1"/>
  <c r="AO212" i="1"/>
  <c r="AP212" i="1"/>
  <c r="AQ212" i="1"/>
  <c r="AR212" i="1"/>
  <c r="Z211" i="1"/>
  <c r="AA211" i="1"/>
  <c r="AB211" i="1"/>
  <c r="AC211" i="1"/>
  <c r="AD211" i="1"/>
  <c r="AE211" i="1"/>
  <c r="AF211" i="1"/>
  <c r="AG211" i="1"/>
  <c r="AH211" i="1"/>
  <c r="AI211" i="1"/>
  <c r="AJ211" i="1"/>
  <c r="AK211" i="1"/>
  <c r="AL211" i="1"/>
  <c r="AM211" i="1"/>
  <c r="AN211" i="1"/>
  <c r="AO211" i="1"/>
  <c r="AP211" i="1"/>
  <c r="AQ211" i="1"/>
  <c r="AR211" i="1"/>
  <c r="Z210" i="1"/>
  <c r="AA210" i="1"/>
  <c r="AB210" i="1"/>
  <c r="AC210" i="1"/>
  <c r="AD210" i="1"/>
  <c r="AE210" i="1"/>
  <c r="AF210" i="1"/>
  <c r="AG210" i="1"/>
  <c r="AH210" i="1"/>
  <c r="AI210" i="1"/>
  <c r="AJ210" i="1"/>
  <c r="AK210" i="1"/>
  <c r="AL210" i="1"/>
  <c r="AM210" i="1"/>
  <c r="AN210" i="1"/>
  <c r="AO210" i="1"/>
  <c r="AP210" i="1"/>
  <c r="AQ210" i="1"/>
  <c r="AR210" i="1"/>
  <c r="Z209" i="1"/>
  <c r="AA209" i="1"/>
  <c r="AB209" i="1"/>
  <c r="AC209" i="1"/>
  <c r="AD209" i="1"/>
  <c r="AE209" i="1"/>
  <c r="AF209" i="1"/>
  <c r="AG209" i="1"/>
  <c r="AH209" i="1"/>
  <c r="AI209" i="1"/>
  <c r="AJ209" i="1"/>
  <c r="AK209" i="1"/>
  <c r="AL209" i="1"/>
  <c r="AM209" i="1"/>
  <c r="AN209" i="1"/>
  <c r="AO209" i="1"/>
  <c r="AP209" i="1"/>
  <c r="AQ209" i="1"/>
  <c r="AR209" i="1"/>
  <c r="Z208" i="1"/>
  <c r="AA208" i="1"/>
  <c r="AB208" i="1"/>
  <c r="AC208" i="1"/>
  <c r="AD208" i="1"/>
  <c r="AE208" i="1"/>
  <c r="AF208" i="1"/>
  <c r="AG208" i="1"/>
  <c r="AH208" i="1"/>
  <c r="AI208" i="1"/>
  <c r="AJ208" i="1"/>
  <c r="AK208" i="1"/>
  <c r="AL208" i="1"/>
  <c r="AM208" i="1"/>
  <c r="AN208" i="1"/>
  <c r="AO208" i="1"/>
  <c r="AP208" i="1"/>
  <c r="AQ208" i="1"/>
  <c r="AR208" i="1"/>
  <c r="Z207" i="1"/>
  <c r="AA207" i="1"/>
  <c r="AB207" i="1"/>
  <c r="AC207" i="1"/>
  <c r="AD207" i="1"/>
  <c r="AE207" i="1"/>
  <c r="AF207" i="1"/>
  <c r="AG207" i="1"/>
  <c r="AH207" i="1"/>
  <c r="AI207" i="1"/>
  <c r="AJ207" i="1"/>
  <c r="AK207" i="1"/>
  <c r="AL207" i="1"/>
  <c r="AM207" i="1"/>
  <c r="AN207" i="1"/>
  <c r="AO207" i="1"/>
  <c r="AP207" i="1"/>
  <c r="AQ207" i="1"/>
  <c r="AR207" i="1"/>
  <c r="Z206" i="1"/>
  <c r="AA206" i="1"/>
  <c r="AB206" i="1"/>
  <c r="AC206" i="1"/>
  <c r="AD206" i="1"/>
  <c r="AE206" i="1"/>
  <c r="AF206" i="1"/>
  <c r="AG206" i="1"/>
  <c r="AH206" i="1"/>
  <c r="AI206" i="1"/>
  <c r="AJ206" i="1"/>
  <c r="AK206" i="1"/>
  <c r="AL206" i="1"/>
  <c r="AM206" i="1"/>
  <c r="AN206" i="1"/>
  <c r="AO206" i="1"/>
  <c r="AP206" i="1"/>
  <c r="AQ206" i="1"/>
  <c r="AR206" i="1"/>
  <c r="Z205" i="1"/>
  <c r="AA205" i="1"/>
  <c r="AB205" i="1"/>
  <c r="AC205" i="1"/>
  <c r="AD205" i="1"/>
  <c r="AE205" i="1"/>
  <c r="AF205" i="1"/>
  <c r="AG205" i="1"/>
  <c r="AH205" i="1"/>
  <c r="AI205" i="1"/>
  <c r="AJ205" i="1"/>
  <c r="AK205" i="1"/>
  <c r="AL205" i="1"/>
  <c r="AM205" i="1"/>
  <c r="AN205" i="1"/>
  <c r="AO205" i="1"/>
  <c r="AP205" i="1"/>
  <c r="AQ205" i="1"/>
  <c r="AR205" i="1"/>
  <c r="Z204" i="1"/>
  <c r="AA204" i="1"/>
  <c r="AB204" i="1"/>
  <c r="AC204" i="1"/>
  <c r="AD204" i="1"/>
  <c r="AE204" i="1"/>
  <c r="AF204" i="1"/>
  <c r="AG204" i="1"/>
  <c r="AH204" i="1"/>
  <c r="AI204" i="1"/>
  <c r="AJ204" i="1"/>
  <c r="AK204" i="1"/>
  <c r="AL204" i="1"/>
  <c r="AM204" i="1"/>
  <c r="AN204" i="1"/>
  <c r="AO204" i="1"/>
  <c r="AP204" i="1"/>
  <c r="AQ204" i="1"/>
  <c r="AR204" i="1"/>
  <c r="Z203" i="1"/>
  <c r="AA203" i="1"/>
  <c r="AB203" i="1"/>
  <c r="AC203" i="1"/>
  <c r="AD203" i="1"/>
  <c r="AE203" i="1"/>
  <c r="AF203" i="1"/>
  <c r="AG203" i="1"/>
  <c r="AH203" i="1"/>
  <c r="AI203" i="1"/>
  <c r="AJ203" i="1"/>
  <c r="AK203" i="1"/>
  <c r="AL203" i="1"/>
  <c r="AM203" i="1"/>
  <c r="AN203" i="1"/>
  <c r="AO203" i="1"/>
  <c r="AP203" i="1"/>
  <c r="AQ203" i="1"/>
  <c r="AR203" i="1"/>
  <c r="AS217" i="1" l="1"/>
  <c r="AS216" i="1"/>
  <c r="AS215" i="1"/>
  <c r="AS214" i="1"/>
  <c r="AS213" i="1"/>
  <c r="AS212" i="1"/>
  <c r="AS211" i="1"/>
  <c r="AS210" i="1"/>
  <c r="AS209" i="1"/>
  <c r="AS208" i="1"/>
  <c r="AS207" i="1"/>
  <c r="AS206" i="1"/>
  <c r="AS205" i="1"/>
  <c r="AS204" i="1"/>
  <c r="AS203" i="1"/>
  <c r="Z202" i="1"/>
  <c r="AA202" i="1"/>
  <c r="AB202" i="1"/>
  <c r="AC202" i="1"/>
  <c r="AD202" i="1"/>
  <c r="AE202" i="1"/>
  <c r="AF202" i="1"/>
  <c r="AG202" i="1"/>
  <c r="AH202" i="1"/>
  <c r="AI202" i="1"/>
  <c r="AJ202" i="1"/>
  <c r="AK202" i="1"/>
  <c r="AL202" i="1"/>
  <c r="AM202" i="1"/>
  <c r="AN202" i="1"/>
  <c r="AO202" i="1"/>
  <c r="AP202" i="1"/>
  <c r="AQ202" i="1"/>
  <c r="AR202" i="1"/>
  <c r="Z201" i="1"/>
  <c r="AA201" i="1"/>
  <c r="AB201" i="1"/>
  <c r="AC201" i="1"/>
  <c r="AD201" i="1"/>
  <c r="AE201" i="1"/>
  <c r="AF201" i="1"/>
  <c r="AG201" i="1"/>
  <c r="AH201" i="1"/>
  <c r="AI201" i="1"/>
  <c r="AJ201" i="1"/>
  <c r="AK201" i="1"/>
  <c r="AL201" i="1"/>
  <c r="AM201" i="1"/>
  <c r="AN201" i="1"/>
  <c r="AO201" i="1"/>
  <c r="AP201" i="1"/>
  <c r="AQ201" i="1"/>
  <c r="AR201" i="1"/>
  <c r="Z200" i="1"/>
  <c r="AA200" i="1"/>
  <c r="AB200" i="1"/>
  <c r="AC200" i="1"/>
  <c r="AD200" i="1"/>
  <c r="AE200" i="1"/>
  <c r="AF200" i="1"/>
  <c r="AG200" i="1"/>
  <c r="AH200" i="1"/>
  <c r="AI200" i="1"/>
  <c r="AJ200" i="1"/>
  <c r="AK200" i="1"/>
  <c r="AL200" i="1"/>
  <c r="AM200" i="1"/>
  <c r="AN200" i="1"/>
  <c r="AO200" i="1"/>
  <c r="AP200" i="1"/>
  <c r="AQ200" i="1"/>
  <c r="AR200" i="1"/>
  <c r="Z199" i="1"/>
  <c r="AA199" i="1"/>
  <c r="AB199" i="1"/>
  <c r="AC199" i="1"/>
  <c r="AD199" i="1"/>
  <c r="AE199" i="1"/>
  <c r="AF199" i="1"/>
  <c r="AG199" i="1"/>
  <c r="AH199" i="1"/>
  <c r="AI199" i="1"/>
  <c r="AJ199" i="1"/>
  <c r="AK199" i="1"/>
  <c r="AL199" i="1"/>
  <c r="AM199" i="1"/>
  <c r="AN199" i="1"/>
  <c r="AO199" i="1"/>
  <c r="AP199" i="1"/>
  <c r="AQ199" i="1"/>
  <c r="AR199" i="1"/>
  <c r="Z198" i="1"/>
  <c r="AA198" i="1"/>
  <c r="AB198" i="1"/>
  <c r="AC198" i="1"/>
  <c r="AD198" i="1"/>
  <c r="AE198" i="1"/>
  <c r="AF198" i="1"/>
  <c r="AG198" i="1"/>
  <c r="AH198" i="1"/>
  <c r="AI198" i="1"/>
  <c r="AJ198" i="1"/>
  <c r="AK198" i="1"/>
  <c r="AL198" i="1"/>
  <c r="AM198" i="1"/>
  <c r="AN198" i="1"/>
  <c r="AO198" i="1"/>
  <c r="AP198" i="1"/>
  <c r="AQ198" i="1"/>
  <c r="AR198" i="1"/>
  <c r="AS202" i="1" l="1"/>
  <c r="AS201" i="1"/>
  <c r="AS200" i="1"/>
  <c r="AS199" i="1"/>
  <c r="AS198" i="1"/>
  <c r="Z197" i="1" l="1"/>
  <c r="AA197" i="1"/>
  <c r="AB197" i="1"/>
  <c r="AC197" i="1"/>
  <c r="AD197" i="1"/>
  <c r="AE197" i="1"/>
  <c r="AF197" i="1"/>
  <c r="AG197" i="1"/>
  <c r="AH197" i="1"/>
  <c r="AI197" i="1"/>
  <c r="AJ197" i="1"/>
  <c r="AK197" i="1"/>
  <c r="AL197" i="1"/>
  <c r="AM197" i="1"/>
  <c r="AN197" i="1"/>
  <c r="AO197" i="1"/>
  <c r="AP197" i="1"/>
  <c r="AQ197" i="1"/>
  <c r="AR197" i="1"/>
  <c r="Z196" i="1"/>
  <c r="AA196" i="1"/>
  <c r="AB196" i="1"/>
  <c r="AC196" i="1"/>
  <c r="AD196" i="1"/>
  <c r="AE196" i="1"/>
  <c r="AF196" i="1"/>
  <c r="AG196" i="1"/>
  <c r="AH196" i="1"/>
  <c r="AI196" i="1"/>
  <c r="AJ196" i="1"/>
  <c r="AK196" i="1"/>
  <c r="AL196" i="1"/>
  <c r="AM196" i="1"/>
  <c r="AN196" i="1"/>
  <c r="AO196" i="1"/>
  <c r="AP196" i="1"/>
  <c r="AQ196" i="1"/>
  <c r="AR196" i="1"/>
  <c r="Z195" i="1"/>
  <c r="AA195" i="1"/>
  <c r="AB195" i="1"/>
  <c r="AC195" i="1"/>
  <c r="AD195" i="1"/>
  <c r="AE195" i="1"/>
  <c r="AF195" i="1"/>
  <c r="AG195" i="1"/>
  <c r="AH195" i="1"/>
  <c r="AI195" i="1"/>
  <c r="AJ195" i="1"/>
  <c r="AK195" i="1"/>
  <c r="AL195" i="1"/>
  <c r="AM195" i="1"/>
  <c r="AN195" i="1"/>
  <c r="AO195" i="1"/>
  <c r="AP195" i="1"/>
  <c r="AQ195" i="1"/>
  <c r="AR195" i="1"/>
  <c r="Z194" i="1"/>
  <c r="AA194" i="1"/>
  <c r="AB194" i="1"/>
  <c r="AC194" i="1"/>
  <c r="AD194" i="1"/>
  <c r="AE194" i="1"/>
  <c r="AF194" i="1"/>
  <c r="AG194" i="1"/>
  <c r="AH194" i="1"/>
  <c r="AI194" i="1"/>
  <c r="AJ194" i="1"/>
  <c r="AK194" i="1"/>
  <c r="AL194" i="1"/>
  <c r="AM194" i="1"/>
  <c r="AN194" i="1"/>
  <c r="AO194" i="1"/>
  <c r="AP194" i="1"/>
  <c r="AQ194" i="1"/>
  <c r="AR194" i="1"/>
  <c r="Z193" i="1"/>
  <c r="AA193" i="1"/>
  <c r="AB193" i="1"/>
  <c r="AC193" i="1"/>
  <c r="AD193" i="1"/>
  <c r="AE193" i="1"/>
  <c r="AF193" i="1"/>
  <c r="AG193" i="1"/>
  <c r="AH193" i="1"/>
  <c r="AI193" i="1"/>
  <c r="AJ193" i="1"/>
  <c r="AK193" i="1"/>
  <c r="AL193" i="1"/>
  <c r="AM193" i="1"/>
  <c r="AN193" i="1"/>
  <c r="AO193" i="1"/>
  <c r="AP193" i="1"/>
  <c r="AQ193" i="1"/>
  <c r="AR193" i="1"/>
  <c r="Z192" i="1"/>
  <c r="AA192" i="1"/>
  <c r="AB192" i="1"/>
  <c r="AC192" i="1"/>
  <c r="AD192" i="1"/>
  <c r="AE192" i="1"/>
  <c r="AF192" i="1"/>
  <c r="AG192" i="1"/>
  <c r="AH192" i="1"/>
  <c r="AI192" i="1"/>
  <c r="AJ192" i="1"/>
  <c r="AK192" i="1"/>
  <c r="AL192" i="1"/>
  <c r="AM192" i="1"/>
  <c r="AN192" i="1"/>
  <c r="AO192" i="1"/>
  <c r="AP192" i="1"/>
  <c r="AQ192" i="1"/>
  <c r="AR192" i="1"/>
  <c r="Z191" i="1"/>
  <c r="AA191" i="1"/>
  <c r="AB191" i="1"/>
  <c r="AC191" i="1"/>
  <c r="AD191" i="1"/>
  <c r="AE191" i="1"/>
  <c r="AF191" i="1"/>
  <c r="AG191" i="1"/>
  <c r="AH191" i="1"/>
  <c r="AI191" i="1"/>
  <c r="AJ191" i="1"/>
  <c r="AK191" i="1"/>
  <c r="AL191" i="1"/>
  <c r="AM191" i="1"/>
  <c r="AN191" i="1"/>
  <c r="AO191" i="1"/>
  <c r="AP191" i="1"/>
  <c r="AQ191" i="1"/>
  <c r="AR191" i="1"/>
  <c r="Z190" i="1"/>
  <c r="AA190" i="1"/>
  <c r="AB190" i="1"/>
  <c r="AC190" i="1"/>
  <c r="AD190" i="1"/>
  <c r="AE190" i="1"/>
  <c r="AF190" i="1"/>
  <c r="AG190" i="1"/>
  <c r="AH190" i="1"/>
  <c r="AI190" i="1"/>
  <c r="AJ190" i="1"/>
  <c r="AK190" i="1"/>
  <c r="AL190" i="1"/>
  <c r="AM190" i="1"/>
  <c r="AN190" i="1"/>
  <c r="AO190" i="1"/>
  <c r="AP190" i="1"/>
  <c r="AQ190" i="1"/>
  <c r="AR190" i="1"/>
  <c r="Z189" i="1"/>
  <c r="AA189" i="1"/>
  <c r="AB189" i="1"/>
  <c r="AC189" i="1"/>
  <c r="AD189" i="1"/>
  <c r="AE189" i="1"/>
  <c r="AF189" i="1"/>
  <c r="AG189" i="1"/>
  <c r="AH189" i="1"/>
  <c r="AI189" i="1"/>
  <c r="AJ189" i="1"/>
  <c r="AK189" i="1"/>
  <c r="AL189" i="1"/>
  <c r="AM189" i="1"/>
  <c r="AN189" i="1"/>
  <c r="AO189" i="1"/>
  <c r="AP189" i="1"/>
  <c r="AQ189" i="1"/>
  <c r="AR189" i="1"/>
  <c r="Z188" i="1"/>
  <c r="AA188" i="1"/>
  <c r="AB188" i="1"/>
  <c r="AC188" i="1"/>
  <c r="AD188" i="1"/>
  <c r="AE188" i="1"/>
  <c r="AF188" i="1"/>
  <c r="AG188" i="1"/>
  <c r="AH188" i="1"/>
  <c r="AI188" i="1"/>
  <c r="AJ188" i="1"/>
  <c r="AK188" i="1"/>
  <c r="AL188" i="1"/>
  <c r="AM188" i="1"/>
  <c r="AN188" i="1"/>
  <c r="AO188" i="1"/>
  <c r="AP188" i="1"/>
  <c r="AQ188" i="1"/>
  <c r="AR188" i="1"/>
  <c r="Z187" i="1"/>
  <c r="AA187" i="1"/>
  <c r="AB187" i="1"/>
  <c r="AC187" i="1"/>
  <c r="AD187" i="1"/>
  <c r="AE187" i="1"/>
  <c r="AF187" i="1"/>
  <c r="AG187" i="1"/>
  <c r="AH187" i="1"/>
  <c r="AI187" i="1"/>
  <c r="AJ187" i="1"/>
  <c r="AK187" i="1"/>
  <c r="AL187" i="1"/>
  <c r="AM187" i="1"/>
  <c r="AN187" i="1"/>
  <c r="AO187" i="1"/>
  <c r="AP187" i="1"/>
  <c r="AQ187" i="1"/>
  <c r="AR187" i="1"/>
  <c r="Z186" i="1"/>
  <c r="AA186" i="1"/>
  <c r="AB186" i="1"/>
  <c r="AC186" i="1"/>
  <c r="AD186" i="1"/>
  <c r="AE186" i="1"/>
  <c r="AF186" i="1"/>
  <c r="AG186" i="1"/>
  <c r="AH186" i="1"/>
  <c r="AI186" i="1"/>
  <c r="AJ186" i="1"/>
  <c r="AK186" i="1"/>
  <c r="AL186" i="1"/>
  <c r="AM186" i="1"/>
  <c r="AN186" i="1"/>
  <c r="AO186" i="1"/>
  <c r="AP186" i="1"/>
  <c r="AQ186" i="1"/>
  <c r="AR186" i="1"/>
  <c r="AS197" i="1" l="1"/>
  <c r="AS196" i="1"/>
  <c r="AS195" i="1"/>
  <c r="AS194" i="1"/>
  <c r="AS193" i="1"/>
  <c r="AS192" i="1"/>
  <c r="AS191" i="1"/>
  <c r="AS190" i="1"/>
  <c r="AS189" i="1"/>
  <c r="AS188" i="1"/>
  <c r="AS187" i="1"/>
  <c r="AS186" i="1"/>
  <c r="Z185" i="1"/>
  <c r="AA185" i="1"/>
  <c r="AB185" i="1"/>
  <c r="AC185" i="1"/>
  <c r="AD185" i="1"/>
  <c r="AE185" i="1"/>
  <c r="AF185" i="1"/>
  <c r="AG185" i="1"/>
  <c r="AH185" i="1"/>
  <c r="AI185" i="1"/>
  <c r="AJ185" i="1"/>
  <c r="AK185" i="1"/>
  <c r="AL185" i="1"/>
  <c r="AM185" i="1"/>
  <c r="AN185" i="1"/>
  <c r="AO185" i="1"/>
  <c r="AP185" i="1"/>
  <c r="AQ185" i="1"/>
  <c r="AR185" i="1"/>
  <c r="Z184" i="1"/>
  <c r="AA184" i="1"/>
  <c r="AB184" i="1"/>
  <c r="AC184" i="1"/>
  <c r="AD184" i="1"/>
  <c r="AE184" i="1"/>
  <c r="AF184" i="1"/>
  <c r="AG184" i="1"/>
  <c r="AH184" i="1"/>
  <c r="AI184" i="1"/>
  <c r="AJ184" i="1"/>
  <c r="AK184" i="1"/>
  <c r="AL184" i="1"/>
  <c r="AM184" i="1"/>
  <c r="AN184" i="1"/>
  <c r="AO184" i="1"/>
  <c r="AP184" i="1"/>
  <c r="AQ184" i="1"/>
  <c r="AR184" i="1"/>
  <c r="Z183" i="1"/>
  <c r="AA183" i="1"/>
  <c r="AB183" i="1"/>
  <c r="AC183" i="1"/>
  <c r="AD183" i="1"/>
  <c r="AE183" i="1"/>
  <c r="AF183" i="1"/>
  <c r="AG183" i="1"/>
  <c r="AH183" i="1"/>
  <c r="AI183" i="1"/>
  <c r="AJ183" i="1"/>
  <c r="AK183" i="1"/>
  <c r="AL183" i="1"/>
  <c r="AM183" i="1"/>
  <c r="AN183" i="1"/>
  <c r="AO183" i="1"/>
  <c r="AP183" i="1"/>
  <c r="AQ183" i="1"/>
  <c r="AR183" i="1"/>
  <c r="Z182" i="1"/>
  <c r="AA182" i="1"/>
  <c r="AB182" i="1"/>
  <c r="AC182" i="1"/>
  <c r="AD182" i="1"/>
  <c r="AE182" i="1"/>
  <c r="AF182" i="1"/>
  <c r="AG182" i="1"/>
  <c r="AH182" i="1"/>
  <c r="AI182" i="1"/>
  <c r="AJ182" i="1"/>
  <c r="AK182" i="1"/>
  <c r="AL182" i="1"/>
  <c r="AM182" i="1"/>
  <c r="AN182" i="1"/>
  <c r="AO182" i="1"/>
  <c r="AP182" i="1"/>
  <c r="AQ182" i="1"/>
  <c r="AR182" i="1"/>
  <c r="Z181" i="1"/>
  <c r="AA181" i="1"/>
  <c r="AB181" i="1"/>
  <c r="AC181" i="1"/>
  <c r="AD181" i="1"/>
  <c r="AE181" i="1"/>
  <c r="AF181" i="1"/>
  <c r="AG181" i="1"/>
  <c r="AH181" i="1"/>
  <c r="AI181" i="1"/>
  <c r="AJ181" i="1"/>
  <c r="AK181" i="1"/>
  <c r="AL181" i="1"/>
  <c r="AM181" i="1"/>
  <c r="AN181" i="1"/>
  <c r="AO181" i="1"/>
  <c r="AP181" i="1"/>
  <c r="AQ181" i="1"/>
  <c r="AR181" i="1"/>
  <c r="Z180" i="1"/>
  <c r="AA180" i="1"/>
  <c r="AB180" i="1"/>
  <c r="AC180" i="1"/>
  <c r="AD180" i="1"/>
  <c r="AE180" i="1"/>
  <c r="AF180" i="1"/>
  <c r="AG180" i="1"/>
  <c r="AH180" i="1"/>
  <c r="AI180" i="1"/>
  <c r="AJ180" i="1"/>
  <c r="AK180" i="1"/>
  <c r="AL180" i="1"/>
  <c r="AM180" i="1"/>
  <c r="AN180" i="1"/>
  <c r="AO180" i="1"/>
  <c r="AP180" i="1"/>
  <c r="AQ180" i="1"/>
  <c r="AR180" i="1"/>
  <c r="Z179" i="1"/>
  <c r="AA179" i="1"/>
  <c r="AB179" i="1"/>
  <c r="AC179" i="1"/>
  <c r="AD179" i="1"/>
  <c r="AE179" i="1"/>
  <c r="AF179" i="1"/>
  <c r="AG179" i="1"/>
  <c r="AH179" i="1"/>
  <c r="AI179" i="1"/>
  <c r="AJ179" i="1"/>
  <c r="AK179" i="1"/>
  <c r="AL179" i="1"/>
  <c r="AM179" i="1"/>
  <c r="AN179" i="1"/>
  <c r="AO179" i="1"/>
  <c r="AP179" i="1"/>
  <c r="AQ179" i="1"/>
  <c r="AR179" i="1"/>
  <c r="Z178" i="1"/>
  <c r="AA178" i="1"/>
  <c r="AB178" i="1"/>
  <c r="AC178" i="1"/>
  <c r="AD178" i="1"/>
  <c r="AE178" i="1"/>
  <c r="AF178" i="1"/>
  <c r="AG178" i="1"/>
  <c r="AH178" i="1"/>
  <c r="AI178" i="1"/>
  <c r="AJ178" i="1"/>
  <c r="AK178" i="1"/>
  <c r="AL178" i="1"/>
  <c r="AM178" i="1"/>
  <c r="AN178" i="1"/>
  <c r="AO178" i="1"/>
  <c r="AP178" i="1"/>
  <c r="AQ178" i="1"/>
  <c r="AR178" i="1"/>
  <c r="Z177" i="1"/>
  <c r="AA177" i="1"/>
  <c r="AB177" i="1"/>
  <c r="AC177" i="1"/>
  <c r="AD177" i="1"/>
  <c r="AE177" i="1"/>
  <c r="AF177" i="1"/>
  <c r="AG177" i="1"/>
  <c r="AH177" i="1"/>
  <c r="AI177" i="1"/>
  <c r="AJ177" i="1"/>
  <c r="AK177" i="1"/>
  <c r="AL177" i="1"/>
  <c r="AM177" i="1"/>
  <c r="AN177" i="1"/>
  <c r="AO177" i="1"/>
  <c r="AP177" i="1"/>
  <c r="AQ177" i="1"/>
  <c r="AR177" i="1"/>
  <c r="Z176" i="1"/>
  <c r="AA176" i="1"/>
  <c r="AB176" i="1"/>
  <c r="AC176" i="1"/>
  <c r="AD176" i="1"/>
  <c r="AE176" i="1"/>
  <c r="AF176" i="1"/>
  <c r="AG176" i="1"/>
  <c r="AH176" i="1"/>
  <c r="AI176" i="1"/>
  <c r="AJ176" i="1"/>
  <c r="AK176" i="1"/>
  <c r="AL176" i="1"/>
  <c r="AM176" i="1"/>
  <c r="AN176" i="1"/>
  <c r="AO176" i="1"/>
  <c r="AP176" i="1"/>
  <c r="AQ176" i="1"/>
  <c r="AR176" i="1"/>
  <c r="Z175" i="1"/>
  <c r="AA175" i="1"/>
  <c r="AB175" i="1"/>
  <c r="AC175" i="1"/>
  <c r="AD175" i="1"/>
  <c r="AE175" i="1"/>
  <c r="AF175" i="1"/>
  <c r="AG175" i="1"/>
  <c r="AH175" i="1"/>
  <c r="AI175" i="1"/>
  <c r="AJ175" i="1"/>
  <c r="AK175" i="1"/>
  <c r="AL175" i="1"/>
  <c r="AM175" i="1"/>
  <c r="AN175" i="1"/>
  <c r="AO175" i="1"/>
  <c r="AP175" i="1"/>
  <c r="AQ175" i="1"/>
  <c r="AR175" i="1"/>
  <c r="Z174" i="1"/>
  <c r="AA174" i="1"/>
  <c r="AB174" i="1"/>
  <c r="AC174" i="1"/>
  <c r="AD174" i="1"/>
  <c r="AE174" i="1"/>
  <c r="AF174" i="1"/>
  <c r="AG174" i="1"/>
  <c r="AH174" i="1"/>
  <c r="AI174" i="1"/>
  <c r="AJ174" i="1"/>
  <c r="AK174" i="1"/>
  <c r="AL174" i="1"/>
  <c r="AM174" i="1"/>
  <c r="AN174" i="1"/>
  <c r="AO174" i="1"/>
  <c r="AP174" i="1"/>
  <c r="AQ174" i="1"/>
  <c r="AR174" i="1"/>
  <c r="Z173" i="1"/>
  <c r="AA173" i="1"/>
  <c r="AB173" i="1"/>
  <c r="AC173" i="1"/>
  <c r="AD173" i="1"/>
  <c r="AE173" i="1"/>
  <c r="AF173" i="1"/>
  <c r="AG173" i="1"/>
  <c r="AH173" i="1"/>
  <c r="AI173" i="1"/>
  <c r="AJ173" i="1"/>
  <c r="AK173" i="1"/>
  <c r="AL173" i="1"/>
  <c r="AM173" i="1"/>
  <c r="AN173" i="1"/>
  <c r="AO173" i="1"/>
  <c r="AP173" i="1"/>
  <c r="AQ173" i="1"/>
  <c r="AR173" i="1"/>
  <c r="Z172" i="1"/>
  <c r="AA172" i="1"/>
  <c r="AB172" i="1"/>
  <c r="AC172" i="1"/>
  <c r="AD172" i="1"/>
  <c r="AE172" i="1"/>
  <c r="AF172" i="1"/>
  <c r="AG172" i="1"/>
  <c r="AH172" i="1"/>
  <c r="AI172" i="1"/>
  <c r="AJ172" i="1"/>
  <c r="AK172" i="1"/>
  <c r="AL172" i="1"/>
  <c r="AM172" i="1"/>
  <c r="AN172" i="1"/>
  <c r="AO172" i="1"/>
  <c r="AP172" i="1"/>
  <c r="AQ172" i="1"/>
  <c r="AR172" i="1"/>
  <c r="Z171" i="1"/>
  <c r="AA171" i="1"/>
  <c r="AB171" i="1"/>
  <c r="AC171" i="1"/>
  <c r="AD171" i="1"/>
  <c r="AE171" i="1"/>
  <c r="AF171" i="1"/>
  <c r="AG171" i="1"/>
  <c r="AH171" i="1"/>
  <c r="AI171" i="1"/>
  <c r="AJ171" i="1"/>
  <c r="AK171" i="1"/>
  <c r="AL171" i="1"/>
  <c r="AM171" i="1"/>
  <c r="AN171" i="1"/>
  <c r="AO171" i="1"/>
  <c r="AP171" i="1"/>
  <c r="AQ171" i="1"/>
  <c r="AR171" i="1"/>
  <c r="AS185" i="1" l="1"/>
  <c r="AS184" i="1"/>
  <c r="AS183" i="1"/>
  <c r="AS182" i="1"/>
  <c r="AS181" i="1"/>
  <c r="AS180" i="1"/>
  <c r="AS179" i="1"/>
  <c r="AS178" i="1"/>
  <c r="AS177" i="1"/>
  <c r="AS172" i="1"/>
  <c r="AS176" i="1"/>
  <c r="AS175" i="1"/>
  <c r="AS174" i="1"/>
  <c r="AS173" i="1"/>
  <c r="AS171" i="1"/>
  <c r="Z170" i="1" l="1"/>
  <c r="AA170" i="1"/>
  <c r="AB170" i="1"/>
  <c r="AC170" i="1"/>
  <c r="AD170" i="1"/>
  <c r="AE170" i="1"/>
  <c r="AF170" i="1"/>
  <c r="AG170" i="1"/>
  <c r="AH170" i="1"/>
  <c r="AI170" i="1"/>
  <c r="AJ170" i="1"/>
  <c r="AK170" i="1"/>
  <c r="AL170" i="1"/>
  <c r="AM170" i="1"/>
  <c r="AN170" i="1"/>
  <c r="AO170" i="1"/>
  <c r="AP170" i="1"/>
  <c r="AQ170" i="1"/>
  <c r="AR170" i="1"/>
  <c r="Z169" i="1"/>
  <c r="AA169" i="1"/>
  <c r="AB169" i="1"/>
  <c r="AC169" i="1"/>
  <c r="AD169" i="1"/>
  <c r="AE169" i="1"/>
  <c r="AF169" i="1"/>
  <c r="AG169" i="1"/>
  <c r="AH169" i="1"/>
  <c r="AI169" i="1"/>
  <c r="AJ169" i="1"/>
  <c r="AK169" i="1"/>
  <c r="AL169" i="1"/>
  <c r="AM169" i="1"/>
  <c r="AN169" i="1"/>
  <c r="AO169" i="1"/>
  <c r="AP169" i="1"/>
  <c r="AQ169" i="1"/>
  <c r="AR169" i="1"/>
  <c r="Z168" i="1"/>
  <c r="AA168" i="1"/>
  <c r="AB168" i="1"/>
  <c r="AC168" i="1"/>
  <c r="AD168" i="1"/>
  <c r="AE168" i="1"/>
  <c r="AF168" i="1"/>
  <c r="AG168" i="1"/>
  <c r="AH168" i="1"/>
  <c r="AI168" i="1"/>
  <c r="AJ168" i="1"/>
  <c r="AK168" i="1"/>
  <c r="AL168" i="1"/>
  <c r="AM168" i="1"/>
  <c r="AN168" i="1"/>
  <c r="AO168" i="1"/>
  <c r="AP168" i="1"/>
  <c r="AQ168" i="1"/>
  <c r="AR168" i="1"/>
  <c r="Z167" i="1"/>
  <c r="AA167" i="1"/>
  <c r="AB167" i="1"/>
  <c r="AC167" i="1"/>
  <c r="AD167" i="1"/>
  <c r="AE167" i="1"/>
  <c r="AF167" i="1"/>
  <c r="AG167" i="1"/>
  <c r="AH167" i="1"/>
  <c r="AI167" i="1"/>
  <c r="AJ167" i="1"/>
  <c r="AK167" i="1"/>
  <c r="AL167" i="1"/>
  <c r="AM167" i="1"/>
  <c r="AN167" i="1"/>
  <c r="AO167" i="1"/>
  <c r="AP167" i="1"/>
  <c r="AQ167" i="1"/>
  <c r="AR167" i="1"/>
  <c r="Z166" i="1"/>
  <c r="AA166" i="1"/>
  <c r="AB166" i="1"/>
  <c r="AC166" i="1"/>
  <c r="AD166" i="1"/>
  <c r="AE166" i="1"/>
  <c r="AF166" i="1"/>
  <c r="AG166" i="1"/>
  <c r="AH166" i="1"/>
  <c r="AI166" i="1"/>
  <c r="AJ166" i="1"/>
  <c r="AK166" i="1"/>
  <c r="AL166" i="1"/>
  <c r="AM166" i="1"/>
  <c r="AN166" i="1"/>
  <c r="AO166" i="1"/>
  <c r="AP166" i="1"/>
  <c r="AQ166" i="1"/>
  <c r="AR166" i="1"/>
  <c r="Z165" i="1"/>
  <c r="AA165" i="1"/>
  <c r="AB165" i="1"/>
  <c r="AC165" i="1"/>
  <c r="AD165" i="1"/>
  <c r="AE165" i="1"/>
  <c r="AF165" i="1"/>
  <c r="AG165" i="1"/>
  <c r="AH165" i="1"/>
  <c r="AI165" i="1"/>
  <c r="AJ165" i="1"/>
  <c r="AK165" i="1"/>
  <c r="AL165" i="1"/>
  <c r="AM165" i="1"/>
  <c r="AN165" i="1"/>
  <c r="AO165" i="1"/>
  <c r="AP165" i="1"/>
  <c r="AQ165" i="1"/>
  <c r="AR165" i="1"/>
  <c r="AS170" i="1" l="1"/>
  <c r="AS169" i="1"/>
  <c r="AS168" i="1"/>
  <c r="AS167" i="1"/>
  <c r="AS165" i="1"/>
  <c r="AS166" i="1"/>
  <c r="Z164" i="1"/>
  <c r="AA164" i="1"/>
  <c r="AB164" i="1"/>
  <c r="AC164" i="1"/>
  <c r="AD164" i="1"/>
  <c r="AE164" i="1"/>
  <c r="AF164" i="1"/>
  <c r="AG164" i="1"/>
  <c r="AH164" i="1"/>
  <c r="AI164" i="1"/>
  <c r="AJ164" i="1"/>
  <c r="AK164" i="1"/>
  <c r="AL164" i="1"/>
  <c r="AM164" i="1"/>
  <c r="AN164" i="1"/>
  <c r="AO164" i="1"/>
  <c r="AP164" i="1"/>
  <c r="AQ164" i="1"/>
  <c r="AR164" i="1"/>
  <c r="Z163" i="1"/>
  <c r="AA163" i="1"/>
  <c r="AB163" i="1"/>
  <c r="AC163" i="1"/>
  <c r="AD163" i="1"/>
  <c r="AE163" i="1"/>
  <c r="AF163" i="1"/>
  <c r="AG163" i="1"/>
  <c r="AH163" i="1"/>
  <c r="AI163" i="1"/>
  <c r="AJ163" i="1"/>
  <c r="AK163" i="1"/>
  <c r="AL163" i="1"/>
  <c r="AM163" i="1"/>
  <c r="AN163" i="1"/>
  <c r="AO163" i="1"/>
  <c r="AP163" i="1"/>
  <c r="AQ163" i="1"/>
  <c r="AR163" i="1"/>
  <c r="Z162" i="1"/>
  <c r="AA162" i="1"/>
  <c r="AB162" i="1"/>
  <c r="AC162" i="1"/>
  <c r="AD162" i="1"/>
  <c r="AE162" i="1"/>
  <c r="AF162" i="1"/>
  <c r="AG162" i="1"/>
  <c r="AH162" i="1"/>
  <c r="AI162" i="1"/>
  <c r="AJ162" i="1"/>
  <c r="AK162" i="1"/>
  <c r="AL162" i="1"/>
  <c r="AM162" i="1"/>
  <c r="AN162" i="1"/>
  <c r="AO162" i="1"/>
  <c r="AP162" i="1"/>
  <c r="AQ162" i="1"/>
  <c r="AR162" i="1"/>
  <c r="Z161" i="1"/>
  <c r="AA161" i="1"/>
  <c r="AB161" i="1"/>
  <c r="AC161" i="1"/>
  <c r="AD161" i="1"/>
  <c r="AE161" i="1"/>
  <c r="AF161" i="1"/>
  <c r="AG161" i="1"/>
  <c r="AH161" i="1"/>
  <c r="AI161" i="1"/>
  <c r="AJ161" i="1"/>
  <c r="AK161" i="1"/>
  <c r="AL161" i="1"/>
  <c r="AM161" i="1"/>
  <c r="AN161" i="1"/>
  <c r="AO161" i="1"/>
  <c r="AP161" i="1"/>
  <c r="AQ161" i="1"/>
  <c r="AR161" i="1"/>
  <c r="Z160" i="1"/>
  <c r="AA160" i="1"/>
  <c r="AB160" i="1"/>
  <c r="AC160" i="1"/>
  <c r="AD160" i="1"/>
  <c r="AE160" i="1"/>
  <c r="AF160" i="1"/>
  <c r="AG160" i="1"/>
  <c r="AH160" i="1"/>
  <c r="AI160" i="1"/>
  <c r="AJ160" i="1"/>
  <c r="AK160" i="1"/>
  <c r="AL160" i="1"/>
  <c r="AM160" i="1"/>
  <c r="AN160" i="1"/>
  <c r="AO160" i="1"/>
  <c r="AP160" i="1"/>
  <c r="AQ160" i="1"/>
  <c r="AR160" i="1"/>
  <c r="Z159" i="1"/>
  <c r="AA159" i="1"/>
  <c r="AB159" i="1"/>
  <c r="AC159" i="1"/>
  <c r="AD159" i="1"/>
  <c r="AE159" i="1"/>
  <c r="AF159" i="1"/>
  <c r="AG159" i="1"/>
  <c r="AH159" i="1"/>
  <c r="AI159" i="1"/>
  <c r="AJ159" i="1"/>
  <c r="AK159" i="1"/>
  <c r="AL159" i="1"/>
  <c r="AM159" i="1"/>
  <c r="AN159" i="1"/>
  <c r="AO159" i="1"/>
  <c r="AP159" i="1"/>
  <c r="AQ159" i="1"/>
  <c r="AR159" i="1"/>
  <c r="AS164" i="1" l="1"/>
  <c r="AS163" i="1"/>
  <c r="AS161" i="1"/>
  <c r="AS162" i="1"/>
  <c r="AS159" i="1"/>
  <c r="AS160" i="1"/>
  <c r="Z158" i="1"/>
  <c r="AA158" i="1"/>
  <c r="AB158" i="1"/>
  <c r="AC158" i="1"/>
  <c r="AD158" i="1"/>
  <c r="AE158" i="1"/>
  <c r="AF158" i="1"/>
  <c r="AG158" i="1"/>
  <c r="AH158" i="1"/>
  <c r="AI158" i="1"/>
  <c r="AJ158" i="1"/>
  <c r="AK158" i="1"/>
  <c r="AL158" i="1"/>
  <c r="AM158" i="1"/>
  <c r="AN158" i="1"/>
  <c r="AO158" i="1"/>
  <c r="AP158" i="1"/>
  <c r="AQ158" i="1"/>
  <c r="AR158" i="1"/>
  <c r="Z157" i="1"/>
  <c r="AA157" i="1"/>
  <c r="AB157" i="1"/>
  <c r="AC157" i="1"/>
  <c r="AD157" i="1"/>
  <c r="AE157" i="1"/>
  <c r="AF157" i="1"/>
  <c r="AG157" i="1"/>
  <c r="AH157" i="1"/>
  <c r="AI157" i="1"/>
  <c r="AJ157" i="1"/>
  <c r="AK157" i="1"/>
  <c r="AL157" i="1"/>
  <c r="AM157" i="1"/>
  <c r="AN157" i="1"/>
  <c r="AO157" i="1"/>
  <c r="AP157" i="1"/>
  <c r="AQ157" i="1"/>
  <c r="AR157" i="1"/>
  <c r="Z156" i="1"/>
  <c r="AA156" i="1"/>
  <c r="AB156" i="1"/>
  <c r="AC156" i="1"/>
  <c r="AD156" i="1"/>
  <c r="AE156" i="1"/>
  <c r="AF156" i="1"/>
  <c r="AG156" i="1"/>
  <c r="AH156" i="1"/>
  <c r="AI156" i="1"/>
  <c r="AJ156" i="1"/>
  <c r="AK156" i="1"/>
  <c r="AL156" i="1"/>
  <c r="AM156" i="1"/>
  <c r="AN156" i="1"/>
  <c r="AO156" i="1"/>
  <c r="AP156" i="1"/>
  <c r="AQ156" i="1"/>
  <c r="AR156" i="1"/>
  <c r="Z155" i="1"/>
  <c r="AA155" i="1"/>
  <c r="AB155" i="1"/>
  <c r="AC155" i="1"/>
  <c r="AD155" i="1"/>
  <c r="AE155" i="1"/>
  <c r="AF155" i="1"/>
  <c r="AG155" i="1"/>
  <c r="AH155" i="1"/>
  <c r="AI155" i="1"/>
  <c r="AJ155" i="1"/>
  <c r="AK155" i="1"/>
  <c r="AL155" i="1"/>
  <c r="AM155" i="1"/>
  <c r="AN155" i="1"/>
  <c r="AO155" i="1"/>
  <c r="AP155" i="1"/>
  <c r="AQ155" i="1"/>
  <c r="AR155" i="1"/>
  <c r="Z154" i="1"/>
  <c r="AA154" i="1"/>
  <c r="AB154" i="1"/>
  <c r="AC154" i="1"/>
  <c r="AD154" i="1"/>
  <c r="AE154" i="1"/>
  <c r="AF154" i="1"/>
  <c r="AG154" i="1"/>
  <c r="AH154" i="1"/>
  <c r="AI154" i="1"/>
  <c r="AJ154" i="1"/>
  <c r="AK154" i="1"/>
  <c r="AL154" i="1"/>
  <c r="AM154" i="1"/>
  <c r="AN154" i="1"/>
  <c r="AO154" i="1"/>
  <c r="AP154" i="1"/>
  <c r="AQ154" i="1"/>
  <c r="AR154" i="1"/>
  <c r="Z153" i="1"/>
  <c r="AA153" i="1"/>
  <c r="AB153" i="1"/>
  <c r="AC153" i="1"/>
  <c r="AD153" i="1"/>
  <c r="AE153" i="1"/>
  <c r="AF153" i="1"/>
  <c r="AG153" i="1"/>
  <c r="AH153" i="1"/>
  <c r="AI153" i="1"/>
  <c r="AJ153" i="1"/>
  <c r="AK153" i="1"/>
  <c r="AL153" i="1"/>
  <c r="AM153" i="1"/>
  <c r="AN153" i="1"/>
  <c r="AO153" i="1"/>
  <c r="AP153" i="1"/>
  <c r="AQ153" i="1"/>
  <c r="AR153" i="1"/>
  <c r="Z152" i="1"/>
  <c r="AA152" i="1"/>
  <c r="AB152" i="1"/>
  <c r="AC152" i="1"/>
  <c r="AD152" i="1"/>
  <c r="AE152" i="1"/>
  <c r="AF152" i="1"/>
  <c r="AG152" i="1"/>
  <c r="AH152" i="1"/>
  <c r="AI152" i="1"/>
  <c r="AJ152" i="1"/>
  <c r="AK152" i="1"/>
  <c r="AL152" i="1"/>
  <c r="AM152" i="1"/>
  <c r="AN152" i="1"/>
  <c r="AO152" i="1"/>
  <c r="AP152" i="1"/>
  <c r="AQ152" i="1"/>
  <c r="AR152" i="1"/>
  <c r="Z151" i="1"/>
  <c r="AA151" i="1"/>
  <c r="AB151" i="1"/>
  <c r="AC151" i="1"/>
  <c r="AD151" i="1"/>
  <c r="AE151" i="1"/>
  <c r="AF151" i="1"/>
  <c r="AG151" i="1"/>
  <c r="AH151" i="1"/>
  <c r="AI151" i="1"/>
  <c r="AJ151" i="1"/>
  <c r="AK151" i="1"/>
  <c r="AL151" i="1"/>
  <c r="AM151" i="1"/>
  <c r="AN151" i="1"/>
  <c r="AO151" i="1"/>
  <c r="AP151" i="1"/>
  <c r="AQ151" i="1"/>
  <c r="AR151" i="1"/>
  <c r="Z150" i="1"/>
  <c r="AA150" i="1"/>
  <c r="AB150" i="1"/>
  <c r="AC150" i="1"/>
  <c r="AD150" i="1"/>
  <c r="AE150" i="1"/>
  <c r="AF150" i="1"/>
  <c r="AG150" i="1"/>
  <c r="AH150" i="1"/>
  <c r="AI150" i="1"/>
  <c r="AJ150" i="1"/>
  <c r="AK150" i="1"/>
  <c r="AL150" i="1"/>
  <c r="AM150" i="1"/>
  <c r="AN150" i="1"/>
  <c r="AO150" i="1"/>
  <c r="AP150" i="1"/>
  <c r="AQ150" i="1"/>
  <c r="AR150" i="1"/>
  <c r="Z149" i="1"/>
  <c r="AA149" i="1"/>
  <c r="AB149" i="1"/>
  <c r="AC149" i="1"/>
  <c r="AD149" i="1"/>
  <c r="AE149" i="1"/>
  <c r="AF149" i="1"/>
  <c r="AG149" i="1"/>
  <c r="AH149" i="1"/>
  <c r="AI149" i="1"/>
  <c r="AJ149" i="1"/>
  <c r="AK149" i="1"/>
  <c r="AL149" i="1"/>
  <c r="AM149" i="1"/>
  <c r="AN149" i="1"/>
  <c r="AO149" i="1"/>
  <c r="AP149" i="1"/>
  <c r="AQ149" i="1"/>
  <c r="AR149" i="1"/>
  <c r="Z148" i="1"/>
  <c r="AA148" i="1"/>
  <c r="AB148" i="1"/>
  <c r="AC148" i="1"/>
  <c r="AD148" i="1"/>
  <c r="AE148" i="1"/>
  <c r="AF148" i="1"/>
  <c r="AG148" i="1"/>
  <c r="AH148" i="1"/>
  <c r="AI148" i="1"/>
  <c r="AJ148" i="1"/>
  <c r="AK148" i="1"/>
  <c r="AL148" i="1"/>
  <c r="AM148" i="1"/>
  <c r="AN148" i="1"/>
  <c r="AO148" i="1"/>
  <c r="AP148" i="1"/>
  <c r="AQ148" i="1"/>
  <c r="AR148" i="1"/>
  <c r="Z147" i="1"/>
  <c r="AA147" i="1"/>
  <c r="AB147" i="1"/>
  <c r="AC147" i="1"/>
  <c r="AD147" i="1"/>
  <c r="AE147" i="1"/>
  <c r="AF147" i="1"/>
  <c r="AG147" i="1"/>
  <c r="AH147" i="1"/>
  <c r="AI147" i="1"/>
  <c r="AJ147" i="1"/>
  <c r="AK147" i="1"/>
  <c r="AL147" i="1"/>
  <c r="AM147" i="1"/>
  <c r="AN147" i="1"/>
  <c r="AO147" i="1"/>
  <c r="AP147" i="1"/>
  <c r="AQ147" i="1"/>
  <c r="AR147" i="1"/>
  <c r="Z146" i="1"/>
  <c r="AA146" i="1"/>
  <c r="AB146" i="1"/>
  <c r="AC146" i="1"/>
  <c r="AD146" i="1"/>
  <c r="AE146" i="1"/>
  <c r="AF146" i="1"/>
  <c r="AG146" i="1"/>
  <c r="AH146" i="1"/>
  <c r="AI146" i="1"/>
  <c r="AJ146" i="1"/>
  <c r="AK146" i="1"/>
  <c r="AL146" i="1"/>
  <c r="AM146" i="1"/>
  <c r="AN146" i="1"/>
  <c r="AO146" i="1"/>
  <c r="AP146" i="1"/>
  <c r="AQ146" i="1"/>
  <c r="AR146" i="1"/>
  <c r="Z145" i="1"/>
  <c r="AA145" i="1"/>
  <c r="AB145" i="1"/>
  <c r="AC145" i="1"/>
  <c r="AD145" i="1"/>
  <c r="AE145" i="1"/>
  <c r="AF145" i="1"/>
  <c r="AG145" i="1"/>
  <c r="AH145" i="1"/>
  <c r="AI145" i="1"/>
  <c r="AJ145" i="1"/>
  <c r="AK145" i="1"/>
  <c r="AL145" i="1"/>
  <c r="AM145" i="1"/>
  <c r="AN145" i="1"/>
  <c r="AO145" i="1"/>
  <c r="AP145" i="1"/>
  <c r="AQ145" i="1"/>
  <c r="AR145" i="1"/>
  <c r="Z144" i="1"/>
  <c r="AA144" i="1"/>
  <c r="AB144" i="1"/>
  <c r="AC144" i="1"/>
  <c r="AD144" i="1"/>
  <c r="AE144" i="1"/>
  <c r="AF144" i="1"/>
  <c r="AG144" i="1"/>
  <c r="AH144" i="1"/>
  <c r="AI144" i="1"/>
  <c r="AJ144" i="1"/>
  <c r="AK144" i="1"/>
  <c r="AL144" i="1"/>
  <c r="AM144" i="1"/>
  <c r="AN144" i="1"/>
  <c r="AO144" i="1"/>
  <c r="AP144" i="1"/>
  <c r="AQ144" i="1"/>
  <c r="AR144" i="1"/>
  <c r="Z143" i="1"/>
  <c r="AA143" i="1"/>
  <c r="AB143" i="1"/>
  <c r="AC143" i="1"/>
  <c r="AD143" i="1"/>
  <c r="AE143" i="1"/>
  <c r="AF143" i="1"/>
  <c r="AG143" i="1"/>
  <c r="AH143" i="1"/>
  <c r="AI143" i="1"/>
  <c r="AJ143" i="1"/>
  <c r="AK143" i="1"/>
  <c r="AL143" i="1"/>
  <c r="AM143" i="1"/>
  <c r="AN143" i="1"/>
  <c r="AO143" i="1"/>
  <c r="AP143" i="1"/>
  <c r="AQ143" i="1"/>
  <c r="AR143" i="1"/>
  <c r="AS158" i="1" l="1"/>
  <c r="AS157" i="1"/>
  <c r="AS156" i="1"/>
  <c r="AS155" i="1"/>
  <c r="AS154" i="1"/>
  <c r="AS153" i="1"/>
  <c r="AS152" i="1"/>
  <c r="AS151" i="1"/>
  <c r="AS150" i="1"/>
  <c r="AS149" i="1"/>
  <c r="AS148" i="1"/>
  <c r="AS147" i="1"/>
  <c r="AS146" i="1"/>
  <c r="AS145" i="1"/>
  <c r="AS144" i="1"/>
  <c r="AS143" i="1"/>
  <c r="Z142" i="1" l="1"/>
  <c r="AA142" i="1"/>
  <c r="AB142" i="1"/>
  <c r="AC142" i="1"/>
  <c r="AD142" i="1"/>
  <c r="AE142" i="1"/>
  <c r="AF142" i="1"/>
  <c r="AG142" i="1"/>
  <c r="AH142" i="1"/>
  <c r="AI142" i="1"/>
  <c r="AJ142" i="1"/>
  <c r="AK142" i="1"/>
  <c r="AL142" i="1"/>
  <c r="AM142" i="1"/>
  <c r="AN142" i="1"/>
  <c r="AO142" i="1"/>
  <c r="AP142" i="1"/>
  <c r="AQ142" i="1"/>
  <c r="AR142" i="1"/>
  <c r="Z141" i="1"/>
  <c r="AA141" i="1"/>
  <c r="AB141" i="1"/>
  <c r="AC141" i="1"/>
  <c r="AD141" i="1"/>
  <c r="AE141" i="1"/>
  <c r="AF141" i="1"/>
  <c r="AG141" i="1"/>
  <c r="AH141" i="1"/>
  <c r="AI141" i="1"/>
  <c r="AJ141" i="1"/>
  <c r="AK141" i="1"/>
  <c r="AL141" i="1"/>
  <c r="AM141" i="1"/>
  <c r="AN141" i="1"/>
  <c r="AO141" i="1"/>
  <c r="AP141" i="1"/>
  <c r="AQ141" i="1"/>
  <c r="AR141" i="1"/>
  <c r="Z140" i="1"/>
  <c r="AA140" i="1"/>
  <c r="AB140" i="1"/>
  <c r="AC140" i="1"/>
  <c r="AD140" i="1"/>
  <c r="AE140" i="1"/>
  <c r="AF140" i="1"/>
  <c r="AG140" i="1"/>
  <c r="AH140" i="1"/>
  <c r="AI140" i="1"/>
  <c r="AJ140" i="1"/>
  <c r="AK140" i="1"/>
  <c r="AL140" i="1"/>
  <c r="AM140" i="1"/>
  <c r="AN140" i="1"/>
  <c r="AO140" i="1"/>
  <c r="AP140" i="1"/>
  <c r="AQ140" i="1"/>
  <c r="AR140" i="1"/>
  <c r="Z139" i="1"/>
  <c r="AA139" i="1"/>
  <c r="AB139" i="1"/>
  <c r="AC139" i="1"/>
  <c r="AD139" i="1"/>
  <c r="AE139" i="1"/>
  <c r="AF139" i="1"/>
  <c r="AG139" i="1"/>
  <c r="AH139" i="1"/>
  <c r="AI139" i="1"/>
  <c r="AJ139" i="1"/>
  <c r="AK139" i="1"/>
  <c r="AL139" i="1"/>
  <c r="AM139" i="1"/>
  <c r="AN139" i="1"/>
  <c r="AO139" i="1"/>
  <c r="AP139" i="1"/>
  <c r="AQ139" i="1"/>
  <c r="AR139" i="1"/>
  <c r="Z138" i="1"/>
  <c r="AA138" i="1"/>
  <c r="AB138" i="1"/>
  <c r="AC138" i="1"/>
  <c r="AD138" i="1"/>
  <c r="AE138" i="1"/>
  <c r="AF138" i="1"/>
  <c r="AG138" i="1"/>
  <c r="AH138" i="1"/>
  <c r="AI138" i="1"/>
  <c r="AJ138" i="1"/>
  <c r="AK138" i="1"/>
  <c r="AL138" i="1"/>
  <c r="AM138" i="1"/>
  <c r="AN138" i="1"/>
  <c r="AO138" i="1"/>
  <c r="AP138" i="1"/>
  <c r="AQ138" i="1"/>
  <c r="AR138" i="1"/>
  <c r="Z137" i="1"/>
  <c r="AA137" i="1"/>
  <c r="AB137" i="1"/>
  <c r="AC137" i="1"/>
  <c r="AD137" i="1"/>
  <c r="AE137" i="1"/>
  <c r="AF137" i="1"/>
  <c r="AG137" i="1"/>
  <c r="AH137" i="1"/>
  <c r="AI137" i="1"/>
  <c r="AJ137" i="1"/>
  <c r="AK137" i="1"/>
  <c r="AL137" i="1"/>
  <c r="AM137" i="1"/>
  <c r="AN137" i="1"/>
  <c r="AO137" i="1"/>
  <c r="AP137" i="1"/>
  <c r="AQ137" i="1"/>
  <c r="AR137" i="1"/>
  <c r="AS142" i="1" l="1"/>
  <c r="AS141" i="1"/>
  <c r="AS140" i="1"/>
  <c r="AS138" i="1"/>
  <c r="AS139" i="1"/>
  <c r="AS137" i="1"/>
  <c r="Z136" i="1"/>
  <c r="AA136" i="1"/>
  <c r="AB136" i="1"/>
  <c r="AC136" i="1"/>
  <c r="AD136" i="1"/>
  <c r="AE136" i="1"/>
  <c r="AF136" i="1"/>
  <c r="AG136" i="1"/>
  <c r="AH136" i="1"/>
  <c r="AI136" i="1"/>
  <c r="AJ136" i="1"/>
  <c r="AK136" i="1"/>
  <c r="AL136" i="1"/>
  <c r="AM136" i="1"/>
  <c r="AN136" i="1"/>
  <c r="AO136" i="1"/>
  <c r="AP136" i="1"/>
  <c r="AQ136" i="1"/>
  <c r="AR136" i="1"/>
  <c r="Z135" i="1"/>
  <c r="AA135" i="1"/>
  <c r="AB135" i="1"/>
  <c r="AC135" i="1"/>
  <c r="AD135" i="1"/>
  <c r="AE135" i="1"/>
  <c r="AF135" i="1"/>
  <c r="AG135" i="1"/>
  <c r="AH135" i="1"/>
  <c r="AI135" i="1"/>
  <c r="AJ135" i="1"/>
  <c r="AK135" i="1"/>
  <c r="AL135" i="1"/>
  <c r="AM135" i="1"/>
  <c r="AN135" i="1"/>
  <c r="AO135" i="1"/>
  <c r="AP135" i="1"/>
  <c r="AQ135" i="1"/>
  <c r="AR135" i="1"/>
  <c r="AS136" i="1" l="1"/>
  <c r="AS135" i="1"/>
  <c r="Z134" i="1"/>
  <c r="AA134" i="1"/>
  <c r="AB134" i="1"/>
  <c r="AC134" i="1"/>
  <c r="AD134" i="1"/>
  <c r="AE134" i="1"/>
  <c r="AF134" i="1"/>
  <c r="AG134" i="1"/>
  <c r="AH134" i="1"/>
  <c r="AI134" i="1"/>
  <c r="AJ134" i="1"/>
  <c r="AK134" i="1"/>
  <c r="AL134" i="1"/>
  <c r="AM134" i="1"/>
  <c r="AN134" i="1"/>
  <c r="AO134" i="1"/>
  <c r="AP134" i="1"/>
  <c r="AQ134" i="1"/>
  <c r="AR134" i="1"/>
  <c r="Z133" i="1"/>
  <c r="AA133" i="1"/>
  <c r="AB133" i="1"/>
  <c r="AC133" i="1"/>
  <c r="AD133" i="1"/>
  <c r="AE133" i="1"/>
  <c r="AF133" i="1"/>
  <c r="AG133" i="1"/>
  <c r="AH133" i="1"/>
  <c r="AI133" i="1"/>
  <c r="AJ133" i="1"/>
  <c r="AK133" i="1"/>
  <c r="AL133" i="1"/>
  <c r="AM133" i="1"/>
  <c r="AN133" i="1"/>
  <c r="AO133" i="1"/>
  <c r="AP133" i="1"/>
  <c r="AQ133" i="1"/>
  <c r="AR133" i="1"/>
  <c r="Z132" i="1"/>
  <c r="AA132" i="1"/>
  <c r="AB132" i="1"/>
  <c r="AC132" i="1"/>
  <c r="AD132" i="1"/>
  <c r="AE132" i="1"/>
  <c r="AF132" i="1"/>
  <c r="AG132" i="1"/>
  <c r="AH132" i="1"/>
  <c r="AI132" i="1"/>
  <c r="AJ132" i="1"/>
  <c r="AK132" i="1"/>
  <c r="AL132" i="1"/>
  <c r="AM132" i="1"/>
  <c r="AN132" i="1"/>
  <c r="AO132" i="1"/>
  <c r="AP132" i="1"/>
  <c r="AQ132" i="1"/>
  <c r="AR132" i="1"/>
  <c r="Z131" i="1"/>
  <c r="AA131" i="1"/>
  <c r="AB131" i="1"/>
  <c r="AC131" i="1"/>
  <c r="AD131" i="1"/>
  <c r="AE131" i="1"/>
  <c r="AF131" i="1"/>
  <c r="AG131" i="1"/>
  <c r="AH131" i="1"/>
  <c r="AI131" i="1"/>
  <c r="AJ131" i="1"/>
  <c r="AK131" i="1"/>
  <c r="AL131" i="1"/>
  <c r="AM131" i="1"/>
  <c r="AN131" i="1"/>
  <c r="AO131" i="1"/>
  <c r="AP131" i="1"/>
  <c r="AQ131" i="1"/>
  <c r="AR131" i="1"/>
  <c r="AS134" i="1" l="1"/>
  <c r="AS133" i="1"/>
  <c r="AS131" i="1"/>
  <c r="AS132" i="1"/>
  <c r="Z130" i="1"/>
  <c r="AA130" i="1"/>
  <c r="AB130" i="1"/>
  <c r="AC130" i="1"/>
  <c r="AD130" i="1"/>
  <c r="AE130" i="1"/>
  <c r="AF130" i="1"/>
  <c r="AG130" i="1"/>
  <c r="AH130" i="1"/>
  <c r="AI130" i="1"/>
  <c r="AJ130" i="1"/>
  <c r="AK130" i="1"/>
  <c r="AL130" i="1"/>
  <c r="AM130" i="1"/>
  <c r="AN130" i="1"/>
  <c r="AO130" i="1"/>
  <c r="AP130" i="1"/>
  <c r="AQ130" i="1"/>
  <c r="AR130" i="1"/>
  <c r="Z129" i="1"/>
  <c r="AA129" i="1"/>
  <c r="AB129" i="1"/>
  <c r="AC129" i="1"/>
  <c r="AD129" i="1"/>
  <c r="AE129" i="1"/>
  <c r="AF129" i="1"/>
  <c r="AG129" i="1"/>
  <c r="AH129" i="1"/>
  <c r="AI129" i="1"/>
  <c r="AJ129" i="1"/>
  <c r="AK129" i="1"/>
  <c r="AL129" i="1"/>
  <c r="AM129" i="1"/>
  <c r="AN129" i="1"/>
  <c r="AO129" i="1"/>
  <c r="AP129" i="1"/>
  <c r="AQ129" i="1"/>
  <c r="AR129" i="1"/>
  <c r="Z128" i="1"/>
  <c r="AA128" i="1"/>
  <c r="AB128" i="1"/>
  <c r="AC128" i="1"/>
  <c r="AD128" i="1"/>
  <c r="AE128" i="1"/>
  <c r="AF128" i="1"/>
  <c r="AG128" i="1"/>
  <c r="AH128" i="1"/>
  <c r="AI128" i="1"/>
  <c r="AJ128" i="1"/>
  <c r="AK128" i="1"/>
  <c r="AL128" i="1"/>
  <c r="AM128" i="1"/>
  <c r="AN128" i="1"/>
  <c r="AO128" i="1"/>
  <c r="AP128" i="1"/>
  <c r="AQ128" i="1"/>
  <c r="AR128" i="1"/>
  <c r="Z127" i="1"/>
  <c r="AA127" i="1"/>
  <c r="AB127" i="1"/>
  <c r="AC127" i="1"/>
  <c r="AD127" i="1"/>
  <c r="AE127" i="1"/>
  <c r="AF127" i="1"/>
  <c r="AG127" i="1"/>
  <c r="AH127" i="1"/>
  <c r="AI127" i="1"/>
  <c r="AJ127" i="1"/>
  <c r="AK127" i="1"/>
  <c r="AL127" i="1"/>
  <c r="AM127" i="1"/>
  <c r="AN127" i="1"/>
  <c r="AO127" i="1"/>
  <c r="AP127" i="1"/>
  <c r="AQ127" i="1"/>
  <c r="AR127" i="1"/>
  <c r="Z126" i="1"/>
  <c r="AA126" i="1"/>
  <c r="AB126" i="1"/>
  <c r="AC126" i="1"/>
  <c r="AD126" i="1"/>
  <c r="AE126" i="1"/>
  <c r="AF126" i="1"/>
  <c r="AG126" i="1"/>
  <c r="AH126" i="1"/>
  <c r="AI126" i="1"/>
  <c r="AJ126" i="1"/>
  <c r="AK126" i="1"/>
  <c r="AL126" i="1"/>
  <c r="AM126" i="1"/>
  <c r="AN126" i="1"/>
  <c r="AO126" i="1"/>
  <c r="AP126" i="1"/>
  <c r="AQ126" i="1"/>
  <c r="AR126" i="1"/>
  <c r="AS130" i="1" l="1"/>
  <c r="AS129" i="1"/>
  <c r="AS128" i="1"/>
  <c r="AS127" i="1"/>
  <c r="AS126" i="1"/>
  <c r="Z125" i="1"/>
  <c r="AA125" i="1"/>
  <c r="AB125" i="1"/>
  <c r="AC125" i="1"/>
  <c r="AD125" i="1"/>
  <c r="AE125" i="1"/>
  <c r="AF125" i="1"/>
  <c r="AG125" i="1"/>
  <c r="AH125" i="1"/>
  <c r="AI125" i="1"/>
  <c r="AJ125" i="1"/>
  <c r="AK125" i="1"/>
  <c r="AL125" i="1"/>
  <c r="AM125" i="1"/>
  <c r="AN125" i="1"/>
  <c r="AO125" i="1"/>
  <c r="AP125" i="1"/>
  <c r="AQ125" i="1"/>
  <c r="AR125" i="1"/>
  <c r="Z124" i="1"/>
  <c r="AA124" i="1"/>
  <c r="AB124" i="1"/>
  <c r="AC124" i="1"/>
  <c r="AD124" i="1"/>
  <c r="AE124" i="1"/>
  <c r="AF124" i="1"/>
  <c r="AG124" i="1"/>
  <c r="AH124" i="1"/>
  <c r="AI124" i="1"/>
  <c r="AJ124" i="1"/>
  <c r="AK124" i="1"/>
  <c r="AL124" i="1"/>
  <c r="AM124" i="1"/>
  <c r="AN124" i="1"/>
  <c r="AO124" i="1"/>
  <c r="AP124" i="1"/>
  <c r="AQ124" i="1"/>
  <c r="AR124" i="1"/>
  <c r="Z123" i="1"/>
  <c r="AA123" i="1"/>
  <c r="AB123" i="1"/>
  <c r="AC123" i="1"/>
  <c r="AD123" i="1"/>
  <c r="AE123" i="1"/>
  <c r="AF123" i="1"/>
  <c r="AG123" i="1"/>
  <c r="AH123" i="1"/>
  <c r="AI123" i="1"/>
  <c r="AJ123" i="1"/>
  <c r="AK123" i="1"/>
  <c r="AL123" i="1"/>
  <c r="AM123" i="1"/>
  <c r="AN123" i="1"/>
  <c r="AO123" i="1"/>
  <c r="AP123" i="1"/>
  <c r="AQ123" i="1"/>
  <c r="AR123" i="1"/>
  <c r="Z122" i="1"/>
  <c r="AA122" i="1"/>
  <c r="AB122" i="1"/>
  <c r="AC122" i="1"/>
  <c r="AD122" i="1"/>
  <c r="AE122" i="1"/>
  <c r="AF122" i="1"/>
  <c r="AG122" i="1"/>
  <c r="AH122" i="1"/>
  <c r="AI122" i="1"/>
  <c r="AJ122" i="1"/>
  <c r="AK122" i="1"/>
  <c r="AL122" i="1"/>
  <c r="AM122" i="1"/>
  <c r="AN122" i="1"/>
  <c r="AO122" i="1"/>
  <c r="AP122" i="1"/>
  <c r="AQ122" i="1"/>
  <c r="AR122" i="1"/>
  <c r="Z121" i="1"/>
  <c r="AA121" i="1"/>
  <c r="AB121" i="1"/>
  <c r="AC121" i="1"/>
  <c r="AD121" i="1"/>
  <c r="AE121" i="1"/>
  <c r="AF121" i="1"/>
  <c r="AG121" i="1"/>
  <c r="AH121" i="1"/>
  <c r="AI121" i="1"/>
  <c r="AJ121" i="1"/>
  <c r="AK121" i="1"/>
  <c r="AL121" i="1"/>
  <c r="AM121" i="1"/>
  <c r="AN121" i="1"/>
  <c r="AO121" i="1"/>
  <c r="AP121" i="1"/>
  <c r="AQ121" i="1"/>
  <c r="AR121" i="1"/>
  <c r="Z120" i="1"/>
  <c r="AA120" i="1"/>
  <c r="AB120" i="1"/>
  <c r="AC120" i="1"/>
  <c r="AD120" i="1"/>
  <c r="AE120" i="1"/>
  <c r="AF120" i="1"/>
  <c r="AG120" i="1"/>
  <c r="AH120" i="1"/>
  <c r="AI120" i="1"/>
  <c r="AJ120" i="1"/>
  <c r="AK120" i="1"/>
  <c r="AL120" i="1"/>
  <c r="AM120" i="1"/>
  <c r="AN120" i="1"/>
  <c r="AO120" i="1"/>
  <c r="AP120" i="1"/>
  <c r="AQ120" i="1"/>
  <c r="AR120" i="1"/>
  <c r="Z119" i="1"/>
  <c r="AA119" i="1"/>
  <c r="AB119" i="1"/>
  <c r="AC119" i="1"/>
  <c r="AD119" i="1"/>
  <c r="AE119" i="1"/>
  <c r="AF119" i="1"/>
  <c r="AG119" i="1"/>
  <c r="AH119" i="1"/>
  <c r="AI119" i="1"/>
  <c r="AJ119" i="1"/>
  <c r="AK119" i="1"/>
  <c r="AL119" i="1"/>
  <c r="AM119" i="1"/>
  <c r="AN119" i="1"/>
  <c r="AO119" i="1"/>
  <c r="AP119" i="1"/>
  <c r="AQ119" i="1"/>
  <c r="AR119" i="1"/>
  <c r="Z118" i="1"/>
  <c r="AA118" i="1"/>
  <c r="AB118" i="1"/>
  <c r="AC118" i="1"/>
  <c r="AD118" i="1"/>
  <c r="AE118" i="1"/>
  <c r="AF118" i="1"/>
  <c r="AG118" i="1"/>
  <c r="AH118" i="1"/>
  <c r="AI118" i="1"/>
  <c r="AJ118" i="1"/>
  <c r="AK118" i="1"/>
  <c r="AL118" i="1"/>
  <c r="AM118" i="1"/>
  <c r="AN118" i="1"/>
  <c r="AO118" i="1"/>
  <c r="AP118" i="1"/>
  <c r="AQ118" i="1"/>
  <c r="AR118" i="1"/>
  <c r="Z117" i="1"/>
  <c r="AA117" i="1"/>
  <c r="AB117" i="1"/>
  <c r="AC117" i="1"/>
  <c r="AD117" i="1"/>
  <c r="AE117" i="1"/>
  <c r="AF117" i="1"/>
  <c r="AG117" i="1"/>
  <c r="AH117" i="1"/>
  <c r="AI117" i="1"/>
  <c r="AJ117" i="1"/>
  <c r="AK117" i="1"/>
  <c r="AL117" i="1"/>
  <c r="AM117" i="1"/>
  <c r="AN117" i="1"/>
  <c r="AO117" i="1"/>
  <c r="AP117" i="1"/>
  <c r="AQ117" i="1"/>
  <c r="AR117" i="1"/>
  <c r="Z116" i="1"/>
  <c r="AA116" i="1"/>
  <c r="AB116" i="1"/>
  <c r="AC116" i="1"/>
  <c r="AD116" i="1"/>
  <c r="AE116" i="1"/>
  <c r="AF116" i="1"/>
  <c r="AG116" i="1"/>
  <c r="AH116" i="1"/>
  <c r="AI116" i="1"/>
  <c r="AJ116" i="1"/>
  <c r="AK116" i="1"/>
  <c r="AL116" i="1"/>
  <c r="AM116" i="1"/>
  <c r="AN116" i="1"/>
  <c r="AO116" i="1"/>
  <c r="AP116" i="1"/>
  <c r="AQ116" i="1"/>
  <c r="AR116" i="1"/>
  <c r="Z115" i="1"/>
  <c r="AA115" i="1"/>
  <c r="AB115" i="1"/>
  <c r="AC115" i="1"/>
  <c r="AD115" i="1"/>
  <c r="AE115" i="1"/>
  <c r="AF115" i="1"/>
  <c r="AG115" i="1"/>
  <c r="AH115" i="1"/>
  <c r="AI115" i="1"/>
  <c r="AJ115" i="1"/>
  <c r="AK115" i="1"/>
  <c r="AL115" i="1"/>
  <c r="AM115" i="1"/>
  <c r="AN115" i="1"/>
  <c r="AO115" i="1"/>
  <c r="AP115" i="1"/>
  <c r="AQ115" i="1"/>
  <c r="AR115" i="1"/>
  <c r="Z114" i="1"/>
  <c r="AA114" i="1"/>
  <c r="AB114" i="1"/>
  <c r="AC114" i="1"/>
  <c r="AD114" i="1"/>
  <c r="AE114" i="1"/>
  <c r="AF114" i="1"/>
  <c r="AG114" i="1"/>
  <c r="AH114" i="1"/>
  <c r="AI114" i="1"/>
  <c r="AJ114" i="1"/>
  <c r="AK114" i="1"/>
  <c r="AL114" i="1"/>
  <c r="AM114" i="1"/>
  <c r="AN114" i="1"/>
  <c r="AO114" i="1"/>
  <c r="AP114" i="1"/>
  <c r="AQ114" i="1"/>
  <c r="AR114" i="1"/>
  <c r="Z113" i="1"/>
  <c r="AA113" i="1"/>
  <c r="AB113" i="1"/>
  <c r="AC113" i="1"/>
  <c r="AD113" i="1"/>
  <c r="AE113" i="1"/>
  <c r="AF113" i="1"/>
  <c r="AG113" i="1"/>
  <c r="AH113" i="1"/>
  <c r="AI113" i="1"/>
  <c r="AJ113" i="1"/>
  <c r="AK113" i="1"/>
  <c r="AL113" i="1"/>
  <c r="AM113" i="1"/>
  <c r="AN113" i="1"/>
  <c r="AO113" i="1"/>
  <c r="AP113" i="1"/>
  <c r="AQ113" i="1"/>
  <c r="AR113" i="1"/>
  <c r="Z112" i="1"/>
  <c r="AA112" i="1"/>
  <c r="AB112" i="1"/>
  <c r="AC112" i="1"/>
  <c r="AD112" i="1"/>
  <c r="AE112" i="1"/>
  <c r="AF112" i="1"/>
  <c r="AG112" i="1"/>
  <c r="AH112" i="1"/>
  <c r="AI112" i="1"/>
  <c r="AJ112" i="1"/>
  <c r="AK112" i="1"/>
  <c r="AL112" i="1"/>
  <c r="AM112" i="1"/>
  <c r="AN112" i="1"/>
  <c r="AO112" i="1"/>
  <c r="AP112" i="1"/>
  <c r="AQ112" i="1"/>
  <c r="AR112" i="1"/>
  <c r="Z111" i="1"/>
  <c r="AA111" i="1"/>
  <c r="AB111" i="1"/>
  <c r="AC111" i="1"/>
  <c r="AD111" i="1"/>
  <c r="AE111" i="1"/>
  <c r="AF111" i="1"/>
  <c r="AG111" i="1"/>
  <c r="AH111" i="1"/>
  <c r="AI111" i="1"/>
  <c r="AJ111" i="1"/>
  <c r="AK111" i="1"/>
  <c r="AL111" i="1"/>
  <c r="AM111" i="1"/>
  <c r="AN111" i="1"/>
  <c r="AO111" i="1"/>
  <c r="AP111" i="1"/>
  <c r="AQ111" i="1"/>
  <c r="AR111" i="1"/>
  <c r="Z110" i="1"/>
  <c r="AA110" i="1"/>
  <c r="AB110" i="1"/>
  <c r="AC110" i="1"/>
  <c r="AD110" i="1"/>
  <c r="AE110" i="1"/>
  <c r="AF110" i="1"/>
  <c r="AG110" i="1"/>
  <c r="AH110" i="1"/>
  <c r="AI110" i="1"/>
  <c r="AJ110" i="1"/>
  <c r="AK110" i="1"/>
  <c r="AL110" i="1"/>
  <c r="AM110" i="1"/>
  <c r="AN110" i="1"/>
  <c r="AO110" i="1"/>
  <c r="AP110" i="1"/>
  <c r="AQ110" i="1"/>
  <c r="AR110" i="1"/>
  <c r="Z109" i="1"/>
  <c r="AA109" i="1"/>
  <c r="AB109" i="1"/>
  <c r="AC109" i="1"/>
  <c r="AD109" i="1"/>
  <c r="AE109" i="1"/>
  <c r="AF109" i="1"/>
  <c r="AG109" i="1"/>
  <c r="AH109" i="1"/>
  <c r="AI109" i="1"/>
  <c r="AJ109" i="1"/>
  <c r="AK109" i="1"/>
  <c r="AL109" i="1"/>
  <c r="AM109" i="1"/>
  <c r="AN109" i="1"/>
  <c r="AO109" i="1"/>
  <c r="AP109" i="1"/>
  <c r="AQ109" i="1"/>
  <c r="AR109" i="1"/>
  <c r="Z108" i="1"/>
  <c r="AA108" i="1"/>
  <c r="AB108" i="1"/>
  <c r="AC108" i="1"/>
  <c r="AD108" i="1"/>
  <c r="AE108" i="1"/>
  <c r="AF108" i="1"/>
  <c r="AG108" i="1"/>
  <c r="AH108" i="1"/>
  <c r="AI108" i="1"/>
  <c r="AJ108" i="1"/>
  <c r="AK108" i="1"/>
  <c r="AL108" i="1"/>
  <c r="AM108" i="1"/>
  <c r="AN108" i="1"/>
  <c r="AO108" i="1"/>
  <c r="AP108" i="1"/>
  <c r="AQ108" i="1"/>
  <c r="AR108" i="1"/>
  <c r="Z107" i="1"/>
  <c r="AA107" i="1"/>
  <c r="AB107" i="1"/>
  <c r="AC107" i="1"/>
  <c r="AD107" i="1"/>
  <c r="AE107" i="1"/>
  <c r="AF107" i="1"/>
  <c r="AG107" i="1"/>
  <c r="AH107" i="1"/>
  <c r="AI107" i="1"/>
  <c r="AJ107" i="1"/>
  <c r="AK107" i="1"/>
  <c r="AL107" i="1"/>
  <c r="AM107" i="1"/>
  <c r="AN107" i="1"/>
  <c r="AO107" i="1"/>
  <c r="AP107" i="1"/>
  <c r="AQ107" i="1"/>
  <c r="AR107" i="1"/>
  <c r="Z106" i="1"/>
  <c r="AA106" i="1"/>
  <c r="AB106" i="1"/>
  <c r="AC106" i="1"/>
  <c r="AD106" i="1"/>
  <c r="AE106" i="1"/>
  <c r="AF106" i="1"/>
  <c r="AG106" i="1"/>
  <c r="AH106" i="1"/>
  <c r="AI106" i="1"/>
  <c r="AJ106" i="1"/>
  <c r="AK106" i="1"/>
  <c r="AL106" i="1"/>
  <c r="AM106" i="1"/>
  <c r="AN106" i="1"/>
  <c r="AO106" i="1"/>
  <c r="AP106" i="1"/>
  <c r="AQ106" i="1"/>
  <c r="AR106" i="1"/>
  <c r="Z105" i="1"/>
  <c r="AA105" i="1"/>
  <c r="AB105" i="1"/>
  <c r="AC105" i="1"/>
  <c r="AD105" i="1"/>
  <c r="AE105" i="1"/>
  <c r="AF105" i="1"/>
  <c r="AG105" i="1"/>
  <c r="AH105" i="1"/>
  <c r="AI105" i="1"/>
  <c r="AJ105" i="1"/>
  <c r="AK105" i="1"/>
  <c r="AL105" i="1"/>
  <c r="AM105" i="1"/>
  <c r="AN105" i="1"/>
  <c r="AO105" i="1"/>
  <c r="AP105" i="1"/>
  <c r="AQ105" i="1"/>
  <c r="AR105" i="1"/>
  <c r="Z104" i="1"/>
  <c r="AA104" i="1"/>
  <c r="AB104" i="1"/>
  <c r="AC104" i="1"/>
  <c r="AD104" i="1"/>
  <c r="AE104" i="1"/>
  <c r="AF104" i="1"/>
  <c r="AG104" i="1"/>
  <c r="AH104" i="1"/>
  <c r="AI104" i="1"/>
  <c r="AJ104" i="1"/>
  <c r="AK104" i="1"/>
  <c r="AL104" i="1"/>
  <c r="AM104" i="1"/>
  <c r="AN104" i="1"/>
  <c r="AO104" i="1"/>
  <c r="AP104" i="1"/>
  <c r="AQ104" i="1"/>
  <c r="AR104" i="1"/>
  <c r="Z103" i="1"/>
  <c r="AA103" i="1"/>
  <c r="AB103" i="1"/>
  <c r="AC103" i="1"/>
  <c r="AD103" i="1"/>
  <c r="AE103" i="1"/>
  <c r="AF103" i="1"/>
  <c r="AG103" i="1"/>
  <c r="AH103" i="1"/>
  <c r="AI103" i="1"/>
  <c r="AJ103" i="1"/>
  <c r="AK103" i="1"/>
  <c r="AL103" i="1"/>
  <c r="AM103" i="1"/>
  <c r="AN103" i="1"/>
  <c r="AO103" i="1"/>
  <c r="AP103" i="1"/>
  <c r="AQ103" i="1"/>
  <c r="AR103" i="1"/>
  <c r="Z102" i="1"/>
  <c r="AA102" i="1"/>
  <c r="AB102" i="1"/>
  <c r="AC102" i="1"/>
  <c r="AD102" i="1"/>
  <c r="AE102" i="1"/>
  <c r="AF102" i="1"/>
  <c r="AG102" i="1"/>
  <c r="AH102" i="1"/>
  <c r="AI102" i="1"/>
  <c r="AJ102" i="1"/>
  <c r="AK102" i="1"/>
  <c r="AL102" i="1"/>
  <c r="AM102" i="1"/>
  <c r="AN102" i="1"/>
  <c r="AO102" i="1"/>
  <c r="AP102" i="1"/>
  <c r="AQ102" i="1"/>
  <c r="AR102" i="1"/>
  <c r="AS104" i="1" l="1"/>
  <c r="AS106" i="1"/>
  <c r="AS109" i="1"/>
  <c r="AS111" i="1"/>
  <c r="AS112" i="1"/>
  <c r="AS113" i="1"/>
  <c r="AS114" i="1"/>
  <c r="AS116" i="1"/>
  <c r="AS118" i="1"/>
  <c r="AS120" i="1"/>
  <c r="AS122" i="1"/>
  <c r="AS124" i="1"/>
  <c r="AS102" i="1"/>
  <c r="AS103" i="1"/>
  <c r="AS105" i="1"/>
  <c r="AS107" i="1"/>
  <c r="AS108" i="1"/>
  <c r="AS110" i="1"/>
  <c r="AS115" i="1"/>
  <c r="AS119" i="1"/>
  <c r="AS123" i="1"/>
  <c r="AS117" i="1"/>
  <c r="AS121" i="1"/>
  <c r="AS125" i="1"/>
  <c r="Z101" i="1"/>
  <c r="AA101" i="1"/>
  <c r="AB101" i="1"/>
  <c r="AC101" i="1"/>
  <c r="AD101" i="1"/>
  <c r="AE101" i="1"/>
  <c r="AF101" i="1"/>
  <c r="AG101" i="1"/>
  <c r="AH101" i="1"/>
  <c r="AI101" i="1"/>
  <c r="AJ101" i="1"/>
  <c r="AK101" i="1"/>
  <c r="AL101" i="1"/>
  <c r="AM101" i="1"/>
  <c r="AN101" i="1"/>
  <c r="AO101" i="1"/>
  <c r="AP101" i="1"/>
  <c r="AQ101" i="1"/>
  <c r="AR101" i="1"/>
  <c r="Z100" i="1"/>
  <c r="AA100" i="1"/>
  <c r="AB100" i="1"/>
  <c r="AC100" i="1"/>
  <c r="AD100" i="1"/>
  <c r="AE100" i="1"/>
  <c r="AF100" i="1"/>
  <c r="AG100" i="1"/>
  <c r="AH100" i="1"/>
  <c r="AI100" i="1"/>
  <c r="AJ100" i="1"/>
  <c r="AK100" i="1"/>
  <c r="AL100" i="1"/>
  <c r="AM100" i="1"/>
  <c r="AN100" i="1"/>
  <c r="AO100" i="1"/>
  <c r="AP100" i="1"/>
  <c r="AQ100" i="1"/>
  <c r="AR100" i="1"/>
  <c r="Z99" i="1"/>
  <c r="AA99" i="1"/>
  <c r="AB99" i="1"/>
  <c r="AC99" i="1"/>
  <c r="AD99" i="1"/>
  <c r="AE99" i="1"/>
  <c r="AF99" i="1"/>
  <c r="AG99" i="1"/>
  <c r="AH99" i="1"/>
  <c r="AI99" i="1"/>
  <c r="AJ99" i="1"/>
  <c r="AK99" i="1"/>
  <c r="AL99" i="1"/>
  <c r="AM99" i="1"/>
  <c r="AN99" i="1"/>
  <c r="AO99" i="1"/>
  <c r="AP99" i="1"/>
  <c r="AQ99" i="1"/>
  <c r="AR99" i="1"/>
  <c r="Z98" i="1"/>
  <c r="AA98" i="1"/>
  <c r="AB98" i="1"/>
  <c r="AC98" i="1"/>
  <c r="AD98" i="1"/>
  <c r="AE98" i="1"/>
  <c r="AF98" i="1"/>
  <c r="AG98" i="1"/>
  <c r="AH98" i="1"/>
  <c r="AI98" i="1"/>
  <c r="AJ98" i="1"/>
  <c r="AK98" i="1"/>
  <c r="AL98" i="1"/>
  <c r="AM98" i="1"/>
  <c r="AN98" i="1"/>
  <c r="AO98" i="1"/>
  <c r="AP98" i="1"/>
  <c r="AQ98" i="1"/>
  <c r="AR98" i="1"/>
  <c r="Z97" i="1"/>
  <c r="AA97" i="1"/>
  <c r="AB97" i="1"/>
  <c r="AC97" i="1"/>
  <c r="AD97" i="1"/>
  <c r="AE97" i="1"/>
  <c r="AF97" i="1"/>
  <c r="AG97" i="1"/>
  <c r="AH97" i="1"/>
  <c r="AI97" i="1"/>
  <c r="AJ97" i="1"/>
  <c r="AK97" i="1"/>
  <c r="AL97" i="1"/>
  <c r="AM97" i="1"/>
  <c r="AN97" i="1"/>
  <c r="AO97" i="1"/>
  <c r="AP97" i="1"/>
  <c r="AQ97" i="1"/>
  <c r="AR97" i="1"/>
  <c r="Z96" i="1"/>
  <c r="AA96" i="1"/>
  <c r="AB96" i="1"/>
  <c r="AC96" i="1"/>
  <c r="AD96" i="1"/>
  <c r="AE96" i="1"/>
  <c r="AF96" i="1"/>
  <c r="AG96" i="1"/>
  <c r="AH96" i="1"/>
  <c r="AI96" i="1"/>
  <c r="AJ96" i="1"/>
  <c r="AK96" i="1"/>
  <c r="AL96" i="1"/>
  <c r="AM96" i="1"/>
  <c r="AN96" i="1"/>
  <c r="AO96" i="1"/>
  <c r="AP96" i="1"/>
  <c r="AQ96" i="1"/>
  <c r="AR96" i="1"/>
  <c r="Z95" i="1"/>
  <c r="AA95" i="1"/>
  <c r="AB95" i="1"/>
  <c r="AC95" i="1"/>
  <c r="AD95" i="1"/>
  <c r="AE95" i="1"/>
  <c r="AF95" i="1"/>
  <c r="AG95" i="1"/>
  <c r="AH95" i="1"/>
  <c r="AI95" i="1"/>
  <c r="AJ95" i="1"/>
  <c r="AK95" i="1"/>
  <c r="AL95" i="1"/>
  <c r="AM95" i="1"/>
  <c r="AN95" i="1"/>
  <c r="AO95" i="1"/>
  <c r="AP95" i="1"/>
  <c r="AQ95" i="1"/>
  <c r="AR95" i="1"/>
  <c r="Z94" i="1"/>
  <c r="AA94" i="1"/>
  <c r="AB94" i="1"/>
  <c r="AC94" i="1"/>
  <c r="AD94" i="1"/>
  <c r="AE94" i="1"/>
  <c r="AF94" i="1"/>
  <c r="AG94" i="1"/>
  <c r="AH94" i="1"/>
  <c r="AI94" i="1"/>
  <c r="AJ94" i="1"/>
  <c r="AK94" i="1"/>
  <c r="AL94" i="1"/>
  <c r="AM94" i="1"/>
  <c r="AN94" i="1"/>
  <c r="AO94" i="1"/>
  <c r="AP94" i="1"/>
  <c r="AQ94" i="1"/>
  <c r="AR94" i="1"/>
  <c r="Z93" i="1"/>
  <c r="AA93" i="1"/>
  <c r="AB93" i="1"/>
  <c r="AC93" i="1"/>
  <c r="AD93" i="1"/>
  <c r="AE93" i="1"/>
  <c r="AF93" i="1"/>
  <c r="AG93" i="1"/>
  <c r="AH93" i="1"/>
  <c r="AI93" i="1"/>
  <c r="AJ93" i="1"/>
  <c r="AK93" i="1"/>
  <c r="AL93" i="1"/>
  <c r="AM93" i="1"/>
  <c r="AN93" i="1"/>
  <c r="AO93" i="1"/>
  <c r="AP93" i="1"/>
  <c r="AQ93" i="1"/>
  <c r="AR93" i="1"/>
  <c r="Z92" i="1"/>
  <c r="AA92" i="1"/>
  <c r="AB92" i="1"/>
  <c r="AC92" i="1"/>
  <c r="AD92" i="1"/>
  <c r="AE92" i="1"/>
  <c r="AF92" i="1"/>
  <c r="AG92" i="1"/>
  <c r="AH92" i="1"/>
  <c r="AI92" i="1"/>
  <c r="AJ92" i="1"/>
  <c r="AK92" i="1"/>
  <c r="AL92" i="1"/>
  <c r="AM92" i="1"/>
  <c r="AN92" i="1"/>
  <c r="AO92" i="1"/>
  <c r="AP92" i="1"/>
  <c r="AQ92" i="1"/>
  <c r="AR92" i="1"/>
  <c r="AS92" i="1" l="1"/>
  <c r="AS93" i="1"/>
  <c r="AS94" i="1"/>
  <c r="AS95" i="1"/>
  <c r="AS96" i="1"/>
  <c r="AS97" i="1"/>
  <c r="AS98" i="1"/>
  <c r="AS99" i="1"/>
  <c r="AS100" i="1"/>
  <c r="AS101" i="1"/>
  <c r="Z91" i="1"/>
  <c r="AA91" i="1"/>
  <c r="AB91" i="1"/>
  <c r="AC91" i="1"/>
  <c r="AD91" i="1"/>
  <c r="AE91" i="1"/>
  <c r="AF91" i="1"/>
  <c r="AG91" i="1"/>
  <c r="AH91" i="1"/>
  <c r="AI91" i="1"/>
  <c r="AJ91" i="1"/>
  <c r="AK91" i="1"/>
  <c r="AL91" i="1"/>
  <c r="AM91" i="1"/>
  <c r="AN91" i="1"/>
  <c r="AO91" i="1"/>
  <c r="AP91" i="1"/>
  <c r="AQ91" i="1"/>
  <c r="AR91" i="1"/>
  <c r="Z90" i="1"/>
  <c r="AA90" i="1"/>
  <c r="AB90" i="1"/>
  <c r="AC90" i="1"/>
  <c r="AD90" i="1"/>
  <c r="AE90" i="1"/>
  <c r="AF90" i="1"/>
  <c r="AG90" i="1"/>
  <c r="AH90" i="1"/>
  <c r="AI90" i="1"/>
  <c r="AJ90" i="1"/>
  <c r="AK90" i="1"/>
  <c r="AL90" i="1"/>
  <c r="AM90" i="1"/>
  <c r="AN90" i="1"/>
  <c r="AO90" i="1"/>
  <c r="AP90" i="1"/>
  <c r="AQ90" i="1"/>
  <c r="AR90" i="1"/>
  <c r="Z89" i="1"/>
  <c r="AA89" i="1"/>
  <c r="AB89" i="1"/>
  <c r="AC89" i="1"/>
  <c r="AD89" i="1"/>
  <c r="AE89" i="1"/>
  <c r="AF89" i="1"/>
  <c r="AG89" i="1"/>
  <c r="AH89" i="1"/>
  <c r="AI89" i="1"/>
  <c r="AJ89" i="1"/>
  <c r="AK89" i="1"/>
  <c r="AL89" i="1"/>
  <c r="AM89" i="1"/>
  <c r="AN89" i="1"/>
  <c r="AO89" i="1"/>
  <c r="AP89" i="1"/>
  <c r="AQ89" i="1"/>
  <c r="AR89" i="1"/>
  <c r="Z88" i="1"/>
  <c r="AA88" i="1"/>
  <c r="AB88" i="1"/>
  <c r="AC88" i="1"/>
  <c r="AD88" i="1"/>
  <c r="AE88" i="1"/>
  <c r="AF88" i="1"/>
  <c r="AG88" i="1"/>
  <c r="AH88" i="1"/>
  <c r="AI88" i="1"/>
  <c r="AJ88" i="1"/>
  <c r="AK88" i="1"/>
  <c r="AL88" i="1"/>
  <c r="AM88" i="1"/>
  <c r="AN88" i="1"/>
  <c r="AO88" i="1"/>
  <c r="AP88" i="1"/>
  <c r="AQ88" i="1"/>
  <c r="AR88" i="1"/>
  <c r="Z87" i="1"/>
  <c r="AA87" i="1"/>
  <c r="AB87" i="1"/>
  <c r="AC87" i="1"/>
  <c r="AD87" i="1"/>
  <c r="AE87" i="1"/>
  <c r="AF87" i="1"/>
  <c r="AG87" i="1"/>
  <c r="AH87" i="1"/>
  <c r="AI87" i="1"/>
  <c r="AJ87" i="1"/>
  <c r="AK87" i="1"/>
  <c r="AL87" i="1"/>
  <c r="AM87" i="1"/>
  <c r="AN87" i="1"/>
  <c r="AO87" i="1"/>
  <c r="AP87" i="1"/>
  <c r="AQ87" i="1"/>
  <c r="AR87" i="1"/>
  <c r="AS87" i="1" l="1"/>
  <c r="AS88" i="1"/>
  <c r="AS89" i="1"/>
  <c r="AS90" i="1"/>
  <c r="AS91" i="1"/>
  <c r="Z86" i="1"/>
  <c r="AA86" i="1"/>
  <c r="AB86" i="1"/>
  <c r="AC86" i="1"/>
  <c r="AD86" i="1"/>
  <c r="AE86" i="1"/>
  <c r="AF86" i="1"/>
  <c r="AG86" i="1"/>
  <c r="AH86" i="1"/>
  <c r="AI86" i="1"/>
  <c r="AJ86" i="1"/>
  <c r="AK86" i="1"/>
  <c r="AL86" i="1"/>
  <c r="AM86" i="1"/>
  <c r="AN86" i="1"/>
  <c r="AO86" i="1"/>
  <c r="AP86" i="1"/>
  <c r="AQ86" i="1"/>
  <c r="AR86" i="1"/>
  <c r="AS86" i="1" l="1"/>
  <c r="Z85" i="1"/>
  <c r="AA85" i="1"/>
  <c r="AB85" i="1"/>
  <c r="AC85" i="1"/>
  <c r="AD85" i="1"/>
  <c r="AE85" i="1"/>
  <c r="AF85" i="1"/>
  <c r="AG85" i="1"/>
  <c r="AH85" i="1"/>
  <c r="AI85" i="1"/>
  <c r="AJ85" i="1"/>
  <c r="AK85" i="1"/>
  <c r="AL85" i="1"/>
  <c r="AM85" i="1"/>
  <c r="AN85" i="1"/>
  <c r="AO85" i="1"/>
  <c r="AP85" i="1"/>
  <c r="AQ85" i="1"/>
  <c r="AR85" i="1"/>
  <c r="Z84" i="1"/>
  <c r="AA84" i="1"/>
  <c r="AB84" i="1"/>
  <c r="AC84" i="1"/>
  <c r="AD84" i="1"/>
  <c r="AE84" i="1"/>
  <c r="AF84" i="1"/>
  <c r="AG84" i="1"/>
  <c r="AH84" i="1"/>
  <c r="AI84" i="1"/>
  <c r="AJ84" i="1"/>
  <c r="AK84" i="1"/>
  <c r="AL84" i="1"/>
  <c r="AM84" i="1"/>
  <c r="AN84" i="1"/>
  <c r="AO84" i="1"/>
  <c r="AP84" i="1"/>
  <c r="AQ84" i="1"/>
  <c r="AR84" i="1"/>
  <c r="Z83" i="1"/>
  <c r="AA83" i="1"/>
  <c r="AB83" i="1"/>
  <c r="AC83" i="1"/>
  <c r="AD83" i="1"/>
  <c r="AE83" i="1"/>
  <c r="AF83" i="1"/>
  <c r="AG83" i="1"/>
  <c r="AH83" i="1"/>
  <c r="AI83" i="1"/>
  <c r="AJ83" i="1"/>
  <c r="AK83" i="1"/>
  <c r="AL83" i="1"/>
  <c r="AM83" i="1"/>
  <c r="AN83" i="1"/>
  <c r="AO83" i="1"/>
  <c r="AP83" i="1"/>
  <c r="AQ83" i="1"/>
  <c r="AR83" i="1"/>
  <c r="AS83" i="1" l="1"/>
  <c r="AS84" i="1"/>
  <c r="AS85" i="1"/>
  <c r="Z82" i="1"/>
  <c r="AA82" i="1"/>
  <c r="AB82" i="1"/>
  <c r="AC82" i="1"/>
  <c r="AD82" i="1"/>
  <c r="AE82" i="1"/>
  <c r="AF82" i="1"/>
  <c r="AG82" i="1"/>
  <c r="AH82" i="1"/>
  <c r="AI82" i="1"/>
  <c r="AJ82" i="1"/>
  <c r="AK82" i="1"/>
  <c r="AL82" i="1"/>
  <c r="AM82" i="1"/>
  <c r="AN82" i="1"/>
  <c r="AO82" i="1"/>
  <c r="AP82" i="1"/>
  <c r="AQ82" i="1"/>
  <c r="AR82" i="1"/>
  <c r="Z81" i="1"/>
  <c r="AA81" i="1"/>
  <c r="AB81" i="1"/>
  <c r="AC81" i="1"/>
  <c r="AD81" i="1"/>
  <c r="AE81" i="1"/>
  <c r="AF81" i="1"/>
  <c r="AG81" i="1"/>
  <c r="AH81" i="1"/>
  <c r="AI81" i="1"/>
  <c r="AJ81" i="1"/>
  <c r="AK81" i="1"/>
  <c r="AL81" i="1"/>
  <c r="AM81" i="1"/>
  <c r="AN81" i="1"/>
  <c r="AO81" i="1"/>
  <c r="AP81" i="1"/>
  <c r="AQ81" i="1"/>
  <c r="AR81" i="1"/>
  <c r="Z80" i="1"/>
  <c r="AA80" i="1"/>
  <c r="AB80" i="1"/>
  <c r="AC80" i="1"/>
  <c r="AD80" i="1"/>
  <c r="AE80" i="1"/>
  <c r="AF80" i="1"/>
  <c r="AG80" i="1"/>
  <c r="AH80" i="1"/>
  <c r="AI80" i="1"/>
  <c r="AJ80" i="1"/>
  <c r="AK80" i="1"/>
  <c r="AL80" i="1"/>
  <c r="AM80" i="1"/>
  <c r="AN80" i="1"/>
  <c r="AO80" i="1"/>
  <c r="AP80" i="1"/>
  <c r="AQ80" i="1"/>
  <c r="AR80" i="1"/>
  <c r="Z79" i="1"/>
  <c r="AA79" i="1"/>
  <c r="AB79" i="1"/>
  <c r="AC79" i="1"/>
  <c r="AD79" i="1"/>
  <c r="AE79" i="1"/>
  <c r="AF79" i="1"/>
  <c r="AG79" i="1"/>
  <c r="AH79" i="1"/>
  <c r="AI79" i="1"/>
  <c r="AJ79" i="1"/>
  <c r="AK79" i="1"/>
  <c r="AL79" i="1"/>
  <c r="AM79" i="1"/>
  <c r="AN79" i="1"/>
  <c r="AO79" i="1"/>
  <c r="AP79" i="1"/>
  <c r="AQ79" i="1"/>
  <c r="AR79" i="1"/>
  <c r="AS79" i="1" l="1"/>
  <c r="AS80" i="1"/>
  <c r="AS81" i="1"/>
  <c r="AS82" i="1"/>
  <c r="Z78" i="1"/>
  <c r="AA78" i="1"/>
  <c r="AB78" i="1"/>
  <c r="AC78" i="1"/>
  <c r="AD78" i="1"/>
  <c r="AE78" i="1"/>
  <c r="AF78" i="1"/>
  <c r="AG78" i="1"/>
  <c r="AH78" i="1"/>
  <c r="AI78" i="1"/>
  <c r="AJ78" i="1"/>
  <c r="AK78" i="1"/>
  <c r="AL78" i="1"/>
  <c r="AM78" i="1"/>
  <c r="AN78" i="1"/>
  <c r="AO78" i="1"/>
  <c r="AP78" i="1"/>
  <c r="AQ78" i="1"/>
  <c r="AR78" i="1"/>
  <c r="Z77" i="1"/>
  <c r="AA77" i="1"/>
  <c r="AB77" i="1"/>
  <c r="AC77" i="1"/>
  <c r="AD77" i="1"/>
  <c r="AE77" i="1"/>
  <c r="AF77" i="1"/>
  <c r="AG77" i="1"/>
  <c r="AH77" i="1"/>
  <c r="AI77" i="1"/>
  <c r="AJ77" i="1"/>
  <c r="AK77" i="1"/>
  <c r="AL77" i="1"/>
  <c r="AM77" i="1"/>
  <c r="AN77" i="1"/>
  <c r="AO77" i="1"/>
  <c r="AP77" i="1"/>
  <c r="AQ77" i="1"/>
  <c r="AR77" i="1"/>
  <c r="Z76" i="1"/>
  <c r="AA76" i="1"/>
  <c r="AB76" i="1"/>
  <c r="AC76" i="1"/>
  <c r="AD76" i="1"/>
  <c r="AE76" i="1"/>
  <c r="AF76" i="1"/>
  <c r="AG76" i="1"/>
  <c r="AH76" i="1"/>
  <c r="AI76" i="1"/>
  <c r="AJ76" i="1"/>
  <c r="AK76" i="1"/>
  <c r="AL76" i="1"/>
  <c r="AM76" i="1"/>
  <c r="AN76" i="1"/>
  <c r="AO76" i="1"/>
  <c r="AP76" i="1"/>
  <c r="AQ76" i="1"/>
  <c r="AR76" i="1"/>
  <c r="AS76" i="1" l="1"/>
  <c r="AS77" i="1"/>
  <c r="AS78" i="1"/>
  <c r="Z75" i="1"/>
  <c r="AA75" i="1"/>
  <c r="AB75" i="1"/>
  <c r="AC75" i="1"/>
  <c r="AD75" i="1"/>
  <c r="AE75" i="1"/>
  <c r="AF75" i="1"/>
  <c r="AG75" i="1"/>
  <c r="AH75" i="1"/>
  <c r="AI75" i="1"/>
  <c r="AJ75" i="1"/>
  <c r="AK75" i="1"/>
  <c r="AL75" i="1"/>
  <c r="AM75" i="1"/>
  <c r="AN75" i="1"/>
  <c r="AO75" i="1"/>
  <c r="AP75" i="1"/>
  <c r="AQ75" i="1"/>
  <c r="AR75" i="1"/>
  <c r="Z74" i="1"/>
  <c r="AA74" i="1"/>
  <c r="AB74" i="1"/>
  <c r="AC74" i="1"/>
  <c r="AD74" i="1"/>
  <c r="AE74" i="1"/>
  <c r="AF74" i="1"/>
  <c r="AG74" i="1"/>
  <c r="AH74" i="1"/>
  <c r="AI74" i="1"/>
  <c r="AJ74" i="1"/>
  <c r="AK74" i="1"/>
  <c r="AL74" i="1"/>
  <c r="AM74" i="1"/>
  <c r="AN74" i="1"/>
  <c r="AO74" i="1"/>
  <c r="AP74" i="1"/>
  <c r="AQ74" i="1"/>
  <c r="AR74" i="1"/>
  <c r="Z73" i="1"/>
  <c r="AA73" i="1"/>
  <c r="AB73" i="1"/>
  <c r="AC73" i="1"/>
  <c r="AD73" i="1"/>
  <c r="AE73" i="1"/>
  <c r="AF73" i="1"/>
  <c r="AG73" i="1"/>
  <c r="AH73" i="1"/>
  <c r="AI73" i="1"/>
  <c r="AJ73" i="1"/>
  <c r="AK73" i="1"/>
  <c r="AL73" i="1"/>
  <c r="AM73" i="1"/>
  <c r="AN73" i="1"/>
  <c r="AO73" i="1"/>
  <c r="AP73" i="1"/>
  <c r="AQ73" i="1"/>
  <c r="AR73" i="1"/>
  <c r="Z72" i="1"/>
  <c r="AA72" i="1"/>
  <c r="AB72" i="1"/>
  <c r="AC72" i="1"/>
  <c r="AD72" i="1"/>
  <c r="AE72" i="1"/>
  <c r="AF72" i="1"/>
  <c r="AG72" i="1"/>
  <c r="AH72" i="1"/>
  <c r="AI72" i="1"/>
  <c r="AJ72" i="1"/>
  <c r="AK72" i="1"/>
  <c r="AL72" i="1"/>
  <c r="AM72" i="1"/>
  <c r="AN72" i="1"/>
  <c r="AO72" i="1"/>
  <c r="AP72" i="1"/>
  <c r="AQ72" i="1"/>
  <c r="AR72" i="1"/>
  <c r="Z71" i="1"/>
  <c r="AA71" i="1"/>
  <c r="AB71" i="1"/>
  <c r="AC71" i="1"/>
  <c r="AD71" i="1"/>
  <c r="AE71" i="1"/>
  <c r="AF71" i="1"/>
  <c r="AG71" i="1"/>
  <c r="AH71" i="1"/>
  <c r="AI71" i="1"/>
  <c r="AJ71" i="1"/>
  <c r="AK71" i="1"/>
  <c r="AL71" i="1"/>
  <c r="AM71" i="1"/>
  <c r="AN71" i="1"/>
  <c r="AO71" i="1"/>
  <c r="AP71" i="1"/>
  <c r="AQ71" i="1"/>
  <c r="AR71" i="1"/>
  <c r="AS71" i="1" l="1"/>
  <c r="AS72" i="1"/>
  <c r="AS73" i="1"/>
  <c r="AS74" i="1"/>
  <c r="AS75" i="1"/>
  <c r="Z70" i="1"/>
  <c r="AA70" i="1"/>
  <c r="AB70" i="1"/>
  <c r="AC70" i="1"/>
  <c r="AD70" i="1"/>
  <c r="AE70" i="1"/>
  <c r="AF70" i="1"/>
  <c r="AG70" i="1"/>
  <c r="AH70" i="1"/>
  <c r="AI70" i="1"/>
  <c r="AJ70" i="1"/>
  <c r="AK70" i="1"/>
  <c r="AL70" i="1"/>
  <c r="AM70" i="1"/>
  <c r="AN70" i="1"/>
  <c r="AO70" i="1"/>
  <c r="AP70" i="1"/>
  <c r="AQ70" i="1"/>
  <c r="AR70" i="1"/>
  <c r="Z69" i="1"/>
  <c r="AA69" i="1"/>
  <c r="AB69" i="1"/>
  <c r="AC69" i="1"/>
  <c r="AD69" i="1"/>
  <c r="AE69" i="1"/>
  <c r="AF69" i="1"/>
  <c r="AG69" i="1"/>
  <c r="AH69" i="1"/>
  <c r="AI69" i="1"/>
  <c r="AJ69" i="1"/>
  <c r="AK69" i="1"/>
  <c r="AL69" i="1"/>
  <c r="AM69" i="1"/>
  <c r="AN69" i="1"/>
  <c r="AO69" i="1"/>
  <c r="AP69" i="1"/>
  <c r="AQ69" i="1"/>
  <c r="AR69" i="1"/>
  <c r="AS69" i="1" l="1"/>
  <c r="AS70" i="1"/>
  <c r="Z68" i="1"/>
  <c r="AA68" i="1"/>
  <c r="AB68" i="1"/>
  <c r="AC68" i="1"/>
  <c r="AD68" i="1"/>
  <c r="AE68" i="1"/>
  <c r="AF68" i="1"/>
  <c r="AG68" i="1"/>
  <c r="AH68" i="1"/>
  <c r="AI68" i="1"/>
  <c r="AJ68" i="1"/>
  <c r="AK68" i="1"/>
  <c r="AL68" i="1"/>
  <c r="AM68" i="1"/>
  <c r="AN68" i="1"/>
  <c r="AO68" i="1"/>
  <c r="AP68" i="1"/>
  <c r="AQ68" i="1"/>
  <c r="AR68" i="1"/>
  <c r="Z67" i="1"/>
  <c r="AA67" i="1"/>
  <c r="AB67" i="1"/>
  <c r="AC67" i="1"/>
  <c r="AD67" i="1"/>
  <c r="AE67" i="1"/>
  <c r="AF67" i="1"/>
  <c r="AG67" i="1"/>
  <c r="AH67" i="1"/>
  <c r="AI67" i="1"/>
  <c r="AJ67" i="1"/>
  <c r="AK67" i="1"/>
  <c r="AL67" i="1"/>
  <c r="AM67" i="1"/>
  <c r="AN67" i="1"/>
  <c r="AO67" i="1"/>
  <c r="AP67" i="1"/>
  <c r="AQ67" i="1"/>
  <c r="AR67" i="1"/>
  <c r="Z66" i="1"/>
  <c r="AA66" i="1"/>
  <c r="AB66" i="1"/>
  <c r="AC66" i="1"/>
  <c r="AD66" i="1"/>
  <c r="AE66" i="1"/>
  <c r="AF66" i="1"/>
  <c r="AG66" i="1"/>
  <c r="AH66" i="1"/>
  <c r="AI66" i="1"/>
  <c r="AJ66" i="1"/>
  <c r="AK66" i="1"/>
  <c r="AL66" i="1"/>
  <c r="AM66" i="1"/>
  <c r="AN66" i="1"/>
  <c r="AO66" i="1"/>
  <c r="AP66" i="1"/>
  <c r="AQ66" i="1"/>
  <c r="AR66" i="1"/>
  <c r="AS66" i="1" l="1"/>
  <c r="AS67" i="1"/>
  <c r="AS68" i="1"/>
  <c r="Z65" i="1"/>
  <c r="AA65" i="1"/>
  <c r="AB65" i="1"/>
  <c r="AC65" i="1"/>
  <c r="AD65" i="1"/>
  <c r="AE65" i="1"/>
  <c r="AF65" i="1"/>
  <c r="AG65" i="1"/>
  <c r="AH65" i="1"/>
  <c r="AI65" i="1"/>
  <c r="AJ65" i="1"/>
  <c r="AK65" i="1"/>
  <c r="AL65" i="1"/>
  <c r="AM65" i="1"/>
  <c r="AN65" i="1"/>
  <c r="AO65" i="1"/>
  <c r="AP65" i="1"/>
  <c r="AQ65" i="1"/>
  <c r="AR65" i="1"/>
  <c r="Z64" i="1"/>
  <c r="AA64" i="1"/>
  <c r="AB64" i="1"/>
  <c r="AC64" i="1"/>
  <c r="AD64" i="1"/>
  <c r="AE64" i="1"/>
  <c r="AF64" i="1"/>
  <c r="AG64" i="1"/>
  <c r="AH64" i="1"/>
  <c r="AI64" i="1"/>
  <c r="AJ64" i="1"/>
  <c r="AK64" i="1"/>
  <c r="AL64" i="1"/>
  <c r="AM64" i="1"/>
  <c r="AN64" i="1"/>
  <c r="AO64" i="1"/>
  <c r="AP64" i="1"/>
  <c r="AQ64" i="1"/>
  <c r="AR64" i="1"/>
  <c r="Z63" i="1"/>
  <c r="AA63" i="1"/>
  <c r="AB63" i="1"/>
  <c r="AC63" i="1"/>
  <c r="AD63" i="1"/>
  <c r="AE63" i="1"/>
  <c r="AF63" i="1"/>
  <c r="AG63" i="1"/>
  <c r="AH63" i="1"/>
  <c r="AI63" i="1"/>
  <c r="AJ63" i="1"/>
  <c r="AK63" i="1"/>
  <c r="AL63" i="1"/>
  <c r="AM63" i="1"/>
  <c r="AN63" i="1"/>
  <c r="AO63" i="1"/>
  <c r="AP63" i="1"/>
  <c r="AQ63" i="1"/>
  <c r="AR63" i="1"/>
  <c r="Z62" i="1"/>
  <c r="AA62" i="1"/>
  <c r="AB62" i="1"/>
  <c r="AC62" i="1"/>
  <c r="AD62" i="1"/>
  <c r="AE62" i="1"/>
  <c r="AF62" i="1"/>
  <c r="AG62" i="1"/>
  <c r="AH62" i="1"/>
  <c r="AI62" i="1"/>
  <c r="AJ62" i="1"/>
  <c r="AK62" i="1"/>
  <c r="AL62" i="1"/>
  <c r="AM62" i="1"/>
  <c r="AN62" i="1"/>
  <c r="AO62" i="1"/>
  <c r="AP62" i="1"/>
  <c r="AQ62" i="1"/>
  <c r="AR62" i="1"/>
  <c r="Z61" i="1"/>
  <c r="AA61" i="1"/>
  <c r="AB61" i="1"/>
  <c r="AC61" i="1"/>
  <c r="AD61" i="1"/>
  <c r="AE61" i="1"/>
  <c r="AF61" i="1"/>
  <c r="AG61" i="1"/>
  <c r="AH61" i="1"/>
  <c r="AI61" i="1"/>
  <c r="AJ61" i="1"/>
  <c r="AK61" i="1"/>
  <c r="AL61" i="1"/>
  <c r="AM61" i="1"/>
  <c r="AN61" i="1"/>
  <c r="AO61" i="1"/>
  <c r="AP61" i="1"/>
  <c r="AQ61" i="1"/>
  <c r="AR61" i="1"/>
  <c r="Z60" i="1"/>
  <c r="AA60" i="1"/>
  <c r="AB60" i="1"/>
  <c r="AC60" i="1"/>
  <c r="AD60" i="1"/>
  <c r="AE60" i="1"/>
  <c r="AF60" i="1"/>
  <c r="AG60" i="1"/>
  <c r="AH60" i="1"/>
  <c r="AI60" i="1"/>
  <c r="AJ60" i="1"/>
  <c r="AK60" i="1"/>
  <c r="AL60" i="1"/>
  <c r="AM60" i="1"/>
  <c r="AN60" i="1"/>
  <c r="AO60" i="1"/>
  <c r="AP60" i="1"/>
  <c r="AQ60" i="1"/>
  <c r="AR60" i="1"/>
  <c r="Z59" i="1"/>
  <c r="AA59" i="1"/>
  <c r="AB59" i="1"/>
  <c r="AC59" i="1"/>
  <c r="AD59" i="1"/>
  <c r="AE59" i="1"/>
  <c r="AF59" i="1"/>
  <c r="AG59" i="1"/>
  <c r="AH59" i="1"/>
  <c r="AI59" i="1"/>
  <c r="AJ59" i="1"/>
  <c r="AK59" i="1"/>
  <c r="AL59" i="1"/>
  <c r="AM59" i="1"/>
  <c r="AN59" i="1"/>
  <c r="AO59" i="1"/>
  <c r="AP59" i="1"/>
  <c r="AQ59" i="1"/>
  <c r="AR59" i="1"/>
  <c r="Z58" i="1"/>
  <c r="AA58" i="1"/>
  <c r="AB58" i="1"/>
  <c r="AC58" i="1"/>
  <c r="AD58" i="1"/>
  <c r="AE58" i="1"/>
  <c r="AF58" i="1"/>
  <c r="AG58" i="1"/>
  <c r="AH58" i="1"/>
  <c r="AI58" i="1"/>
  <c r="AJ58" i="1"/>
  <c r="AK58" i="1"/>
  <c r="AL58" i="1"/>
  <c r="AM58" i="1"/>
  <c r="AN58" i="1"/>
  <c r="AO58" i="1"/>
  <c r="AP58" i="1"/>
  <c r="AQ58" i="1"/>
  <c r="AR58" i="1"/>
  <c r="AS58" i="1" l="1"/>
  <c r="AS59" i="1"/>
  <c r="AS60" i="1"/>
  <c r="AS61" i="1"/>
  <c r="AS62" i="1"/>
  <c r="AS63" i="1"/>
  <c r="AS64" i="1"/>
  <c r="AS65" i="1"/>
  <c r="Z57" i="1"/>
  <c r="AA57" i="1"/>
  <c r="AB57" i="1"/>
  <c r="AC57" i="1"/>
  <c r="AD57" i="1"/>
  <c r="AE57" i="1"/>
  <c r="AF57" i="1"/>
  <c r="AG57" i="1"/>
  <c r="AH57" i="1"/>
  <c r="AI57" i="1"/>
  <c r="AJ57" i="1"/>
  <c r="AK57" i="1"/>
  <c r="AL57" i="1"/>
  <c r="AM57" i="1"/>
  <c r="AN57" i="1"/>
  <c r="AO57" i="1"/>
  <c r="AP57" i="1"/>
  <c r="AQ57" i="1"/>
  <c r="AR57" i="1"/>
  <c r="AS57" i="1" l="1"/>
  <c r="Z56" i="1"/>
  <c r="AA56" i="1"/>
  <c r="AB56" i="1"/>
  <c r="AC56" i="1"/>
  <c r="AD56" i="1"/>
  <c r="AE56" i="1"/>
  <c r="AF56" i="1"/>
  <c r="AG56" i="1"/>
  <c r="AH56" i="1"/>
  <c r="AI56" i="1"/>
  <c r="AJ56" i="1"/>
  <c r="AK56" i="1"/>
  <c r="AL56" i="1"/>
  <c r="AM56" i="1"/>
  <c r="AN56" i="1"/>
  <c r="AO56" i="1"/>
  <c r="AP56" i="1"/>
  <c r="AQ56" i="1"/>
  <c r="AR56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AN55" i="1"/>
  <c r="AO55" i="1"/>
  <c r="AP55" i="1"/>
  <c r="AQ55" i="1"/>
  <c r="AR55" i="1"/>
  <c r="Z54" i="1"/>
  <c r="AA54" i="1"/>
  <c r="AB54" i="1"/>
  <c r="AC54" i="1"/>
  <c r="AD54" i="1"/>
  <c r="AE54" i="1"/>
  <c r="AF54" i="1"/>
  <c r="AG54" i="1"/>
  <c r="AH54" i="1"/>
  <c r="AI54" i="1"/>
  <c r="AJ54" i="1"/>
  <c r="AK54" i="1"/>
  <c r="AL54" i="1"/>
  <c r="AM54" i="1"/>
  <c r="AN54" i="1"/>
  <c r="AO54" i="1"/>
  <c r="AP54" i="1"/>
  <c r="AQ54" i="1"/>
  <c r="AR54" i="1"/>
  <c r="Z53" i="1"/>
  <c r="AA53" i="1"/>
  <c r="AB53" i="1"/>
  <c r="AC53" i="1"/>
  <c r="AD53" i="1"/>
  <c r="AE53" i="1"/>
  <c r="AF53" i="1"/>
  <c r="AG53" i="1"/>
  <c r="AH53" i="1"/>
  <c r="AI53" i="1"/>
  <c r="AJ53" i="1"/>
  <c r="AK53" i="1"/>
  <c r="AL53" i="1"/>
  <c r="AM53" i="1"/>
  <c r="AN53" i="1"/>
  <c r="AO53" i="1"/>
  <c r="AP53" i="1"/>
  <c r="AQ53" i="1"/>
  <c r="AR53" i="1"/>
  <c r="Z52" i="1"/>
  <c r="AA52" i="1"/>
  <c r="AB52" i="1"/>
  <c r="AC52" i="1"/>
  <c r="AD52" i="1"/>
  <c r="AE52" i="1"/>
  <c r="AF52" i="1"/>
  <c r="AG52" i="1"/>
  <c r="AH52" i="1"/>
  <c r="AI52" i="1"/>
  <c r="AJ52" i="1"/>
  <c r="AK52" i="1"/>
  <c r="AL52" i="1"/>
  <c r="AM52" i="1"/>
  <c r="AN52" i="1"/>
  <c r="AO52" i="1"/>
  <c r="AP52" i="1"/>
  <c r="AQ52" i="1"/>
  <c r="AR52" i="1"/>
  <c r="AS52" i="1" l="1"/>
  <c r="AS53" i="1"/>
  <c r="AS54" i="1"/>
  <c r="AS55" i="1"/>
  <c r="AS56" i="1"/>
  <c r="Z51" i="1"/>
  <c r="AA51" i="1"/>
  <c r="AB51" i="1"/>
  <c r="AC51" i="1"/>
  <c r="AD51" i="1"/>
  <c r="AE51" i="1"/>
  <c r="AF51" i="1"/>
  <c r="AG51" i="1"/>
  <c r="AH51" i="1"/>
  <c r="AI51" i="1"/>
  <c r="AJ51" i="1"/>
  <c r="AK51" i="1"/>
  <c r="AL51" i="1"/>
  <c r="AM51" i="1"/>
  <c r="AN51" i="1"/>
  <c r="AO51" i="1"/>
  <c r="AP51" i="1"/>
  <c r="AQ51" i="1"/>
  <c r="AR51" i="1"/>
  <c r="Z50" i="1"/>
  <c r="AA50" i="1"/>
  <c r="AB50" i="1"/>
  <c r="AC50" i="1"/>
  <c r="AD50" i="1"/>
  <c r="AE50" i="1"/>
  <c r="AF50" i="1"/>
  <c r="AG50" i="1"/>
  <c r="AH50" i="1"/>
  <c r="AI50" i="1"/>
  <c r="AJ50" i="1"/>
  <c r="AK50" i="1"/>
  <c r="AL50" i="1"/>
  <c r="AM50" i="1"/>
  <c r="AN50" i="1"/>
  <c r="AO50" i="1"/>
  <c r="AP50" i="1"/>
  <c r="AQ50" i="1"/>
  <c r="AR50" i="1"/>
  <c r="Z49" i="1"/>
  <c r="AA49" i="1"/>
  <c r="AB49" i="1"/>
  <c r="AC49" i="1"/>
  <c r="AD49" i="1"/>
  <c r="AE49" i="1"/>
  <c r="AF49" i="1"/>
  <c r="AG49" i="1"/>
  <c r="AH49" i="1"/>
  <c r="AI49" i="1"/>
  <c r="AJ49" i="1"/>
  <c r="AK49" i="1"/>
  <c r="AL49" i="1"/>
  <c r="AM49" i="1"/>
  <c r="AN49" i="1"/>
  <c r="AO49" i="1"/>
  <c r="AP49" i="1"/>
  <c r="AQ49" i="1"/>
  <c r="AR49" i="1"/>
  <c r="Z48" i="1"/>
  <c r="AA48" i="1"/>
  <c r="AB48" i="1"/>
  <c r="AC48" i="1"/>
  <c r="AD48" i="1"/>
  <c r="AE48" i="1"/>
  <c r="AF48" i="1"/>
  <c r="AG48" i="1"/>
  <c r="AH48" i="1"/>
  <c r="AI48" i="1"/>
  <c r="AJ48" i="1"/>
  <c r="AK48" i="1"/>
  <c r="AL48" i="1"/>
  <c r="AM48" i="1"/>
  <c r="AN48" i="1"/>
  <c r="AO48" i="1"/>
  <c r="AP48" i="1"/>
  <c r="AQ48" i="1"/>
  <c r="AR48" i="1"/>
  <c r="Z47" i="1"/>
  <c r="AA47" i="1"/>
  <c r="AB47" i="1"/>
  <c r="AC47" i="1"/>
  <c r="AD47" i="1"/>
  <c r="AE47" i="1"/>
  <c r="AF47" i="1"/>
  <c r="AG47" i="1"/>
  <c r="AH47" i="1"/>
  <c r="AI47" i="1"/>
  <c r="AJ47" i="1"/>
  <c r="AK47" i="1"/>
  <c r="AL47" i="1"/>
  <c r="AM47" i="1"/>
  <c r="AN47" i="1"/>
  <c r="AO47" i="1"/>
  <c r="AP47" i="1"/>
  <c r="AQ47" i="1"/>
  <c r="AR47" i="1"/>
  <c r="Z46" i="1"/>
  <c r="AA46" i="1"/>
  <c r="AB46" i="1"/>
  <c r="AC46" i="1"/>
  <c r="AD46" i="1"/>
  <c r="AE46" i="1"/>
  <c r="AF46" i="1"/>
  <c r="AG46" i="1"/>
  <c r="AH46" i="1"/>
  <c r="AI46" i="1"/>
  <c r="AJ46" i="1"/>
  <c r="AK46" i="1"/>
  <c r="AL46" i="1"/>
  <c r="AM46" i="1"/>
  <c r="AN46" i="1"/>
  <c r="AO46" i="1"/>
  <c r="AP46" i="1"/>
  <c r="AQ46" i="1"/>
  <c r="AR46" i="1"/>
  <c r="Z45" i="1"/>
  <c r="AA45" i="1"/>
  <c r="AB45" i="1"/>
  <c r="AC45" i="1"/>
  <c r="AD45" i="1"/>
  <c r="AE45" i="1"/>
  <c r="AF45" i="1"/>
  <c r="AG45" i="1"/>
  <c r="AH45" i="1"/>
  <c r="AI45" i="1"/>
  <c r="AJ45" i="1"/>
  <c r="AK45" i="1"/>
  <c r="AL45" i="1"/>
  <c r="AM45" i="1"/>
  <c r="AN45" i="1"/>
  <c r="AO45" i="1"/>
  <c r="AP45" i="1"/>
  <c r="AQ45" i="1"/>
  <c r="AR45" i="1"/>
  <c r="Z44" i="1"/>
  <c r="AA44" i="1"/>
  <c r="AB44" i="1"/>
  <c r="AC44" i="1"/>
  <c r="AD44" i="1"/>
  <c r="AE44" i="1"/>
  <c r="AF44" i="1"/>
  <c r="AG44" i="1"/>
  <c r="AH44" i="1"/>
  <c r="AI44" i="1"/>
  <c r="AJ44" i="1"/>
  <c r="AK44" i="1"/>
  <c r="AL44" i="1"/>
  <c r="AM44" i="1"/>
  <c r="AN44" i="1"/>
  <c r="AO44" i="1"/>
  <c r="AP44" i="1"/>
  <c r="AQ44" i="1"/>
  <c r="AR44" i="1"/>
  <c r="Z43" i="1"/>
  <c r="AA43" i="1"/>
  <c r="AB43" i="1"/>
  <c r="AC43" i="1"/>
  <c r="AD43" i="1"/>
  <c r="AE43" i="1"/>
  <c r="AF43" i="1"/>
  <c r="AG43" i="1"/>
  <c r="AH43" i="1"/>
  <c r="AI43" i="1"/>
  <c r="AJ43" i="1"/>
  <c r="AK43" i="1"/>
  <c r="AL43" i="1"/>
  <c r="AM43" i="1"/>
  <c r="AN43" i="1"/>
  <c r="AO43" i="1"/>
  <c r="AP43" i="1"/>
  <c r="AQ43" i="1"/>
  <c r="AR43" i="1"/>
  <c r="Z42" i="1"/>
  <c r="AA42" i="1"/>
  <c r="AB42" i="1"/>
  <c r="AC42" i="1"/>
  <c r="AD42" i="1"/>
  <c r="AE42" i="1"/>
  <c r="AF42" i="1"/>
  <c r="AG42" i="1"/>
  <c r="AH42" i="1"/>
  <c r="AI42" i="1"/>
  <c r="AJ42" i="1"/>
  <c r="AK42" i="1"/>
  <c r="AL42" i="1"/>
  <c r="AM42" i="1"/>
  <c r="AN42" i="1"/>
  <c r="AO42" i="1"/>
  <c r="AP42" i="1"/>
  <c r="AQ42" i="1"/>
  <c r="AR42" i="1"/>
  <c r="Z41" i="1"/>
  <c r="AA41" i="1"/>
  <c r="AB41" i="1"/>
  <c r="AC41" i="1"/>
  <c r="AD41" i="1"/>
  <c r="AE41" i="1"/>
  <c r="AF41" i="1"/>
  <c r="AG41" i="1"/>
  <c r="AH41" i="1"/>
  <c r="AI41" i="1"/>
  <c r="AJ41" i="1"/>
  <c r="AK41" i="1"/>
  <c r="AL41" i="1"/>
  <c r="AM41" i="1"/>
  <c r="AN41" i="1"/>
  <c r="AO41" i="1"/>
  <c r="AP41" i="1"/>
  <c r="AQ41" i="1"/>
  <c r="AR41" i="1"/>
  <c r="Z40" i="1"/>
  <c r="AA40" i="1"/>
  <c r="AB40" i="1"/>
  <c r="AC40" i="1"/>
  <c r="AD40" i="1"/>
  <c r="AE40" i="1"/>
  <c r="AF40" i="1"/>
  <c r="AG40" i="1"/>
  <c r="AH40" i="1"/>
  <c r="AI40" i="1"/>
  <c r="AJ40" i="1"/>
  <c r="AK40" i="1"/>
  <c r="AL40" i="1"/>
  <c r="AM40" i="1"/>
  <c r="AN40" i="1"/>
  <c r="AO40" i="1"/>
  <c r="AP40" i="1"/>
  <c r="AQ40" i="1"/>
  <c r="AR40" i="1"/>
  <c r="Z39" i="1"/>
  <c r="AA39" i="1"/>
  <c r="AB39" i="1"/>
  <c r="AC39" i="1"/>
  <c r="AD39" i="1"/>
  <c r="AE39" i="1"/>
  <c r="AF39" i="1"/>
  <c r="AG39" i="1"/>
  <c r="AH39" i="1"/>
  <c r="AI39" i="1"/>
  <c r="AJ39" i="1"/>
  <c r="AK39" i="1"/>
  <c r="AL39" i="1"/>
  <c r="AM39" i="1"/>
  <c r="AN39" i="1"/>
  <c r="AO39" i="1"/>
  <c r="AP39" i="1"/>
  <c r="AQ39" i="1"/>
  <c r="AR39" i="1"/>
  <c r="Z38" i="1"/>
  <c r="AA38" i="1"/>
  <c r="AB38" i="1"/>
  <c r="AC38" i="1"/>
  <c r="AD38" i="1"/>
  <c r="AE38" i="1"/>
  <c r="AF38" i="1"/>
  <c r="AG38" i="1"/>
  <c r="AH38" i="1"/>
  <c r="AI38" i="1"/>
  <c r="AJ38" i="1"/>
  <c r="AK38" i="1"/>
  <c r="AL38" i="1"/>
  <c r="AM38" i="1"/>
  <c r="AN38" i="1"/>
  <c r="AO38" i="1"/>
  <c r="AP38" i="1"/>
  <c r="AQ38" i="1"/>
  <c r="AR38" i="1"/>
  <c r="Z37" i="1"/>
  <c r="AA37" i="1"/>
  <c r="AB37" i="1"/>
  <c r="AC37" i="1"/>
  <c r="AD37" i="1"/>
  <c r="AE37" i="1"/>
  <c r="AF37" i="1"/>
  <c r="AG37" i="1"/>
  <c r="AH37" i="1"/>
  <c r="AI37" i="1"/>
  <c r="AJ37" i="1"/>
  <c r="AK37" i="1"/>
  <c r="AL37" i="1"/>
  <c r="AM37" i="1"/>
  <c r="AN37" i="1"/>
  <c r="AO37" i="1"/>
  <c r="AP37" i="1"/>
  <c r="AQ37" i="1"/>
  <c r="AR37" i="1"/>
  <c r="Z36" i="1"/>
  <c r="AA36" i="1"/>
  <c r="AB36" i="1"/>
  <c r="AC36" i="1"/>
  <c r="AD36" i="1"/>
  <c r="AE36" i="1"/>
  <c r="AF36" i="1"/>
  <c r="AG36" i="1"/>
  <c r="AH36" i="1"/>
  <c r="AI36" i="1"/>
  <c r="AJ36" i="1"/>
  <c r="AK36" i="1"/>
  <c r="AL36" i="1"/>
  <c r="AM36" i="1"/>
  <c r="AN36" i="1"/>
  <c r="AO36" i="1"/>
  <c r="AP36" i="1"/>
  <c r="AQ36" i="1"/>
  <c r="AR36" i="1"/>
  <c r="AS36" i="1" l="1"/>
  <c r="AS37" i="1"/>
  <c r="AS38" i="1"/>
  <c r="AS39" i="1"/>
  <c r="AS40" i="1"/>
  <c r="AS41" i="1"/>
  <c r="AS42" i="1"/>
  <c r="AS43" i="1"/>
  <c r="AS44" i="1"/>
  <c r="AS45" i="1"/>
  <c r="AS46" i="1"/>
  <c r="AS47" i="1"/>
  <c r="AS48" i="1"/>
  <c r="AS49" i="1"/>
  <c r="AS50" i="1"/>
  <c r="AS51" i="1"/>
  <c r="Z35" i="1"/>
  <c r="AA35" i="1"/>
  <c r="AB35" i="1"/>
  <c r="AC35" i="1"/>
  <c r="AD35" i="1"/>
  <c r="AE35" i="1"/>
  <c r="AF35" i="1"/>
  <c r="AG35" i="1"/>
  <c r="AH35" i="1"/>
  <c r="AI35" i="1"/>
  <c r="AJ35" i="1"/>
  <c r="AK35" i="1"/>
  <c r="AL35" i="1"/>
  <c r="AM35" i="1"/>
  <c r="AN35" i="1"/>
  <c r="AO35" i="1"/>
  <c r="AP35" i="1"/>
  <c r="AQ35" i="1"/>
  <c r="AR35" i="1"/>
  <c r="Z34" i="1"/>
  <c r="AA34" i="1"/>
  <c r="AB34" i="1"/>
  <c r="AC34" i="1"/>
  <c r="AD34" i="1"/>
  <c r="AE34" i="1"/>
  <c r="AF34" i="1"/>
  <c r="AG34" i="1"/>
  <c r="AH34" i="1"/>
  <c r="AI34" i="1"/>
  <c r="AJ34" i="1"/>
  <c r="AK34" i="1"/>
  <c r="AL34" i="1"/>
  <c r="AM34" i="1"/>
  <c r="AN34" i="1"/>
  <c r="AO34" i="1"/>
  <c r="AP34" i="1"/>
  <c r="AQ34" i="1"/>
  <c r="AR34" i="1"/>
  <c r="Z33" i="1"/>
  <c r="AA33" i="1"/>
  <c r="AB33" i="1"/>
  <c r="AC33" i="1"/>
  <c r="AD33" i="1"/>
  <c r="AE33" i="1"/>
  <c r="AF33" i="1"/>
  <c r="AG33" i="1"/>
  <c r="AH33" i="1"/>
  <c r="AI33" i="1"/>
  <c r="AJ33" i="1"/>
  <c r="AK33" i="1"/>
  <c r="AL33" i="1"/>
  <c r="AM33" i="1"/>
  <c r="AN33" i="1"/>
  <c r="AO33" i="1"/>
  <c r="AP33" i="1"/>
  <c r="AQ33" i="1"/>
  <c r="AR33" i="1"/>
  <c r="Z32" i="1"/>
  <c r="AA32" i="1"/>
  <c r="AB32" i="1"/>
  <c r="AC32" i="1"/>
  <c r="AD32" i="1"/>
  <c r="AE32" i="1"/>
  <c r="AF32" i="1"/>
  <c r="AG32" i="1"/>
  <c r="AH32" i="1"/>
  <c r="AI32" i="1"/>
  <c r="AJ32" i="1"/>
  <c r="AK32" i="1"/>
  <c r="AL32" i="1"/>
  <c r="AM32" i="1"/>
  <c r="AN32" i="1"/>
  <c r="AO32" i="1"/>
  <c r="AP32" i="1"/>
  <c r="AQ32" i="1"/>
  <c r="AR32" i="1"/>
  <c r="AS32" i="1" l="1"/>
  <c r="AS33" i="1"/>
  <c r="AS34" i="1"/>
  <c r="AS35" i="1"/>
  <c r="Z31" i="1"/>
  <c r="AA31" i="1"/>
  <c r="AB31" i="1"/>
  <c r="AC31" i="1"/>
  <c r="AD31" i="1"/>
  <c r="AE31" i="1"/>
  <c r="AF31" i="1"/>
  <c r="AG31" i="1"/>
  <c r="AH31" i="1"/>
  <c r="AI31" i="1"/>
  <c r="AJ31" i="1"/>
  <c r="AK31" i="1"/>
  <c r="AL31" i="1"/>
  <c r="AM31" i="1"/>
  <c r="AN31" i="1"/>
  <c r="AO31" i="1"/>
  <c r="AP31" i="1"/>
  <c r="AQ31" i="1"/>
  <c r="AR31" i="1"/>
  <c r="Z30" i="1"/>
  <c r="AA30" i="1"/>
  <c r="AB30" i="1"/>
  <c r="AC30" i="1"/>
  <c r="AD30" i="1"/>
  <c r="AE30" i="1"/>
  <c r="AF30" i="1"/>
  <c r="AG30" i="1"/>
  <c r="AH30" i="1"/>
  <c r="AI30" i="1"/>
  <c r="AJ30" i="1"/>
  <c r="AK30" i="1"/>
  <c r="AL30" i="1"/>
  <c r="AM30" i="1"/>
  <c r="AN30" i="1"/>
  <c r="AO30" i="1"/>
  <c r="AP30" i="1"/>
  <c r="AQ30" i="1"/>
  <c r="AR30" i="1"/>
  <c r="Z29" i="1"/>
  <c r="AA29" i="1"/>
  <c r="AB29" i="1"/>
  <c r="AC29" i="1"/>
  <c r="AD29" i="1"/>
  <c r="AE29" i="1"/>
  <c r="AF29" i="1"/>
  <c r="AG29" i="1"/>
  <c r="AH29" i="1"/>
  <c r="AI29" i="1"/>
  <c r="AJ29" i="1"/>
  <c r="AK29" i="1"/>
  <c r="AL29" i="1"/>
  <c r="AM29" i="1"/>
  <c r="AN29" i="1"/>
  <c r="AO29" i="1"/>
  <c r="AP29" i="1"/>
  <c r="AQ29" i="1"/>
  <c r="AR29" i="1"/>
  <c r="Z28" i="1"/>
  <c r="AA28" i="1"/>
  <c r="AB28" i="1"/>
  <c r="AC28" i="1"/>
  <c r="AD28" i="1"/>
  <c r="AE28" i="1"/>
  <c r="AF28" i="1"/>
  <c r="AG28" i="1"/>
  <c r="AH28" i="1"/>
  <c r="AI28" i="1"/>
  <c r="AJ28" i="1"/>
  <c r="AK28" i="1"/>
  <c r="AL28" i="1"/>
  <c r="AM28" i="1"/>
  <c r="AN28" i="1"/>
  <c r="AO28" i="1"/>
  <c r="AP28" i="1"/>
  <c r="AQ28" i="1"/>
  <c r="AR28" i="1"/>
  <c r="Z27" i="1"/>
  <c r="AA27" i="1"/>
  <c r="AB27" i="1"/>
  <c r="AC27" i="1"/>
  <c r="AD27" i="1"/>
  <c r="AE27" i="1"/>
  <c r="AF27" i="1"/>
  <c r="AG27" i="1"/>
  <c r="AH27" i="1"/>
  <c r="AI27" i="1"/>
  <c r="AJ27" i="1"/>
  <c r="AK27" i="1"/>
  <c r="AL27" i="1"/>
  <c r="AM27" i="1"/>
  <c r="AN27" i="1"/>
  <c r="AO27" i="1"/>
  <c r="AP27" i="1"/>
  <c r="AQ27" i="1"/>
  <c r="AR27" i="1"/>
  <c r="Z26" i="1"/>
  <c r="AA26" i="1"/>
  <c r="AB26" i="1"/>
  <c r="AC26" i="1"/>
  <c r="AD26" i="1"/>
  <c r="AE26" i="1"/>
  <c r="AF26" i="1"/>
  <c r="AG26" i="1"/>
  <c r="AH26" i="1"/>
  <c r="AI26" i="1"/>
  <c r="AJ26" i="1"/>
  <c r="AK26" i="1"/>
  <c r="AL26" i="1"/>
  <c r="AM26" i="1"/>
  <c r="AN26" i="1"/>
  <c r="AO26" i="1"/>
  <c r="AP26" i="1"/>
  <c r="AQ26" i="1"/>
  <c r="AR26" i="1"/>
  <c r="AS26" i="1" l="1"/>
  <c r="AS27" i="1"/>
  <c r="AS28" i="1"/>
  <c r="AS29" i="1"/>
  <c r="AS30" i="1"/>
  <c r="AS31" i="1"/>
  <c r="Z25" i="1"/>
  <c r="AA25" i="1"/>
  <c r="AB25" i="1"/>
  <c r="AC25" i="1"/>
  <c r="AD25" i="1"/>
  <c r="AE25" i="1"/>
  <c r="AF25" i="1"/>
  <c r="AG25" i="1"/>
  <c r="AH25" i="1"/>
  <c r="AI25" i="1"/>
  <c r="AJ25" i="1"/>
  <c r="AK25" i="1"/>
  <c r="AL25" i="1"/>
  <c r="AM25" i="1"/>
  <c r="AN25" i="1"/>
  <c r="AO25" i="1"/>
  <c r="AP25" i="1"/>
  <c r="AQ25" i="1"/>
  <c r="AR25" i="1"/>
  <c r="Z24" i="1"/>
  <c r="AA24" i="1"/>
  <c r="AB24" i="1"/>
  <c r="AC24" i="1"/>
  <c r="AD24" i="1"/>
  <c r="AE24" i="1"/>
  <c r="AF24" i="1"/>
  <c r="AG24" i="1"/>
  <c r="AH24" i="1"/>
  <c r="AI24" i="1"/>
  <c r="AJ24" i="1"/>
  <c r="AK24" i="1"/>
  <c r="AL24" i="1"/>
  <c r="AM24" i="1"/>
  <c r="AN24" i="1"/>
  <c r="AO24" i="1"/>
  <c r="AP24" i="1"/>
  <c r="AQ24" i="1"/>
  <c r="AR24" i="1"/>
  <c r="Z23" i="1"/>
  <c r="AA23" i="1"/>
  <c r="AB23" i="1"/>
  <c r="AC23" i="1"/>
  <c r="AD23" i="1"/>
  <c r="AE23" i="1"/>
  <c r="AF23" i="1"/>
  <c r="AG23" i="1"/>
  <c r="AH23" i="1"/>
  <c r="AI23" i="1"/>
  <c r="AJ23" i="1"/>
  <c r="AK23" i="1"/>
  <c r="AL23" i="1"/>
  <c r="AM23" i="1"/>
  <c r="AN23" i="1"/>
  <c r="AO23" i="1"/>
  <c r="AP23" i="1"/>
  <c r="AQ23" i="1"/>
  <c r="AR23" i="1"/>
  <c r="Z22" i="1"/>
  <c r="AA22" i="1"/>
  <c r="AB22" i="1"/>
  <c r="AC22" i="1"/>
  <c r="AD22" i="1"/>
  <c r="AE22" i="1"/>
  <c r="AF22" i="1"/>
  <c r="AG22" i="1"/>
  <c r="AH22" i="1"/>
  <c r="AI22" i="1"/>
  <c r="AJ22" i="1"/>
  <c r="AK22" i="1"/>
  <c r="AL22" i="1"/>
  <c r="AM22" i="1"/>
  <c r="AN22" i="1"/>
  <c r="AO22" i="1"/>
  <c r="AP22" i="1"/>
  <c r="AQ22" i="1"/>
  <c r="AR22" i="1"/>
  <c r="Z21" i="1"/>
  <c r="AA21" i="1"/>
  <c r="AB21" i="1"/>
  <c r="AC21" i="1"/>
  <c r="AD21" i="1"/>
  <c r="AE21" i="1"/>
  <c r="AF21" i="1"/>
  <c r="AG21" i="1"/>
  <c r="AH21" i="1"/>
  <c r="AI21" i="1"/>
  <c r="AJ21" i="1"/>
  <c r="AK21" i="1"/>
  <c r="AL21" i="1"/>
  <c r="AM21" i="1"/>
  <c r="AN21" i="1"/>
  <c r="AO21" i="1"/>
  <c r="AP21" i="1"/>
  <c r="AQ21" i="1"/>
  <c r="AR21" i="1"/>
  <c r="Z20" i="1"/>
  <c r="AA20" i="1"/>
  <c r="AB20" i="1"/>
  <c r="AC20" i="1"/>
  <c r="AD20" i="1"/>
  <c r="AE20" i="1"/>
  <c r="AF20" i="1"/>
  <c r="AG20" i="1"/>
  <c r="AH20" i="1"/>
  <c r="AI20" i="1"/>
  <c r="AJ20" i="1"/>
  <c r="AK20" i="1"/>
  <c r="AL20" i="1"/>
  <c r="AM20" i="1"/>
  <c r="AN20" i="1"/>
  <c r="AO20" i="1"/>
  <c r="AP20" i="1"/>
  <c r="AQ20" i="1"/>
  <c r="AR20" i="1"/>
  <c r="Z19" i="1"/>
  <c r="AA19" i="1"/>
  <c r="AB19" i="1"/>
  <c r="AC19" i="1"/>
  <c r="AD19" i="1"/>
  <c r="AE19" i="1"/>
  <c r="AF19" i="1"/>
  <c r="AG19" i="1"/>
  <c r="AH19" i="1"/>
  <c r="AI19" i="1"/>
  <c r="AJ19" i="1"/>
  <c r="AK19" i="1"/>
  <c r="AL19" i="1"/>
  <c r="AM19" i="1"/>
  <c r="AN19" i="1"/>
  <c r="AO19" i="1"/>
  <c r="AP19" i="1"/>
  <c r="AQ19" i="1"/>
  <c r="AR19" i="1"/>
  <c r="Z18" i="1"/>
  <c r="AA18" i="1"/>
  <c r="AB18" i="1"/>
  <c r="AC18" i="1"/>
  <c r="AD18" i="1"/>
  <c r="AE18" i="1"/>
  <c r="AF18" i="1"/>
  <c r="AG18" i="1"/>
  <c r="AH18" i="1"/>
  <c r="AI18" i="1"/>
  <c r="AJ18" i="1"/>
  <c r="AK18" i="1"/>
  <c r="AL18" i="1"/>
  <c r="AM18" i="1"/>
  <c r="AN18" i="1"/>
  <c r="AO18" i="1"/>
  <c r="AP18" i="1"/>
  <c r="AQ18" i="1"/>
  <c r="AR18" i="1"/>
  <c r="Z17" i="1"/>
  <c r="AA17" i="1"/>
  <c r="AB17" i="1"/>
  <c r="AC17" i="1"/>
  <c r="AD17" i="1"/>
  <c r="AE17" i="1"/>
  <c r="AF17" i="1"/>
  <c r="AG17" i="1"/>
  <c r="AH17" i="1"/>
  <c r="AI17" i="1"/>
  <c r="AJ17" i="1"/>
  <c r="AK17" i="1"/>
  <c r="AL17" i="1"/>
  <c r="AM17" i="1"/>
  <c r="AN17" i="1"/>
  <c r="AO17" i="1"/>
  <c r="AP17" i="1"/>
  <c r="AQ17" i="1"/>
  <c r="AR17" i="1"/>
  <c r="Z16" i="1"/>
  <c r="AA16" i="1"/>
  <c r="AB16" i="1"/>
  <c r="AC16" i="1"/>
  <c r="AD16" i="1"/>
  <c r="AE16" i="1"/>
  <c r="AF16" i="1"/>
  <c r="AG16" i="1"/>
  <c r="AH16" i="1"/>
  <c r="AI16" i="1"/>
  <c r="AJ16" i="1"/>
  <c r="AK16" i="1"/>
  <c r="AL16" i="1"/>
  <c r="AM16" i="1"/>
  <c r="AN16" i="1"/>
  <c r="AO16" i="1"/>
  <c r="AP16" i="1"/>
  <c r="AQ16" i="1"/>
  <c r="AR16" i="1"/>
  <c r="Z15" i="1"/>
  <c r="AA15" i="1"/>
  <c r="AB15" i="1"/>
  <c r="AC15" i="1"/>
  <c r="AD15" i="1"/>
  <c r="AE15" i="1"/>
  <c r="AF15" i="1"/>
  <c r="AG15" i="1"/>
  <c r="AH15" i="1"/>
  <c r="AI15" i="1"/>
  <c r="AJ15" i="1"/>
  <c r="AK15" i="1"/>
  <c r="AL15" i="1"/>
  <c r="AM15" i="1"/>
  <c r="AN15" i="1"/>
  <c r="AO15" i="1"/>
  <c r="AP15" i="1"/>
  <c r="AQ15" i="1"/>
  <c r="AR15" i="1"/>
  <c r="Z14" i="1"/>
  <c r="AA14" i="1"/>
  <c r="AB14" i="1"/>
  <c r="AC14" i="1"/>
  <c r="AD14" i="1"/>
  <c r="AE14" i="1"/>
  <c r="AF14" i="1"/>
  <c r="AG14" i="1"/>
  <c r="AH14" i="1"/>
  <c r="AI14" i="1"/>
  <c r="AJ14" i="1"/>
  <c r="AK14" i="1"/>
  <c r="AL14" i="1"/>
  <c r="AM14" i="1"/>
  <c r="AN14" i="1"/>
  <c r="AO14" i="1"/>
  <c r="AP14" i="1"/>
  <c r="AQ14" i="1"/>
  <c r="AR14" i="1"/>
  <c r="Z13" i="1"/>
  <c r="AA13" i="1"/>
  <c r="AB13" i="1"/>
  <c r="AC13" i="1"/>
  <c r="AD13" i="1"/>
  <c r="AE13" i="1"/>
  <c r="AF13" i="1"/>
  <c r="AG13" i="1"/>
  <c r="AH13" i="1"/>
  <c r="AI13" i="1"/>
  <c r="AJ13" i="1"/>
  <c r="AK13" i="1"/>
  <c r="AL13" i="1"/>
  <c r="AM13" i="1"/>
  <c r="AN13" i="1"/>
  <c r="AO13" i="1"/>
  <c r="AP13" i="1"/>
  <c r="AQ13" i="1"/>
  <c r="AR13" i="1"/>
  <c r="Z12" i="1"/>
  <c r="AA12" i="1"/>
  <c r="AB12" i="1"/>
  <c r="AC12" i="1"/>
  <c r="AD12" i="1"/>
  <c r="AE12" i="1"/>
  <c r="AF12" i="1"/>
  <c r="AG12" i="1"/>
  <c r="AH12" i="1"/>
  <c r="AI12" i="1"/>
  <c r="AJ12" i="1"/>
  <c r="AK12" i="1"/>
  <c r="AL12" i="1"/>
  <c r="AM12" i="1"/>
  <c r="AN12" i="1"/>
  <c r="AO12" i="1"/>
  <c r="AP12" i="1"/>
  <c r="AQ12" i="1"/>
  <c r="AR12" i="1"/>
  <c r="Z11" i="1"/>
  <c r="AA11" i="1"/>
  <c r="AB11" i="1"/>
  <c r="AC11" i="1"/>
  <c r="AD11" i="1"/>
  <c r="AE11" i="1"/>
  <c r="AF11" i="1"/>
  <c r="AG11" i="1"/>
  <c r="AH11" i="1"/>
  <c r="AI11" i="1"/>
  <c r="AJ11" i="1"/>
  <c r="AK11" i="1"/>
  <c r="AL11" i="1"/>
  <c r="AM11" i="1"/>
  <c r="AN11" i="1"/>
  <c r="AO11" i="1"/>
  <c r="AP11" i="1"/>
  <c r="AQ11" i="1"/>
  <c r="AR11" i="1"/>
  <c r="AS13" i="1" l="1"/>
  <c r="AS17" i="1"/>
  <c r="AS12" i="1"/>
  <c r="AS11" i="1"/>
  <c r="AS15" i="1"/>
  <c r="AS16" i="1"/>
  <c r="AS14" i="1"/>
  <c r="AS18" i="1"/>
  <c r="AS19" i="1"/>
  <c r="AS20" i="1"/>
  <c r="AS21" i="1"/>
  <c r="AS22" i="1"/>
  <c r="AS23" i="1"/>
  <c r="AS24" i="1"/>
  <c r="AS25" i="1"/>
  <c r="Z10" i="1"/>
  <c r="AA10" i="1"/>
  <c r="AB10" i="1"/>
  <c r="AC10" i="1"/>
  <c r="AD10" i="1"/>
  <c r="AE10" i="1"/>
  <c r="AF10" i="1"/>
  <c r="AG10" i="1"/>
  <c r="AH10" i="1"/>
  <c r="AI10" i="1"/>
  <c r="AJ10" i="1"/>
  <c r="AK10" i="1"/>
  <c r="AL10" i="1"/>
  <c r="AM10" i="1"/>
  <c r="AN10" i="1"/>
  <c r="AO10" i="1"/>
  <c r="AP10" i="1"/>
  <c r="AQ10" i="1"/>
  <c r="AR10" i="1"/>
  <c r="Z9" i="1"/>
  <c r="AA9" i="1"/>
  <c r="AB9" i="1"/>
  <c r="AC9" i="1"/>
  <c r="AD9" i="1"/>
  <c r="AE9" i="1"/>
  <c r="AF9" i="1"/>
  <c r="AG9" i="1"/>
  <c r="AH9" i="1"/>
  <c r="AI9" i="1"/>
  <c r="AJ9" i="1"/>
  <c r="AK9" i="1"/>
  <c r="AL9" i="1"/>
  <c r="AM9" i="1"/>
  <c r="AN9" i="1"/>
  <c r="AO9" i="1"/>
  <c r="AP9" i="1"/>
  <c r="AQ9" i="1"/>
  <c r="AR9" i="1"/>
  <c r="Z8" i="1"/>
  <c r="AA8" i="1"/>
  <c r="AB8" i="1"/>
  <c r="AC8" i="1"/>
  <c r="AD8" i="1"/>
  <c r="AE8" i="1"/>
  <c r="AF8" i="1"/>
  <c r="AG8" i="1"/>
  <c r="AH8" i="1"/>
  <c r="AI8" i="1"/>
  <c r="AJ8" i="1"/>
  <c r="AK8" i="1"/>
  <c r="AL8" i="1"/>
  <c r="AM8" i="1"/>
  <c r="AN8" i="1"/>
  <c r="AO8" i="1"/>
  <c r="AP8" i="1"/>
  <c r="AQ8" i="1"/>
  <c r="AR8" i="1"/>
  <c r="AS10" i="1" l="1"/>
  <c r="AS9" i="1"/>
  <c r="AS8" i="1"/>
  <c r="Z7" i="1"/>
  <c r="AA7" i="1"/>
  <c r="AB7" i="1"/>
  <c r="AC7" i="1"/>
  <c r="AD7" i="1"/>
  <c r="AE7" i="1"/>
  <c r="AF7" i="1"/>
  <c r="AG7" i="1"/>
  <c r="AH7" i="1"/>
  <c r="AI7" i="1"/>
  <c r="AJ7" i="1"/>
  <c r="AK7" i="1"/>
  <c r="AL7" i="1"/>
  <c r="AM7" i="1"/>
  <c r="AN7" i="1"/>
  <c r="AO7" i="1"/>
  <c r="AP7" i="1"/>
  <c r="AQ7" i="1"/>
  <c r="AR7" i="1"/>
  <c r="AS7" i="1" l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AP6" i="1"/>
  <c r="AQ6" i="1"/>
  <c r="AR6" i="1"/>
  <c r="Z5" i="1"/>
  <c r="AA5" i="1"/>
  <c r="AB5" i="1"/>
  <c r="AC5" i="1"/>
  <c r="AD5" i="1"/>
  <c r="AE5" i="1"/>
  <c r="AF5" i="1"/>
  <c r="AG5" i="1"/>
  <c r="AH5" i="1"/>
  <c r="AI5" i="1"/>
  <c r="AJ5" i="1"/>
  <c r="AK5" i="1"/>
  <c r="AL5" i="1"/>
  <c r="AM5" i="1"/>
  <c r="AN5" i="1"/>
  <c r="AO5" i="1"/>
  <c r="AP5" i="1"/>
  <c r="AQ5" i="1"/>
  <c r="AR5" i="1"/>
  <c r="AR4" i="1"/>
  <c r="AA4" i="1"/>
  <c r="AB4" i="1"/>
  <c r="AC4" i="1"/>
  <c r="AD4" i="1"/>
  <c r="AE4" i="1"/>
  <c r="AF4" i="1"/>
  <c r="AG4" i="1"/>
  <c r="AH4" i="1"/>
  <c r="AI4" i="1"/>
  <c r="AJ4" i="1"/>
  <c r="AK4" i="1"/>
  <c r="AL4" i="1"/>
  <c r="AM4" i="1"/>
  <c r="AN4" i="1"/>
  <c r="AO4" i="1"/>
  <c r="AP4" i="1"/>
  <c r="AQ4" i="1"/>
  <c r="Z4" i="1"/>
  <c r="AS4" i="1" l="1"/>
  <c r="AS6" i="1"/>
  <c r="AS5" i="1"/>
</calcChain>
</file>

<file path=xl/sharedStrings.xml><?xml version="1.0" encoding="utf-8"?>
<sst xmlns="http://schemas.openxmlformats.org/spreadsheetml/2006/main" count="3549" uniqueCount="1404">
  <si>
    <t>10</t>
  </si>
  <si>
    <t>11</t>
  </si>
  <si>
    <t>12</t>
  </si>
  <si>
    <t>13</t>
  </si>
  <si>
    <t>14</t>
  </si>
  <si>
    <t>15</t>
  </si>
  <si>
    <t>16</t>
  </si>
  <si>
    <t>17</t>
  </si>
  <si>
    <t>18</t>
  </si>
  <si>
    <t>95, 120, 124</t>
  </si>
  <si>
    <t>22, 75</t>
  </si>
  <si>
    <t>84, 91</t>
  </si>
  <si>
    <t>112 A 114</t>
  </si>
  <si>
    <t>156 A 160</t>
  </si>
  <si>
    <t>119 A 121</t>
  </si>
  <si>
    <t>17 A 24</t>
  </si>
  <si>
    <t>10, 24</t>
  </si>
  <si>
    <t>193 A 198</t>
  </si>
  <si>
    <t>104 A 109</t>
  </si>
  <si>
    <t>28 A 29, 83, 95</t>
  </si>
  <si>
    <t>145 A 156</t>
  </si>
  <si>
    <t>48, 64 A 78, 83, 85, 144</t>
  </si>
  <si>
    <t>19 A 25</t>
  </si>
  <si>
    <t>105, 107</t>
  </si>
  <si>
    <t>119, 137</t>
  </si>
  <si>
    <t>16, 127</t>
  </si>
  <si>
    <t>FIO TENSIONADO</t>
  </si>
  <si>
    <t>105 A 112, 120 A 126, 135 A 137, 145, 176</t>
  </si>
  <si>
    <t>35, 37, 40, 44</t>
  </si>
  <si>
    <t>72, 96</t>
  </si>
  <si>
    <t>32, 34, 87</t>
  </si>
  <si>
    <t>113, 144</t>
  </si>
  <si>
    <t>30, 140</t>
  </si>
  <si>
    <t>20, 26, 34</t>
  </si>
  <si>
    <t>6 A 8</t>
  </si>
  <si>
    <t>27, 114</t>
  </si>
  <si>
    <t>19, 57, 88, 102, 127</t>
  </si>
  <si>
    <t>73, 112</t>
  </si>
  <si>
    <t>75, 86</t>
  </si>
  <si>
    <t>87, 103, 147</t>
  </si>
  <si>
    <t>42, 96 A 99</t>
  </si>
  <si>
    <t>33, 42</t>
  </si>
  <si>
    <t>148, 167</t>
  </si>
  <si>
    <t>SUJEIRA</t>
  </si>
  <si>
    <t>104, 135, 155</t>
  </si>
  <si>
    <t>95, 148</t>
  </si>
  <si>
    <t>89, 93, 100</t>
  </si>
  <si>
    <t>72, 112, 117, 129</t>
  </si>
  <si>
    <t>50 A 76</t>
  </si>
  <si>
    <t>21, 129</t>
  </si>
  <si>
    <t>195 A 196</t>
  </si>
  <si>
    <t>96, 121, 147</t>
  </si>
  <si>
    <t>32, 62</t>
  </si>
  <si>
    <t>TOTAL</t>
  </si>
  <si>
    <t>123 A 125</t>
  </si>
  <si>
    <t>75, 88</t>
  </si>
  <si>
    <t>34, 154</t>
  </si>
  <si>
    <t>39, 128</t>
  </si>
  <si>
    <t>35, 103, 188</t>
  </si>
  <si>
    <t>8, 19, 26, 36</t>
  </si>
  <si>
    <t>134, 169</t>
  </si>
  <si>
    <t>10, 23, 60</t>
  </si>
  <si>
    <t>42, 68</t>
  </si>
  <si>
    <t>63, 95, 135, 141</t>
  </si>
  <si>
    <t>12, 21, 77</t>
  </si>
  <si>
    <t>6, 76</t>
  </si>
  <si>
    <t>7, 9, 80</t>
  </si>
  <si>
    <t>26, 191</t>
  </si>
  <si>
    <t>11, 13</t>
  </si>
  <si>
    <t>165 A 167</t>
  </si>
  <si>
    <t>78, 113 A 117, 126</t>
  </si>
  <si>
    <t>43, 163</t>
  </si>
  <si>
    <t>10 A 26, 71</t>
  </si>
  <si>
    <t>143, 166</t>
  </si>
  <si>
    <t>8, 15, 63</t>
  </si>
  <si>
    <t>100, 193</t>
  </si>
  <si>
    <t>47, 113, 54</t>
  </si>
  <si>
    <t>25, 36</t>
  </si>
  <si>
    <t>7, 74, 97</t>
  </si>
  <si>
    <t>78, 96</t>
  </si>
  <si>
    <t>25, 70</t>
  </si>
  <si>
    <t>112, 115</t>
  </si>
  <si>
    <t>13, 188</t>
  </si>
  <si>
    <t>141 A 143</t>
  </si>
  <si>
    <t>147, 150, 153</t>
  </si>
  <si>
    <t>35, 88</t>
  </si>
  <si>
    <t>50, 72</t>
  </si>
  <si>
    <t>87, 154 A 159, 168 A 174</t>
  </si>
  <si>
    <t>17 A 20</t>
  </si>
  <si>
    <t>24, 26 A 30</t>
  </si>
  <si>
    <t>64, 181</t>
  </si>
  <si>
    <t>151, 184, 198</t>
  </si>
  <si>
    <t>41, 121</t>
  </si>
  <si>
    <t>2, 186</t>
  </si>
  <si>
    <t>50, 51, 63, 129</t>
  </si>
  <si>
    <t>URDUME SUJO</t>
  </si>
  <si>
    <t>163 A 167</t>
  </si>
  <si>
    <t>150 A 152</t>
  </si>
  <si>
    <t>28 A 32</t>
  </si>
  <si>
    <t>134 A 136</t>
  </si>
  <si>
    <t>45 A 50, 53, 55</t>
  </si>
  <si>
    <t>62, 65</t>
  </si>
  <si>
    <t>55, 102 ,108</t>
  </si>
  <si>
    <t>10 A 12</t>
  </si>
  <si>
    <t>67, 78 A 80, 169</t>
  </si>
  <si>
    <t>170, 178</t>
  </si>
  <si>
    <t>190 A 192</t>
  </si>
  <si>
    <t>26 A 28</t>
  </si>
  <si>
    <t>102 A 106</t>
  </si>
  <si>
    <t>170 A 202</t>
  </si>
  <si>
    <t>3, 173</t>
  </si>
  <si>
    <t>37, 38</t>
  </si>
  <si>
    <t>70, 83</t>
  </si>
  <si>
    <t>174 A 176</t>
  </si>
  <si>
    <t>QUEBRA DE MALHA</t>
  </si>
  <si>
    <t>69, 87</t>
  </si>
  <si>
    <t>37 A 88</t>
  </si>
  <si>
    <t>16, 171</t>
  </si>
  <si>
    <t>45 A 47</t>
  </si>
  <si>
    <t>168 A 172, 191</t>
  </si>
  <si>
    <t>14, 16, 19, 190</t>
  </si>
  <si>
    <t>23 A 28, 69</t>
  </si>
  <si>
    <t>67, 174</t>
  </si>
  <si>
    <t>158, 184</t>
  </si>
  <si>
    <t>170 143</t>
  </si>
  <si>
    <t>36, 85, 190, 197</t>
  </si>
  <si>
    <t>159, 173</t>
  </si>
  <si>
    <t>78 A 80, 88 A 89</t>
  </si>
  <si>
    <t>48, 128</t>
  </si>
  <si>
    <t>26, 181</t>
  </si>
  <si>
    <t>175, 177</t>
  </si>
  <si>
    <t>URDUME TENSIONADO</t>
  </si>
  <si>
    <t>14 A 16</t>
  </si>
  <si>
    <t>63, 125</t>
  </si>
  <si>
    <t>74, 173</t>
  </si>
  <si>
    <t>173 A 174</t>
  </si>
  <si>
    <t>76 A 77</t>
  </si>
  <si>
    <t>49, 52</t>
  </si>
  <si>
    <t>23, 161</t>
  </si>
  <si>
    <t>81, 146</t>
  </si>
  <si>
    <t>34 A 38</t>
  </si>
  <si>
    <t>44 A 46</t>
  </si>
  <si>
    <t>5, 112</t>
  </si>
  <si>
    <t>35 A 38</t>
  </si>
  <si>
    <t>51, 124</t>
  </si>
  <si>
    <t>9, 5</t>
  </si>
  <si>
    <t>63, 76</t>
  </si>
  <si>
    <t>160 A 163</t>
  </si>
  <si>
    <t>38, 80</t>
  </si>
  <si>
    <t>76, 123, 126</t>
  </si>
  <si>
    <t>102, 155</t>
  </si>
  <si>
    <t>55, 58, 130</t>
  </si>
  <si>
    <t>35, 155</t>
  </si>
  <si>
    <t>157 A 159</t>
  </si>
  <si>
    <t>98 A 104</t>
  </si>
  <si>
    <t>81, 155</t>
  </si>
  <si>
    <t>58, 97</t>
  </si>
  <si>
    <t>33, 79</t>
  </si>
  <si>
    <t>6, 21, 29, 96</t>
  </si>
  <si>
    <t>125, 160</t>
  </si>
  <si>
    <t>78 A 79</t>
  </si>
  <si>
    <t>12 A 20</t>
  </si>
  <si>
    <t>72 A 76, 93 A 95</t>
  </si>
  <si>
    <t>114, 119</t>
  </si>
  <si>
    <t>34, 39</t>
  </si>
  <si>
    <t>33 A 34</t>
  </si>
  <si>
    <t>30, 32</t>
  </si>
  <si>
    <t>32, 134</t>
  </si>
  <si>
    <t>53 A 59</t>
  </si>
  <si>
    <t>198 A 209</t>
  </si>
  <si>
    <t>120, 122</t>
  </si>
  <si>
    <t>55, 97</t>
  </si>
  <si>
    <t>95, 137</t>
  </si>
  <si>
    <t>34 A 36</t>
  </si>
  <si>
    <t>20, 91</t>
  </si>
  <si>
    <t>118 A 123, 175</t>
  </si>
  <si>
    <t>74, 100</t>
  </si>
  <si>
    <t>51, 107</t>
  </si>
  <si>
    <t>145 A 147</t>
  </si>
  <si>
    <t>127, 166</t>
  </si>
  <si>
    <t>15 A 17</t>
  </si>
  <si>
    <t>89, 93</t>
  </si>
  <si>
    <t>19, 106</t>
  </si>
  <si>
    <t>46, 73</t>
  </si>
  <si>
    <t>53, 137</t>
  </si>
  <si>
    <t>39, 64, 182</t>
  </si>
  <si>
    <t>193 A 196</t>
  </si>
  <si>
    <t>17 A 19</t>
  </si>
  <si>
    <t>164 A 165</t>
  </si>
  <si>
    <t>54, 168</t>
  </si>
  <si>
    <t>48, 56, 94</t>
  </si>
  <si>
    <t>40 A 45</t>
  </si>
  <si>
    <t>5 A 7</t>
  </si>
  <si>
    <t>152 A 154</t>
  </si>
  <si>
    <t>188 A 189</t>
  </si>
  <si>
    <t>137, 160</t>
  </si>
  <si>
    <t>159 A 163</t>
  </si>
  <si>
    <t>5, 78</t>
  </si>
  <si>
    <t>68 A 76</t>
  </si>
  <si>
    <t>22, 29, 75</t>
  </si>
  <si>
    <t>9, 75, 77</t>
  </si>
  <si>
    <t>52, 107</t>
  </si>
  <si>
    <t>34, 43, 99</t>
  </si>
  <si>
    <t>28 A 32, 35 A 43</t>
  </si>
  <si>
    <t>6, 10, 44 A 57</t>
  </si>
  <si>
    <t>9, 49</t>
  </si>
  <si>
    <t>21, 51</t>
  </si>
  <si>
    <t>185, 189</t>
  </si>
  <si>
    <t>38, 150</t>
  </si>
  <si>
    <t>11 A 13</t>
  </si>
  <si>
    <t>25, 34</t>
  </si>
  <si>
    <t>95 A 98</t>
  </si>
  <si>
    <t>40, 64</t>
  </si>
  <si>
    <t>140 A 142</t>
  </si>
  <si>
    <t>129, 146</t>
  </si>
  <si>
    <t>33 A 36</t>
  </si>
  <si>
    <t>46, 150</t>
  </si>
  <si>
    <t>9, 95</t>
  </si>
  <si>
    <t>28, 35</t>
  </si>
  <si>
    <t>23, 56</t>
  </si>
  <si>
    <t>27, 91</t>
  </si>
  <si>
    <t>86 A 88</t>
  </si>
  <si>
    <t>96, 99</t>
  </si>
  <si>
    <t>25 A 27, 60</t>
  </si>
  <si>
    <t>89 A 90</t>
  </si>
  <si>
    <t>41, 92, 94</t>
  </si>
  <si>
    <t>40, 122</t>
  </si>
  <si>
    <t>36 A 38</t>
  </si>
  <si>
    <t>128, 144</t>
  </si>
  <si>
    <t>56, 84 A 86</t>
  </si>
  <si>
    <t>117 A 120</t>
  </si>
  <si>
    <t>67, 93</t>
  </si>
  <si>
    <t>45, 151</t>
  </si>
  <si>
    <t>62 A 67</t>
  </si>
  <si>
    <t>6, 47</t>
  </si>
  <si>
    <t>56, 75, 78</t>
  </si>
  <si>
    <t>41, 45</t>
  </si>
  <si>
    <t>55, 95</t>
  </si>
  <si>
    <t>50 A 51</t>
  </si>
  <si>
    <t>96, 192</t>
  </si>
  <si>
    <t>28, 35, 40</t>
  </si>
  <si>
    <t>86, 96</t>
  </si>
  <si>
    <t>21, 30</t>
  </si>
  <si>
    <t>73, 74</t>
  </si>
  <si>
    <t>98, 125, 148, 159</t>
  </si>
  <si>
    <t>9, 35</t>
  </si>
  <si>
    <t>23, 37</t>
  </si>
  <si>
    <t>25, 30, 69</t>
  </si>
  <si>
    <t>18, 28</t>
  </si>
  <si>
    <t>7, 49</t>
  </si>
  <si>
    <t>27, 73, 92</t>
  </si>
  <si>
    <t>88 A 91</t>
  </si>
  <si>
    <t>78, 81</t>
  </si>
  <si>
    <t>41, 58, 83</t>
  </si>
  <si>
    <t>28, 32, 41, 87</t>
  </si>
  <si>
    <t>53, 63</t>
  </si>
  <si>
    <t>65, 78</t>
  </si>
  <si>
    <t>4, 39</t>
  </si>
  <si>
    <t>39 A 41, 45, 64, 90</t>
  </si>
  <si>
    <t>61, 97</t>
  </si>
  <si>
    <t>103, 110</t>
  </si>
  <si>
    <t>99, 105</t>
  </si>
  <si>
    <t>ORDER</t>
  </si>
  <si>
    <t>ID</t>
  </si>
  <si>
    <t>LENGTH</t>
  </si>
  <si>
    <t>MACHINE</t>
  </si>
  <si>
    <t>DATE</t>
  </si>
  <si>
    <t>1</t>
  </si>
  <si>
    <t>2</t>
  </si>
  <si>
    <t>3</t>
  </si>
  <si>
    <t>4</t>
  </si>
  <si>
    <t>5</t>
  </si>
  <si>
    <t>6</t>
  </si>
  <si>
    <t>7</t>
  </si>
  <si>
    <t>8</t>
  </si>
  <si>
    <t>9</t>
  </si>
  <si>
    <t>LENGHT</t>
  </si>
  <si>
    <t>1_</t>
  </si>
  <si>
    <t>2_</t>
  </si>
  <si>
    <t>3_</t>
  </si>
  <si>
    <t>4_</t>
  </si>
  <si>
    <t>5_</t>
  </si>
  <si>
    <t>6_</t>
  </si>
  <si>
    <t>7_</t>
  </si>
  <si>
    <t>8_</t>
  </si>
  <si>
    <t>9_</t>
  </si>
  <si>
    <t>10_</t>
  </si>
  <si>
    <t>11_</t>
  </si>
  <si>
    <t>12_</t>
  </si>
  <si>
    <t>13_</t>
  </si>
  <si>
    <t>14_</t>
  </si>
  <si>
    <t>15_</t>
  </si>
  <si>
    <t>16_</t>
  </si>
  <si>
    <t>17_</t>
  </si>
  <si>
    <t>18_</t>
  </si>
  <si>
    <t>19_NOTES</t>
  </si>
  <si>
    <t>19_LENGTH</t>
  </si>
  <si>
    <t>19_</t>
  </si>
  <si>
    <t>10-2723/02C</t>
  </si>
  <si>
    <t>10-2092/90D</t>
  </si>
  <si>
    <t>10-2084/90C</t>
  </si>
  <si>
    <t>10-2084/90B</t>
  </si>
  <si>
    <t>10-2089/90B</t>
  </si>
  <si>
    <t>10-2089/90A</t>
  </si>
  <si>
    <t>10-2099/90D</t>
  </si>
  <si>
    <t>10-2099/90E</t>
  </si>
  <si>
    <t>10-2062/90D</t>
  </si>
  <si>
    <t>10-2062/90A</t>
  </si>
  <si>
    <t>10-2726/90C</t>
  </si>
  <si>
    <t>10-2726/90A</t>
  </si>
  <si>
    <t>10-2718/90C</t>
  </si>
  <si>
    <t>10-2718/90B</t>
  </si>
  <si>
    <t>10-2718/90A</t>
  </si>
  <si>
    <t>10-2723/90D</t>
  </si>
  <si>
    <t>10-2723/90C</t>
  </si>
  <si>
    <t>10-2723/90A</t>
  </si>
  <si>
    <t>10-2710/90A</t>
  </si>
  <si>
    <t>10-2710/90B</t>
  </si>
  <si>
    <t>10-2725/90C</t>
  </si>
  <si>
    <t>10-2725/90B</t>
  </si>
  <si>
    <t>10-2725/90A</t>
  </si>
  <si>
    <t>10-2728/90D</t>
  </si>
  <si>
    <t>10-2708/90A</t>
  </si>
  <si>
    <t>10-2710/90D</t>
  </si>
  <si>
    <t>10-2758/90A</t>
  </si>
  <si>
    <t>10-2737/90B</t>
  </si>
  <si>
    <t>10-2758/90C</t>
  </si>
  <si>
    <t>10-2062/90C</t>
  </si>
  <si>
    <t>10-2722/90B</t>
  </si>
  <si>
    <t>10-2722/90C</t>
  </si>
  <si>
    <t>10-2062/90B</t>
  </si>
  <si>
    <t>10-2759/90A</t>
  </si>
  <si>
    <t>10-2759/90C</t>
  </si>
  <si>
    <t>10-2798/90D</t>
  </si>
  <si>
    <t>10-2798/90B</t>
  </si>
  <si>
    <t>10-2754/90C</t>
  </si>
  <si>
    <t>10-2754/90A</t>
  </si>
  <si>
    <t>10-2790/90A</t>
  </si>
  <si>
    <t>10-2781/90D</t>
  </si>
  <si>
    <t>10-2763/90B</t>
  </si>
  <si>
    <t>10-2760/90A</t>
  </si>
  <si>
    <t>10-2779/90D</t>
  </si>
  <si>
    <t>10-2791/90D</t>
  </si>
  <si>
    <t>10-2791/90C</t>
  </si>
  <si>
    <t>10-2772/90D</t>
  </si>
  <si>
    <t>10-2772/90B</t>
  </si>
  <si>
    <t>10-2772/90A</t>
  </si>
  <si>
    <t>10-2756/90C</t>
  </si>
  <si>
    <t>10-2756/90A</t>
  </si>
  <si>
    <t>10-2802/90D</t>
  </si>
  <si>
    <t>10-2782/90D</t>
  </si>
  <si>
    <t>10-2773/90A</t>
  </si>
  <si>
    <t>10-2773/90D</t>
  </si>
  <si>
    <t>10-2773/90C</t>
  </si>
  <si>
    <t>10-2783/90A</t>
  </si>
  <si>
    <t>10-2783/90C</t>
  </si>
  <si>
    <t>10-2783/90D</t>
  </si>
  <si>
    <t>10-2765/90D</t>
  </si>
  <si>
    <t>10-2765/90C</t>
  </si>
  <si>
    <t>10-2765/90A</t>
  </si>
  <si>
    <t>10-2797/90E</t>
  </si>
  <si>
    <t>10-2797/90C</t>
  </si>
  <si>
    <t>10-2797/90B</t>
  </si>
  <si>
    <t>10-2797/90A</t>
  </si>
  <si>
    <t>10-2776/90A</t>
  </si>
  <si>
    <t>10-2777/90A</t>
  </si>
  <si>
    <t>10-2777/90D</t>
  </si>
  <si>
    <t>10-2798/90A</t>
  </si>
  <si>
    <t>10-2770/90C</t>
  </si>
  <si>
    <t>10-2792/90D</t>
  </si>
  <si>
    <t>10-2792/90B</t>
  </si>
  <si>
    <t>10-2792/90A</t>
  </si>
  <si>
    <t>10-2792/90C</t>
  </si>
  <si>
    <t>10-2718/90D</t>
  </si>
  <si>
    <t>10-2803/90J</t>
  </si>
  <si>
    <t>10-2803/90E</t>
  </si>
  <si>
    <t>10-2803/90C</t>
  </si>
  <si>
    <t>10-2805/90G</t>
  </si>
  <si>
    <t>10-2805/90F</t>
  </si>
  <si>
    <t>10-2805/90B</t>
  </si>
  <si>
    <t>10-2805/90D</t>
  </si>
  <si>
    <t>10-2805/90C</t>
  </si>
  <si>
    <t>10-2805/90E</t>
  </si>
  <si>
    <t>10-2811/90B</t>
  </si>
  <si>
    <t>10-2808/90B</t>
  </si>
  <si>
    <t>10-2808/90D</t>
  </si>
  <si>
    <t>10-2808/90A</t>
  </si>
  <si>
    <t>10-2805/90J</t>
  </si>
  <si>
    <t>10-2805/90I</t>
  </si>
  <si>
    <t>10-2805/90H</t>
  </si>
  <si>
    <t>10-2811/90D</t>
  </si>
  <si>
    <t>10-2811/90C</t>
  </si>
  <si>
    <t>10-2809/90B</t>
  </si>
  <si>
    <t>10-2092/90A</t>
  </si>
  <si>
    <t>10-2736/90A</t>
  </si>
  <si>
    <t>10-2736/90B</t>
  </si>
  <si>
    <t>10-2828/90C</t>
  </si>
  <si>
    <t>10-2828/90B</t>
  </si>
  <si>
    <t>10-2827/90G</t>
  </si>
  <si>
    <t>10-2827/90D</t>
  </si>
  <si>
    <t>10-2827/90C</t>
  </si>
  <si>
    <t>10-2827/90B</t>
  </si>
  <si>
    <t>11-0059/90C</t>
  </si>
  <si>
    <t>11-0059/90A</t>
  </si>
  <si>
    <t>11-0057/90A</t>
  </si>
  <si>
    <t>11-0049/90D</t>
  </si>
  <si>
    <t>11-0049/90</t>
  </si>
  <si>
    <t>11-0050/90C</t>
  </si>
  <si>
    <t>11-0050/90A</t>
  </si>
  <si>
    <t>11-0061/90B</t>
  </si>
  <si>
    <t>11-0061/90A</t>
  </si>
  <si>
    <t>11-0057/90B</t>
  </si>
  <si>
    <t>11-0047/90A</t>
  </si>
  <si>
    <t>11-0057/90C</t>
  </si>
  <si>
    <t>11-0047/90D</t>
  </si>
  <si>
    <t>11-0077/90A</t>
  </si>
  <si>
    <t>11-0086/90C</t>
  </si>
  <si>
    <t>11-0086/90D</t>
  </si>
  <si>
    <t>11-0087/90D</t>
  </si>
  <si>
    <t>11-0087/90E</t>
  </si>
  <si>
    <t>11-0087/90A</t>
  </si>
  <si>
    <t>11-0069/90B</t>
  </si>
  <si>
    <t>11-0069/90A</t>
  </si>
  <si>
    <t>11-0069/90C</t>
  </si>
  <si>
    <t>11-0077/90B</t>
  </si>
  <si>
    <t>11-0076/90A</t>
  </si>
  <si>
    <t>11-0068/90D</t>
  </si>
  <si>
    <t>11-0068/90C</t>
  </si>
  <si>
    <t>11-0068/90B</t>
  </si>
  <si>
    <t>11-0068/90A</t>
  </si>
  <si>
    <t>11-0099/90B</t>
  </si>
  <si>
    <t>11-0099/90A</t>
  </si>
  <si>
    <t>11-0087/90C</t>
  </si>
  <si>
    <t>11-0133/90C</t>
  </si>
  <si>
    <t>11-0133/90D</t>
  </si>
  <si>
    <t>11-0133/90B</t>
  </si>
  <si>
    <t>11-0120/90A</t>
  </si>
  <si>
    <t>11-0106/90C</t>
  </si>
  <si>
    <t>11-0130/90A</t>
  </si>
  <si>
    <t>11-0106/90A</t>
  </si>
  <si>
    <t>11-0078/90D</t>
  </si>
  <si>
    <t>11-0135/90D</t>
  </si>
  <si>
    <t>11-0104/90A</t>
  </si>
  <si>
    <t>11-0088/90E</t>
  </si>
  <si>
    <t>11-0129/90A</t>
  </si>
  <si>
    <t>11-0129/90D</t>
  </si>
  <si>
    <t>11-0129/90B</t>
  </si>
  <si>
    <t>11-0117/90A</t>
  </si>
  <si>
    <t>11-0117/90D</t>
  </si>
  <si>
    <t>11-0135/90B</t>
  </si>
  <si>
    <t>11-0135/90A</t>
  </si>
  <si>
    <t>11-0135/90C</t>
  </si>
  <si>
    <t>11-0128/90D</t>
  </si>
  <si>
    <t>11-0128/90C</t>
  </si>
  <si>
    <t>11-0128/90B</t>
  </si>
  <si>
    <t>11-0128/90A</t>
  </si>
  <si>
    <t>11-0140/90D</t>
  </si>
  <si>
    <t>11-0136/90D</t>
  </si>
  <si>
    <t>11-0136/90C</t>
  </si>
  <si>
    <t>11-0136/90A</t>
  </si>
  <si>
    <t>11-0141/90B</t>
  </si>
  <si>
    <t>11-0153/90C</t>
  </si>
  <si>
    <t>11-0153/90B</t>
  </si>
  <si>
    <t>11-0153/90A</t>
  </si>
  <si>
    <t>11-0151/90B</t>
  </si>
  <si>
    <t>11-0137/90A</t>
  </si>
  <si>
    <t>11-0151/90C</t>
  </si>
  <si>
    <t>11-0169/90B</t>
  </si>
  <si>
    <t>11-0191/90D</t>
  </si>
  <si>
    <t>11-0192/90I</t>
  </si>
  <si>
    <t>11-0192/90J</t>
  </si>
  <si>
    <t>11-0191/90A</t>
  </si>
  <si>
    <t>11-0192/90H</t>
  </si>
  <si>
    <t>11-0192/90D</t>
  </si>
  <si>
    <t>11-0192/90B</t>
  </si>
  <si>
    <t>11-0143/90C</t>
  </si>
  <si>
    <t>11-0177/90D</t>
  </si>
  <si>
    <t>11-0177/90B</t>
  </si>
  <si>
    <t>11-0825/90C</t>
  </si>
  <si>
    <t>11-0825/90E</t>
  </si>
  <si>
    <t>11-0827/90C</t>
  </si>
  <si>
    <t>11-0827/90B</t>
  </si>
  <si>
    <t>11-0171/90C</t>
  </si>
  <si>
    <t>11-0171/90A</t>
  </si>
  <si>
    <t>11-0179/90D</t>
  </si>
  <si>
    <t>11-0168/90A</t>
  </si>
  <si>
    <t>11-0178/90D</t>
  </si>
  <si>
    <t>11-0178/90B</t>
  </si>
  <si>
    <t>11-0862/90D</t>
  </si>
  <si>
    <t>11-0861/90C</t>
  </si>
  <si>
    <t>11-0861/90B</t>
  </si>
  <si>
    <t>11-0861/90A</t>
  </si>
  <si>
    <t>11-0860/90A</t>
  </si>
  <si>
    <t>11-0862/90A</t>
  </si>
  <si>
    <t>11-0803/90B</t>
  </si>
  <si>
    <t>11-0803/90A</t>
  </si>
  <si>
    <t>11-0801/90C</t>
  </si>
  <si>
    <t>11-0801/90A</t>
  </si>
  <si>
    <t>11-0893/90D</t>
  </si>
  <si>
    <t>11-0893/90B</t>
  </si>
  <si>
    <t>11-0893/90A</t>
  </si>
  <si>
    <t>11-0825/90A</t>
  </si>
  <si>
    <t>11-0892/90B</t>
  </si>
  <si>
    <t>11-0892/90A</t>
  </si>
  <si>
    <t>11-0882/90C</t>
  </si>
  <si>
    <t>11-0882/90D</t>
  </si>
  <si>
    <t>11-0955/90B</t>
  </si>
  <si>
    <t>11-0955/90A</t>
  </si>
  <si>
    <t>11-0955/90C</t>
  </si>
  <si>
    <t>11-0901/90A</t>
  </si>
  <si>
    <t>11-0880/90C</t>
  </si>
  <si>
    <t>11-0878/90D</t>
  </si>
  <si>
    <t>11-0878/90C</t>
  </si>
  <si>
    <t>11-0923/90D</t>
  </si>
  <si>
    <t>11-0923/90C</t>
  </si>
  <si>
    <t>11-0923/90B</t>
  </si>
  <si>
    <t>11-0923/90A</t>
  </si>
  <si>
    <t>11-0878/90A</t>
  </si>
  <si>
    <t>11-0878/90B</t>
  </si>
  <si>
    <t>11-0914/90C</t>
  </si>
  <si>
    <t>11-0914/90A</t>
  </si>
  <si>
    <t>11-0956/90</t>
  </si>
  <si>
    <t>11-0914/90D</t>
  </si>
  <si>
    <t>11-0958/90I</t>
  </si>
  <si>
    <t>11-0980/90B</t>
  </si>
  <si>
    <t>11-0965/90A</t>
  </si>
  <si>
    <t>11-0965/90B</t>
  </si>
  <si>
    <t>11-0965/90C</t>
  </si>
  <si>
    <t>11-0959/90A</t>
  </si>
  <si>
    <t>11-0959/90C</t>
  </si>
  <si>
    <t>11-0959/90B</t>
  </si>
  <si>
    <t>11-0967/90D</t>
  </si>
  <si>
    <t>11-0967/90B</t>
  </si>
  <si>
    <t>11-0967/90A</t>
  </si>
  <si>
    <t>11-0987/90D</t>
  </si>
  <si>
    <t>11-0989/90C</t>
  </si>
  <si>
    <t>11-0989/90A</t>
  </si>
  <si>
    <t>11-0920/90B</t>
  </si>
  <si>
    <t>11-0920/90A</t>
  </si>
  <si>
    <t>11-0926/90D</t>
  </si>
  <si>
    <t>11-0926/90E</t>
  </si>
  <si>
    <t>11-0926/90C</t>
  </si>
  <si>
    <t>11-0926/90A</t>
  </si>
  <si>
    <t>11-0960/90D</t>
  </si>
  <si>
    <t>11-0960/90C</t>
  </si>
  <si>
    <t>11-0960/90B</t>
  </si>
  <si>
    <t>11-0960/90A</t>
  </si>
  <si>
    <t>11-1019/90J</t>
  </si>
  <si>
    <t>11-1019/90H</t>
  </si>
  <si>
    <t>11-1019/90E</t>
  </si>
  <si>
    <t>11-1019/90D</t>
  </si>
  <si>
    <t>11-1019/90B</t>
  </si>
  <si>
    <t>11-1019/90A</t>
  </si>
  <si>
    <t>11-0969/90E</t>
  </si>
  <si>
    <t>11-0969/90D</t>
  </si>
  <si>
    <t>11-0969/90C</t>
  </si>
  <si>
    <t>11-0969/90H</t>
  </si>
  <si>
    <t>11-1020/90J</t>
  </si>
  <si>
    <t>11-1020/90I</t>
  </si>
  <si>
    <t>11-1020/90H</t>
  </si>
  <si>
    <t>11-1020/90G</t>
  </si>
  <si>
    <t>11-1020/90F</t>
  </si>
  <si>
    <t>11-1020/90D</t>
  </si>
  <si>
    <t>11-0966/90J</t>
  </si>
  <si>
    <t>11-0966/90D</t>
  </si>
  <si>
    <t>11-0966/90A</t>
  </si>
  <si>
    <t>11-1026/90J</t>
  </si>
  <si>
    <t>11-1026/90I</t>
  </si>
  <si>
    <t>11-1026/90G</t>
  </si>
  <si>
    <t>11-1026/90D</t>
  </si>
  <si>
    <t>11-1026/90B</t>
  </si>
  <si>
    <t>11-0981/90A</t>
  </si>
  <si>
    <t>11-0991/90C</t>
  </si>
  <si>
    <t>11-0991/90A</t>
  </si>
  <si>
    <t>11-0991/90D</t>
  </si>
  <si>
    <t>11-0990/90D</t>
  </si>
  <si>
    <t>11-0990/90C</t>
  </si>
  <si>
    <t>11-0990/90A</t>
  </si>
  <si>
    <t>11-1014/90D</t>
  </si>
  <si>
    <t>11-1014/90C</t>
  </si>
  <si>
    <t>11-1014/90B</t>
  </si>
  <si>
    <t>11-0969/90F</t>
  </si>
  <si>
    <t>11-1061/90D</t>
  </si>
  <si>
    <t>11-1061/90C</t>
  </si>
  <si>
    <t>11-1061/90A</t>
  </si>
  <si>
    <t>11-0978/90B</t>
  </si>
  <si>
    <t>11-1060/90C</t>
  </si>
  <si>
    <t>11-0992/90D</t>
  </si>
  <si>
    <t>11-0992/90C</t>
  </si>
  <si>
    <t>11-0996/90C</t>
  </si>
  <si>
    <t>11-0996/90D</t>
  </si>
  <si>
    <t>11-0996/90B</t>
  </si>
  <si>
    <t>11-0996/90A</t>
  </si>
  <si>
    <t>11-0968/90C</t>
  </si>
  <si>
    <t>11-0968/90B</t>
  </si>
  <si>
    <t>11-0968/90A</t>
  </si>
  <si>
    <t>11-0986/90D</t>
  </si>
  <si>
    <t>11-0986/90A</t>
  </si>
  <si>
    <t>11-1015/90A</t>
  </si>
  <si>
    <t>11-1015/90C</t>
  </si>
  <si>
    <t>11-1015/90D</t>
  </si>
  <si>
    <t>11-1015/90H</t>
  </si>
  <si>
    <t>11-1015/90J</t>
  </si>
  <si>
    <t>11-1080/90B</t>
  </si>
  <si>
    <t>11-1080/90A</t>
  </si>
  <si>
    <t>11-0975/90I</t>
  </si>
  <si>
    <t>11-0975/90E</t>
  </si>
  <si>
    <t>11-0975/90D</t>
  </si>
  <si>
    <t>11-1078/90J</t>
  </si>
  <si>
    <t>11-1078/90H</t>
  </si>
  <si>
    <t>11-1078/90B</t>
  </si>
  <si>
    <t>11-1018/90K</t>
  </si>
  <si>
    <t>11-0975/90A</t>
  </si>
  <si>
    <t>11-0975/90B</t>
  </si>
  <si>
    <t>11-1018/90J</t>
  </si>
  <si>
    <t>11-1072/90D</t>
  </si>
  <si>
    <t>11-1072/90B</t>
  </si>
  <si>
    <t>11-1006/90C</t>
  </si>
  <si>
    <t>11-1017/90H</t>
  </si>
  <si>
    <t>11-1017/90G</t>
  </si>
  <si>
    <t>11-1017/90F</t>
  </si>
  <si>
    <t>11-1017/90E</t>
  </si>
  <si>
    <t>11-1017/90C</t>
  </si>
  <si>
    <t>11-1017/90A</t>
  </si>
  <si>
    <t>11-1074/90C</t>
  </si>
  <si>
    <t>11-1074/90B</t>
  </si>
  <si>
    <t>11-1074/90A</t>
  </si>
  <si>
    <t>11-0999/90D</t>
  </si>
  <si>
    <t>11-0999/90C</t>
  </si>
  <si>
    <t>11-0999/90A</t>
  </si>
  <si>
    <t>11-1090/90K</t>
  </si>
  <si>
    <t>11-1090/90H</t>
  </si>
  <si>
    <t>11-1090/90D</t>
  </si>
  <si>
    <t>11-1090/90F</t>
  </si>
  <si>
    <t>11-1090/90G</t>
  </si>
  <si>
    <t>11-1087/90E</t>
  </si>
  <si>
    <t>11-1087/90B</t>
  </si>
  <si>
    <t>11-1093/90K</t>
  </si>
  <si>
    <t>11-1062/90C</t>
  </si>
  <si>
    <t>11-1062/90A</t>
  </si>
  <si>
    <t>11-1073/90D</t>
  </si>
  <si>
    <t>11-1073/90B</t>
  </si>
  <si>
    <t>11-1088/90J</t>
  </si>
  <si>
    <t>11-1088/90F</t>
  </si>
  <si>
    <t>11-1095/90H</t>
  </si>
  <si>
    <t>11-1095/90G</t>
  </si>
  <si>
    <t>11-1095/90F</t>
  </si>
  <si>
    <t>11-1095/90E</t>
  </si>
  <si>
    <t>11-1095/90D</t>
  </si>
  <si>
    <t>11-1095/90C</t>
  </si>
  <si>
    <t>11-1095/90B</t>
  </si>
  <si>
    <t>11-1095/90A</t>
  </si>
  <si>
    <t>11-1089/90K</t>
  </si>
  <si>
    <t>11-1089/90J</t>
  </si>
  <si>
    <t>11-1089/90I</t>
  </si>
  <si>
    <t>11-1089/90H</t>
  </si>
  <si>
    <t>11-1089/90G</t>
  </si>
  <si>
    <t>11-1089/90E</t>
  </si>
  <si>
    <t>11-1089/90D</t>
  </si>
  <si>
    <t>11-1089/90C</t>
  </si>
  <si>
    <t>11-1089/90A</t>
  </si>
  <si>
    <t>11-1124/90B</t>
  </si>
  <si>
    <t>11-1123/90E</t>
  </si>
  <si>
    <t>11-1123/90A</t>
  </si>
  <si>
    <t>10-2066/91D</t>
  </si>
  <si>
    <t>10-2066/91C</t>
  </si>
  <si>
    <t>10-2066/91A</t>
  </si>
  <si>
    <t>10-2019/91E</t>
  </si>
  <si>
    <t>10-2019/91B</t>
  </si>
  <si>
    <t>10-2019/91F</t>
  </si>
  <si>
    <t>10-2019/91H</t>
  </si>
  <si>
    <t>10-2019/91I</t>
  </si>
  <si>
    <t>10-2058/91C</t>
  </si>
  <si>
    <t>10-2058/91D</t>
  </si>
  <si>
    <t>10-2058/91B</t>
  </si>
  <si>
    <t>10-2058/91A</t>
  </si>
  <si>
    <t>10-2096/91C</t>
  </si>
  <si>
    <t>10-2711/91A</t>
  </si>
  <si>
    <t>10-2722/91B</t>
  </si>
  <si>
    <t>10-2090/91C</t>
  </si>
  <si>
    <t>10-2090/91A</t>
  </si>
  <si>
    <t>10-2094/91B</t>
  </si>
  <si>
    <t>10-2094/91D</t>
  </si>
  <si>
    <t>10-2094/91C</t>
  </si>
  <si>
    <t>10-2723/91A</t>
  </si>
  <si>
    <t>10-2725/91D</t>
  </si>
  <si>
    <t>10-2725/91A</t>
  </si>
  <si>
    <t>10-2710/91B</t>
  </si>
  <si>
    <t>10-2708/91A</t>
  </si>
  <si>
    <t>10-2728/91A</t>
  </si>
  <si>
    <t>10-2736/91A</t>
  </si>
  <si>
    <t>10-2736/91B</t>
  </si>
  <si>
    <t>10-2754/91C</t>
  </si>
  <si>
    <t>10-2736/91C</t>
  </si>
  <si>
    <t>10-2736/91D</t>
  </si>
  <si>
    <t>10-2092/91D</t>
  </si>
  <si>
    <t>10-2092/91A</t>
  </si>
  <si>
    <t>10-2062/91D</t>
  </si>
  <si>
    <t>10-2777/91B</t>
  </si>
  <si>
    <t>10-2765/91B</t>
  </si>
  <si>
    <t>10-2765/91C</t>
  </si>
  <si>
    <t>10-2791/91C</t>
  </si>
  <si>
    <t>10-2770/91D</t>
  </si>
  <si>
    <t>10-2770/91A</t>
  </si>
  <si>
    <t>10-2782/91D</t>
  </si>
  <si>
    <t>10-2776/91A</t>
  </si>
  <si>
    <t>10-2792/91D</t>
  </si>
  <si>
    <t>10-2792/91</t>
  </si>
  <si>
    <t>10-2792/91A</t>
  </si>
  <si>
    <t>10-2776/91D</t>
  </si>
  <si>
    <t>10-2779/91B</t>
  </si>
  <si>
    <t>10-2759/91D</t>
  </si>
  <si>
    <t>10-2759/91B</t>
  </si>
  <si>
    <t>10-2759/91A</t>
  </si>
  <si>
    <t>10-2798/91B</t>
  </si>
  <si>
    <t>10-2798/91C</t>
  </si>
  <si>
    <t>10-2798/91D</t>
  </si>
  <si>
    <t>10-2756/91A</t>
  </si>
  <si>
    <t>10-2756/91D</t>
  </si>
  <si>
    <t>10-2756/91E</t>
  </si>
  <si>
    <t>10-2766/91D</t>
  </si>
  <si>
    <t>10-2766/91C</t>
  </si>
  <si>
    <t>10-2766/91B</t>
  </si>
  <si>
    <t>10-2766/91A</t>
  </si>
  <si>
    <t>10-2790/91B</t>
  </si>
  <si>
    <t>10-2772/91D</t>
  </si>
  <si>
    <t>10-2772/91C</t>
  </si>
  <si>
    <t>10-2772/91B</t>
  </si>
  <si>
    <t>10-2723/91C</t>
  </si>
  <si>
    <t>10-2811/91A</t>
  </si>
  <si>
    <t>10-2811/91B</t>
  </si>
  <si>
    <t>10-2814/91C</t>
  </si>
  <si>
    <t>10-2802/91C</t>
  </si>
  <si>
    <t>10-2802/91A</t>
  </si>
  <si>
    <t>10-2797/91B</t>
  </si>
  <si>
    <t>10-2797/91E</t>
  </si>
  <si>
    <t>10-2797/91D</t>
  </si>
  <si>
    <t>11-0050/91D</t>
  </si>
  <si>
    <t>11-0050/91B</t>
  </si>
  <si>
    <t>11-0057/91E</t>
  </si>
  <si>
    <t>11-0047/91D</t>
  </si>
  <si>
    <t>11-0047/91B</t>
  </si>
  <si>
    <t>10-0057/91A</t>
  </si>
  <si>
    <t>10-0057/91B</t>
  </si>
  <si>
    <t>11-0061/91D</t>
  </si>
  <si>
    <t>11-0061/91E</t>
  </si>
  <si>
    <t>11-0061/91A</t>
  </si>
  <si>
    <t>11-0059/91A</t>
  </si>
  <si>
    <t>11-0070/91C</t>
  </si>
  <si>
    <t>11-0068/91B</t>
  </si>
  <si>
    <t>11-0069/91D</t>
  </si>
  <si>
    <t>11-0069/91B</t>
  </si>
  <si>
    <t>11-0069/91A</t>
  </si>
  <si>
    <t>11-0057/91D</t>
  </si>
  <si>
    <t>11-0057/91C</t>
  </si>
  <si>
    <t>11-0057/91B</t>
  </si>
  <si>
    <t>11-0057/91A</t>
  </si>
  <si>
    <t>11-0059/91D</t>
  </si>
  <si>
    <t>11-0088/91D</t>
  </si>
  <si>
    <t>11-0088/91C</t>
  </si>
  <si>
    <t>11-0088/91B</t>
  </si>
  <si>
    <t>11-0087/91D</t>
  </si>
  <si>
    <t>11-0087/91C</t>
  </si>
  <si>
    <t>11-0128/91A</t>
  </si>
  <si>
    <t>11-0128/91C</t>
  </si>
  <si>
    <t>11-0117/91A</t>
  </si>
  <si>
    <t>11-0130/91C</t>
  </si>
  <si>
    <t>11-0130/91B</t>
  </si>
  <si>
    <t>11-0087/91A</t>
  </si>
  <si>
    <t>11-0087/91B</t>
  </si>
  <si>
    <t>11-0129/91A</t>
  </si>
  <si>
    <t>11-0129/91C</t>
  </si>
  <si>
    <t>11-0129/91E</t>
  </si>
  <si>
    <t>11-0077/91C</t>
  </si>
  <si>
    <t>11-0070/91D</t>
  </si>
  <si>
    <t>11-0077/91B</t>
  </si>
  <si>
    <t>11-0077/91A</t>
  </si>
  <si>
    <t>11-0076/91D</t>
  </si>
  <si>
    <t>11-0076/91C</t>
  </si>
  <si>
    <t>11-0086/91D</t>
  </si>
  <si>
    <t>11-0086/91B</t>
  </si>
  <si>
    <t>11-0086/91A</t>
  </si>
  <si>
    <t>11-0120/91C</t>
  </si>
  <si>
    <t>11-0120/91B</t>
  </si>
  <si>
    <t>11-0120/91A</t>
  </si>
  <si>
    <t>11-0136/91A</t>
  </si>
  <si>
    <t>11-0153/91A</t>
  </si>
  <si>
    <t>11-0153/91C</t>
  </si>
  <si>
    <t>11-0153/91B</t>
  </si>
  <si>
    <t>11-0151/91A</t>
  </si>
  <si>
    <t>11-0137/91D</t>
  </si>
  <si>
    <t>11-0169/91A</t>
  </si>
  <si>
    <t>11-0154/91D</t>
  </si>
  <si>
    <t>11-0154/91B</t>
  </si>
  <si>
    <t>11-0154/91C</t>
  </si>
  <si>
    <t>11-0140/91B</t>
  </si>
  <si>
    <t>11-0140/91A</t>
  </si>
  <si>
    <t>11-0191/91F</t>
  </si>
  <si>
    <t>11-0191/91C</t>
  </si>
  <si>
    <t>11-0191/91B</t>
  </si>
  <si>
    <t>11-0191/91A</t>
  </si>
  <si>
    <t>11-0178/91B</t>
  </si>
  <si>
    <t>11-0832/91A</t>
  </si>
  <si>
    <t>11-0143/91D</t>
  </si>
  <si>
    <t>11-0143/91C</t>
  </si>
  <si>
    <t>11-0143/91B</t>
  </si>
  <si>
    <t>11-0192/91K</t>
  </si>
  <si>
    <t>11-0192/91G</t>
  </si>
  <si>
    <t>11-0192/91H</t>
  </si>
  <si>
    <t>11-0803/91A</t>
  </si>
  <si>
    <t>11-0179/91D</t>
  </si>
  <si>
    <t>11-0179/91A</t>
  </si>
  <si>
    <t>11-0141/91B</t>
  </si>
  <si>
    <t>11-0141/91A</t>
  </si>
  <si>
    <t>11-0862/91C</t>
  </si>
  <si>
    <t>11-0862/91A</t>
  </si>
  <si>
    <t>11-0171/91D</t>
  </si>
  <si>
    <t>11-0171/91A</t>
  </si>
  <si>
    <t>11-0801/91C</t>
  </si>
  <si>
    <t>11-0801/91D</t>
  </si>
  <si>
    <t>11-0923/91D</t>
  </si>
  <si>
    <t>11-0923/91B</t>
  </si>
  <si>
    <t>11-0923/91C</t>
  </si>
  <si>
    <t>11-0924/91D</t>
  </si>
  <si>
    <t>11-0924/91A</t>
  </si>
  <si>
    <t>11-0892/91D</t>
  </si>
  <si>
    <t>11-0914/91D</t>
  </si>
  <si>
    <t>11-0914/91B</t>
  </si>
  <si>
    <t>11-0914/91A</t>
  </si>
  <si>
    <t>11-0893/91D</t>
  </si>
  <si>
    <t>11-0893/91B</t>
  </si>
  <si>
    <t>11-0956/91H</t>
  </si>
  <si>
    <t>11-0956/91G</t>
  </si>
  <si>
    <t>11-0956/91F</t>
  </si>
  <si>
    <t>11-0956/91E</t>
  </si>
  <si>
    <t>11-0956/91C</t>
  </si>
  <si>
    <t>11-0956/91B</t>
  </si>
  <si>
    <t>11-0956/91A</t>
  </si>
  <si>
    <t>11-0901/91A</t>
  </si>
  <si>
    <t>11-0926/91D</t>
  </si>
  <si>
    <t>11-0926/91B</t>
  </si>
  <si>
    <t>11-0960/91D</t>
  </si>
  <si>
    <t>11-0960/91C</t>
  </si>
  <si>
    <t>11-0960/91B</t>
  </si>
  <si>
    <t>11-0960/91A</t>
  </si>
  <si>
    <t>11-0959/91D</t>
  </si>
  <si>
    <t>11-0959/91C</t>
  </si>
  <si>
    <t>11-0959/91B</t>
  </si>
  <si>
    <t>11-0959/91A</t>
  </si>
  <si>
    <t>11-0955/91B</t>
  </si>
  <si>
    <t>11-0955/91D</t>
  </si>
  <si>
    <t>11-0955/91C</t>
  </si>
  <si>
    <t>11-0965/91C</t>
  </si>
  <si>
    <t>11-0980/91D</t>
  </si>
  <si>
    <t>11-0918/91C</t>
  </si>
  <si>
    <t>11-0926/91A</t>
  </si>
  <si>
    <t>11-0958/91E</t>
  </si>
  <si>
    <t>11-0958/91C</t>
  </si>
  <si>
    <t>11-0958/91A</t>
  </si>
  <si>
    <t>11-0966/91J</t>
  </si>
  <si>
    <t>11-0966/91I</t>
  </si>
  <si>
    <t>11-0966/91G</t>
  </si>
  <si>
    <t>11-0966/91F</t>
  </si>
  <si>
    <t>11-0966/91C</t>
  </si>
  <si>
    <t>11-0966/91B</t>
  </si>
  <si>
    <t>11-0973/91I</t>
  </si>
  <si>
    <t>11-0973/91A</t>
  </si>
  <si>
    <t>11-0991/91B</t>
  </si>
  <si>
    <t>11-0991/91A</t>
  </si>
  <si>
    <t>11-0991/91D</t>
  </si>
  <si>
    <t>11-0990/91A</t>
  </si>
  <si>
    <t>11-0990/91D</t>
  </si>
  <si>
    <t>11-0969/91H</t>
  </si>
  <si>
    <t>11-0969/91G</t>
  </si>
  <si>
    <t>11-0969/91E</t>
  </si>
  <si>
    <t>11-0969/91B</t>
  </si>
  <si>
    <t>11-1014/91C</t>
  </si>
  <si>
    <t>11-1014/91A</t>
  </si>
  <si>
    <t>11-0978/91A</t>
  </si>
  <si>
    <t>11-0975/91H</t>
  </si>
  <si>
    <t>11-0975/91E</t>
  </si>
  <si>
    <t>11-1019/91H</t>
  </si>
  <si>
    <t>11-1020/91I</t>
  </si>
  <si>
    <t>11-1020/91H</t>
  </si>
  <si>
    <t>11-1020/91D</t>
  </si>
  <si>
    <t>11-1020/91B</t>
  </si>
  <si>
    <t>11-1026/91J</t>
  </si>
  <si>
    <t>11-1026/91F</t>
  </si>
  <si>
    <t>11-1026/91E</t>
  </si>
  <si>
    <t>11-0975/91J</t>
  </si>
  <si>
    <t>11-0986/91C</t>
  </si>
  <si>
    <t>11-1006/91D</t>
  </si>
  <si>
    <t>11-1080/91H</t>
  </si>
  <si>
    <t>11-1080/91G</t>
  </si>
  <si>
    <t>11-1080/91F</t>
  </si>
  <si>
    <t>11-1080/91B</t>
  </si>
  <si>
    <t>11-1072/91D</t>
  </si>
  <si>
    <t>11-1072/91A</t>
  </si>
  <si>
    <t>11-1087/91H</t>
  </si>
  <si>
    <t>11-1018/91I</t>
  </si>
  <si>
    <t>11-1017/91H</t>
  </si>
  <si>
    <t>11-1017/91C</t>
  </si>
  <si>
    <t>11-1017/91B</t>
  </si>
  <si>
    <t>11-0996/91C</t>
  </si>
  <si>
    <t>11-1074/91B</t>
  </si>
  <si>
    <t>11-1074/91A</t>
  </si>
  <si>
    <t>11-1078/91F</t>
  </si>
  <si>
    <t>11-1078/91C</t>
  </si>
  <si>
    <t>11-1078/91A</t>
  </si>
  <si>
    <t>11-1015/91G</t>
  </si>
  <si>
    <t>11-1015/91F</t>
  </si>
  <si>
    <t>11-1015/91E</t>
  </si>
  <si>
    <t>11-1015/91I</t>
  </si>
  <si>
    <t>11-1015/91J</t>
  </si>
  <si>
    <t>11-1015/91B</t>
  </si>
  <si>
    <t>11-0999/91D</t>
  </si>
  <si>
    <t>11-0999/91B</t>
  </si>
  <si>
    <t>11-0999/91A</t>
  </si>
  <si>
    <t>11-0997/91D</t>
  </si>
  <si>
    <t>11-0981/91A</t>
  </si>
  <si>
    <t>11-1061/91C</t>
  </si>
  <si>
    <t>11-1061/91A</t>
  </si>
  <si>
    <t>11-1061/91B</t>
  </si>
  <si>
    <t>11-1074/91D</t>
  </si>
  <si>
    <t>11-0077/92C</t>
  </si>
  <si>
    <t>11-0077/92B</t>
  </si>
  <si>
    <t>11-0077/92A</t>
  </si>
  <si>
    <t>11-0827/92A</t>
  </si>
  <si>
    <t>11-0827/92B</t>
  </si>
  <si>
    <t>11-0825/92B</t>
  </si>
  <si>
    <t>11-0956/92H</t>
  </si>
  <si>
    <t>11-0956/92G</t>
  </si>
  <si>
    <t>11-0956/92D</t>
  </si>
  <si>
    <t>11-0956/92B</t>
  </si>
  <si>
    <t>11-0966/92J</t>
  </si>
  <si>
    <t>11-0973/92C</t>
  </si>
  <si>
    <t>11-0975/92F</t>
  </si>
  <si>
    <t>11-0975/92E</t>
  </si>
  <si>
    <t>11-0975/92D</t>
  </si>
  <si>
    <t>11-0975/92B</t>
  </si>
  <si>
    <t>11-0975/92C</t>
  </si>
  <si>
    <t>11-0975/92J</t>
  </si>
  <si>
    <t>11-0975/92I</t>
  </si>
  <si>
    <t>11-0975/92H</t>
  </si>
  <si>
    <t>11-0975/92G</t>
  </si>
  <si>
    <t>11-0956/93C</t>
  </si>
  <si>
    <t>11-0956/93B</t>
  </si>
  <si>
    <t>11-0956/93A</t>
  </si>
  <si>
    <t>11-0973/93C</t>
  </si>
  <si>
    <t>11-0975/93E</t>
  </si>
  <si>
    <t>11-0975/93B</t>
  </si>
  <si>
    <t>11-0975/93A</t>
  </si>
  <si>
    <t>10-2081/02C</t>
  </si>
  <si>
    <t>10-2725/01D</t>
  </si>
  <si>
    <t>10-2711/01A</t>
  </si>
  <si>
    <t>10-2711/01B</t>
  </si>
  <si>
    <t>10-2711/01C</t>
  </si>
  <si>
    <t>10-2725/01E</t>
  </si>
  <si>
    <t>10-2708/01D</t>
  </si>
  <si>
    <t>10-2725/02B</t>
  </si>
  <si>
    <t>10-2708/12B</t>
  </si>
  <si>
    <t>10-2728/02B</t>
  </si>
  <si>
    <t>10-2754/02D</t>
  </si>
  <si>
    <t>10-2754/02B</t>
  </si>
  <si>
    <t>10-2743/90</t>
  </si>
  <si>
    <t>10-2759/90</t>
  </si>
  <si>
    <t>10-2758/90</t>
  </si>
  <si>
    <t>10-2737/90</t>
  </si>
  <si>
    <t>10-2736/90</t>
  </si>
  <si>
    <t>10-2722/90</t>
  </si>
  <si>
    <t>10-2708/90</t>
  </si>
  <si>
    <t>10-2710/90</t>
  </si>
  <si>
    <t>10-2725/90</t>
  </si>
  <si>
    <t>10-2711/90</t>
  </si>
  <si>
    <t>10-2728/90</t>
  </si>
  <si>
    <t>10-2723/90</t>
  </si>
  <si>
    <t>10-2726/90</t>
  </si>
  <si>
    <t>10-2718/90</t>
  </si>
  <si>
    <t>10-2096/90</t>
  </si>
  <si>
    <t>10-2798/90</t>
  </si>
  <si>
    <t>10-2756/90</t>
  </si>
  <si>
    <t>10-2782/90</t>
  </si>
  <si>
    <t>10-2760/90</t>
  </si>
  <si>
    <t>10-2791/90</t>
  </si>
  <si>
    <t>10-2779/90</t>
  </si>
  <si>
    <t>10-2757/90</t>
  </si>
  <si>
    <t>10-2772/90</t>
  </si>
  <si>
    <t>10-2766/90</t>
  </si>
  <si>
    <t>10-2763/90</t>
  </si>
  <si>
    <t>10-2784/90</t>
  </si>
  <si>
    <t>10-2790/90</t>
  </si>
  <si>
    <t>10-2814/90</t>
  </si>
  <si>
    <t>10-2776/90</t>
  </si>
  <si>
    <t>10-2783/90</t>
  </si>
  <si>
    <t>10-2773/90</t>
  </si>
  <si>
    <t>10-2765/90</t>
  </si>
  <si>
    <t>10-2797/90</t>
  </si>
  <si>
    <t>10-2802/90</t>
  </si>
  <si>
    <t>10-2777/90</t>
  </si>
  <si>
    <t>10-2770/90</t>
  </si>
  <si>
    <t>10-2792/90</t>
  </si>
  <si>
    <t>10-2803/90</t>
  </si>
  <si>
    <t>10-2805/90</t>
  </si>
  <si>
    <t>10-2808/90</t>
  </si>
  <si>
    <t>10-2828/90</t>
  </si>
  <si>
    <t>10-2811/90</t>
  </si>
  <si>
    <t>10-2809/90</t>
  </si>
  <si>
    <t>11-0061/90</t>
  </si>
  <si>
    <t>11-0047/90</t>
  </si>
  <si>
    <t>11-0057/90</t>
  </si>
  <si>
    <t>11-0059/90</t>
  </si>
  <si>
    <t>11-0050/90</t>
  </si>
  <si>
    <t>11-0086/90</t>
  </si>
  <si>
    <t>11-0087/90</t>
  </si>
  <si>
    <t>11-0070/90</t>
  </si>
  <si>
    <t>10-2754/90</t>
  </si>
  <si>
    <t>11-0077/90</t>
  </si>
  <si>
    <t>11-0099/90</t>
  </si>
  <si>
    <t>11-0069/90</t>
  </si>
  <si>
    <t>11-0068/90</t>
  </si>
  <si>
    <t>11-0076/90</t>
  </si>
  <si>
    <t>11-0106/90</t>
  </si>
  <si>
    <t>11-0104/90</t>
  </si>
  <si>
    <t>11-0130/90</t>
  </si>
  <si>
    <t>11-0120/90</t>
  </si>
  <si>
    <t>11-0133/90</t>
  </si>
  <si>
    <t>11-0088/90</t>
  </si>
  <si>
    <t>11-0135/90</t>
  </si>
  <si>
    <t>11-0078/90</t>
  </si>
  <si>
    <t>11-0117/90</t>
  </si>
  <si>
    <t>11-0128/90</t>
  </si>
  <si>
    <t>11-0118/90</t>
  </si>
  <si>
    <t>11-0129/90</t>
  </si>
  <si>
    <t>11-0140/90</t>
  </si>
  <si>
    <t>11-0136/90</t>
  </si>
  <si>
    <t>11-0137/90</t>
  </si>
  <si>
    <t>11-0153/90</t>
  </si>
  <si>
    <t>11-0151/90</t>
  </si>
  <si>
    <t>11-0141/90</t>
  </si>
  <si>
    <t>11-0169/90</t>
  </si>
  <si>
    <t>11-0191/90</t>
  </si>
  <si>
    <t>11-0192/90</t>
  </si>
  <si>
    <t>11-0832/90</t>
  </si>
  <si>
    <t>11-0154/90</t>
  </si>
  <si>
    <t>11-0143/90</t>
  </si>
  <si>
    <t>11-0827/90</t>
  </si>
  <si>
    <t>11-0825/90</t>
  </si>
  <si>
    <t>11-0177/90</t>
  </si>
  <si>
    <t>11-0171/90</t>
  </si>
  <si>
    <t>11-0179/90</t>
  </si>
  <si>
    <t>11-0168/90</t>
  </si>
  <si>
    <t>11-0178/90</t>
  </si>
  <si>
    <t>10-0650/90</t>
  </si>
  <si>
    <t>11-0200/90</t>
  </si>
  <si>
    <t>11-0860/90</t>
  </si>
  <si>
    <t>11-0861/90</t>
  </si>
  <si>
    <t>11-0862/90</t>
  </si>
  <si>
    <t>11-0803/90</t>
  </si>
  <si>
    <t>11-0801/90</t>
  </si>
  <si>
    <t>11-0893/90</t>
  </si>
  <si>
    <t>11-0892/90</t>
  </si>
  <si>
    <t>11-0879/90</t>
  </si>
  <si>
    <t>11-0882/90</t>
  </si>
  <si>
    <t>11-0883/90</t>
  </si>
  <si>
    <t>11-0923/90</t>
  </si>
  <si>
    <t>11-0878/90</t>
  </si>
  <si>
    <t>11-0924/90</t>
  </si>
  <si>
    <t>11-0918/90</t>
  </si>
  <si>
    <t>11-0955/90</t>
  </si>
  <si>
    <t>11-0880/90</t>
  </si>
  <si>
    <t>11-0901/90</t>
  </si>
  <si>
    <t>11-0958/90</t>
  </si>
  <si>
    <t>11-0914/90</t>
  </si>
  <si>
    <t>11-0967/90</t>
  </si>
  <si>
    <t>11-0959/90</t>
  </si>
  <si>
    <t>11-0965/90</t>
  </si>
  <si>
    <t>11-0980/90</t>
  </si>
  <si>
    <t>11-0926/90</t>
  </si>
  <si>
    <t>11-0960/90</t>
  </si>
  <si>
    <t>11-0920/90</t>
  </si>
  <si>
    <t>11-0989/90</t>
  </si>
  <si>
    <t>11-0987/90</t>
  </si>
  <si>
    <t>11-0969/90</t>
  </si>
  <si>
    <t>11-1019/90</t>
  </si>
  <si>
    <t>11-0973/90</t>
  </si>
  <si>
    <t>11-1020/90</t>
  </si>
  <si>
    <t>11-1026/90</t>
  </si>
  <si>
    <t>11-0991/90</t>
  </si>
  <si>
    <t>11-0990/90</t>
  </si>
  <si>
    <t>11-1014/90</t>
  </si>
  <si>
    <t>11-0966/90</t>
  </si>
  <si>
    <t>11-0996/90</t>
  </si>
  <si>
    <t>11-0981/90</t>
  </si>
  <si>
    <t>11-0986/90</t>
  </si>
  <si>
    <t>11-0968/90</t>
  </si>
  <si>
    <t>11-0992/90</t>
  </si>
  <si>
    <t>11-1060/90</t>
  </si>
  <si>
    <t>11-1061/90</t>
  </si>
  <si>
    <t>11-0978/90</t>
  </si>
  <si>
    <t>11-1015/90</t>
  </si>
  <si>
    <t>11-0975/90</t>
  </si>
  <si>
    <t>11-1080/90</t>
  </si>
  <si>
    <t>11-1018/90</t>
  </si>
  <si>
    <t>11-1078/90</t>
  </si>
  <si>
    <t>11-1074/90</t>
  </si>
  <si>
    <t>11-1017/90</t>
  </si>
  <si>
    <t>11-1006/90</t>
  </si>
  <si>
    <t>11-0997/90</t>
  </si>
  <si>
    <t>11-1087/90</t>
  </si>
  <si>
    <t>11-1090/90</t>
  </si>
  <si>
    <t>11-1072/90</t>
  </si>
  <si>
    <t>11-0999/90</t>
  </si>
  <si>
    <t>11-1093/90</t>
  </si>
  <si>
    <t>11-1073/90</t>
  </si>
  <si>
    <t>11-1079/90</t>
  </si>
  <si>
    <t>11-1062/90</t>
  </si>
  <si>
    <t>11-1088/90</t>
  </si>
  <si>
    <t>11-1095/90</t>
  </si>
  <si>
    <t>11-1089/90</t>
  </si>
  <si>
    <t>11-1077/90</t>
  </si>
  <si>
    <t>11-1012/90</t>
  </si>
  <si>
    <t>11-1121/90</t>
  </si>
  <si>
    <t>11-1127/90</t>
  </si>
  <si>
    <t>11-1123/90</t>
  </si>
  <si>
    <t>11-1124/90</t>
  </si>
  <si>
    <t>10-2754/91</t>
  </si>
  <si>
    <t>10-2737/91</t>
  </si>
  <si>
    <t>10-2736/91</t>
  </si>
  <si>
    <t>10-2725/91</t>
  </si>
  <si>
    <t>10-2092/91</t>
  </si>
  <si>
    <t>10-2726/91</t>
  </si>
  <si>
    <t>10-2728/91</t>
  </si>
  <si>
    <t>10-2708/91</t>
  </si>
  <si>
    <t>10-2710/91</t>
  </si>
  <si>
    <t>10-2723/91</t>
  </si>
  <si>
    <t>10-2090/91</t>
  </si>
  <si>
    <t>10-2094/91</t>
  </si>
  <si>
    <t>10-2718/91</t>
  </si>
  <si>
    <t>10-2722/91</t>
  </si>
  <si>
    <t>10-2711/91</t>
  </si>
  <si>
    <t>10-2096/91</t>
  </si>
  <si>
    <t>10-2777/91</t>
  </si>
  <si>
    <t>10-2765/91</t>
  </si>
  <si>
    <t>10-2783/91</t>
  </si>
  <si>
    <t>10-2791/91</t>
  </si>
  <si>
    <t>10-2770/91</t>
  </si>
  <si>
    <t>10-2776/91</t>
  </si>
  <si>
    <t>10-2773/91</t>
  </si>
  <si>
    <t>10-2782/91</t>
  </si>
  <si>
    <t>10-2758/91</t>
  </si>
  <si>
    <t>10-2019/91</t>
  </si>
  <si>
    <t>10-2779/91</t>
  </si>
  <si>
    <t>10-2760/91</t>
  </si>
  <si>
    <t>10-2759/91</t>
  </si>
  <si>
    <t>10-2798/91</t>
  </si>
  <si>
    <t>10-2757/91</t>
  </si>
  <si>
    <t>10-2766/91</t>
  </si>
  <si>
    <t>10-2763/91</t>
  </si>
  <si>
    <t>10-2756/91</t>
  </si>
  <si>
    <t>10-2811/91</t>
  </si>
  <si>
    <t>10-2797/91</t>
  </si>
  <si>
    <t>10-2814/91</t>
  </si>
  <si>
    <t>10-2802/91</t>
  </si>
  <si>
    <t>10-2828/91</t>
  </si>
  <si>
    <t>11-0047/91</t>
  </si>
  <si>
    <t>11-0049/91</t>
  </si>
  <si>
    <t>11-0050/91</t>
  </si>
  <si>
    <t>11-0061/91</t>
  </si>
  <si>
    <t>11-0057/91</t>
  </si>
  <si>
    <t>11-0069/91</t>
  </si>
  <si>
    <t>11-0059/91</t>
  </si>
  <si>
    <t>11-0070/91</t>
  </si>
  <si>
    <t>11-0068/91</t>
  </si>
  <si>
    <t>11-0104/91</t>
  </si>
  <si>
    <t>11-0099/91</t>
  </si>
  <si>
    <t>11-0087/91</t>
  </si>
  <si>
    <t>11-0088/91</t>
  </si>
  <si>
    <t>11-0117/91</t>
  </si>
  <si>
    <t>11-0078/91</t>
  </si>
  <si>
    <t>11-0118/91</t>
  </si>
  <si>
    <t>11-0130/91</t>
  </si>
  <si>
    <t>11-0129/91</t>
  </si>
  <si>
    <t>11-0128/91</t>
  </si>
  <si>
    <t>11-0120/91</t>
  </si>
  <si>
    <t>11-0076/91</t>
  </si>
  <si>
    <t>11-0106/91</t>
  </si>
  <si>
    <t>11-0086/91</t>
  </si>
  <si>
    <t>11-0077/91</t>
  </si>
  <si>
    <t>11-0137/91</t>
  </si>
  <si>
    <t>11-0153/91</t>
  </si>
  <si>
    <t>11-0151/91</t>
  </si>
  <si>
    <t>11-0136/91</t>
  </si>
  <si>
    <t>11-0169/91</t>
  </si>
  <si>
    <t>11-0154/91</t>
  </si>
  <si>
    <t>11-0140/91</t>
  </si>
  <si>
    <t>11-0168/91</t>
  </si>
  <si>
    <t>11-0191/91</t>
  </si>
  <si>
    <t>11-0177/91</t>
  </si>
  <si>
    <t>11-0178/91</t>
  </si>
  <si>
    <t>11-0832/91</t>
  </si>
  <si>
    <t>11-0143/91</t>
  </si>
  <si>
    <t>11-0192/91</t>
  </si>
  <si>
    <t>11-0827/91</t>
  </si>
  <si>
    <t>11-0825/91</t>
  </si>
  <si>
    <t>11-0141/91</t>
  </si>
  <si>
    <t>11-0179/91</t>
  </si>
  <si>
    <t>11-0861/91</t>
  </si>
  <si>
    <t>11-0860/91</t>
  </si>
  <si>
    <t>11-0200/91</t>
  </si>
  <si>
    <t>11-0862/91</t>
  </si>
  <si>
    <t>11-0171/91</t>
  </si>
  <si>
    <t>11-0801/91</t>
  </si>
  <si>
    <t>11-0893/91</t>
  </si>
  <si>
    <t>11-0878/91</t>
  </si>
  <si>
    <t>11-0892/91</t>
  </si>
  <si>
    <t>11-0880/91</t>
  </si>
  <si>
    <t>11-0879/91</t>
  </si>
  <si>
    <t>11-0924/91</t>
  </si>
  <si>
    <t>11-0923/91</t>
  </si>
  <si>
    <t>11-0914/91</t>
  </si>
  <si>
    <t>11-0956/91</t>
  </si>
  <si>
    <t>11-0901/91</t>
  </si>
  <si>
    <t>11-0987/91</t>
  </si>
  <si>
    <t>11-0926/91</t>
  </si>
  <si>
    <t>11-0960/91</t>
  </si>
  <si>
    <t>11-0959/91</t>
  </si>
  <si>
    <t>11-0918/91</t>
  </si>
  <si>
    <t>11-0980/91</t>
  </si>
  <si>
    <t>11-0965/91</t>
  </si>
  <si>
    <t>11-0955/91</t>
  </si>
  <si>
    <t>11-0920/91</t>
  </si>
  <si>
    <t>11-0967/91</t>
  </si>
  <si>
    <t>11-0958/91</t>
  </si>
  <si>
    <t>11-0966/91</t>
  </si>
  <si>
    <t>11-0991/91</t>
  </si>
  <si>
    <t>11-0973/91</t>
  </si>
  <si>
    <t>11-0968/91</t>
  </si>
  <si>
    <t>11-0990/91</t>
  </si>
  <si>
    <t>11-1014/91</t>
  </si>
  <si>
    <t>11-0978/91</t>
  </si>
  <si>
    <t>11-0992/91</t>
  </si>
  <si>
    <t>11-0969/91</t>
  </si>
  <si>
    <t>11-1019/91</t>
  </si>
  <si>
    <t>11-0975/91</t>
  </si>
  <si>
    <t>11-1020/91</t>
  </si>
  <si>
    <t>11-0986/91</t>
  </si>
  <si>
    <t>11-1060/91</t>
  </si>
  <si>
    <t>11-1080/91</t>
  </si>
  <si>
    <t>11-1072/91</t>
  </si>
  <si>
    <t>11-1006/91</t>
  </si>
  <si>
    <t>11-1087/91</t>
  </si>
  <si>
    <t>11-1090/91</t>
  </si>
  <si>
    <t>11-1018/91</t>
  </si>
  <si>
    <t>11-1017/91</t>
  </si>
  <si>
    <t>11-1079/91</t>
  </si>
  <si>
    <t>11-1061/91</t>
  </si>
  <si>
    <t>11-1074/91</t>
  </si>
  <si>
    <t>11-1093/91</t>
  </si>
  <si>
    <t>11-1077/91</t>
  </si>
  <si>
    <t>11-0997/91</t>
  </si>
  <si>
    <t>11-0999/91</t>
  </si>
  <si>
    <t>11-1015/91</t>
  </si>
  <si>
    <t>11-0981/91</t>
  </si>
  <si>
    <t>11-1078/91</t>
  </si>
  <si>
    <t>11-0996/91</t>
  </si>
  <si>
    <t>11-1073/91</t>
  </si>
  <si>
    <t>10-2773/92</t>
  </si>
  <si>
    <t>11-0077/92</t>
  </si>
  <si>
    <t>11-0137/92</t>
  </si>
  <si>
    <t>11-0827/92</t>
  </si>
  <si>
    <t>11-0825/92</t>
  </si>
  <si>
    <t>11-0956/92</t>
  </si>
  <si>
    <t>11-0980/92</t>
  </si>
  <si>
    <t>11-0966/92</t>
  </si>
  <si>
    <t>11-1026/92</t>
  </si>
  <si>
    <t>11-0973/92</t>
  </si>
  <si>
    <t>11-1077/92</t>
  </si>
  <si>
    <t>11-1079/92</t>
  </si>
  <si>
    <t>11-0975/92</t>
  </si>
  <si>
    <t>11-0956/93</t>
  </si>
  <si>
    <t>11-0966/93</t>
  </si>
  <si>
    <t>11-0973/93</t>
  </si>
  <si>
    <t>11-1077/93</t>
  </si>
  <si>
    <t>11-0975/93</t>
  </si>
  <si>
    <t>TYPE A</t>
  </si>
  <si>
    <t>TYPE C</t>
  </si>
  <si>
    <t>TYPE B</t>
  </si>
  <si>
    <t>TYPE D1</t>
  </si>
  <si>
    <t>TYPE D2</t>
  </si>
  <si>
    <t>TYPE E</t>
  </si>
  <si>
    <t>PRODUCT</t>
  </si>
  <si>
    <t>VERSION</t>
  </si>
  <si>
    <t>BA_01</t>
  </si>
  <si>
    <t>BA_02</t>
  </si>
  <si>
    <t>BA_04</t>
  </si>
  <si>
    <t>BA_05</t>
  </si>
  <si>
    <t>BA_06</t>
  </si>
  <si>
    <t>BA_07</t>
  </si>
  <si>
    <t>BA_08</t>
  </si>
  <si>
    <t>BA_09</t>
  </si>
  <si>
    <t>BA_10</t>
  </si>
  <si>
    <t>BA_12</t>
  </si>
  <si>
    <t>BA_13</t>
  </si>
  <si>
    <t>BA_14</t>
  </si>
  <si>
    <t>BA_15</t>
  </si>
  <si>
    <t>BA_17</t>
  </si>
  <si>
    <t>CA_05</t>
  </si>
  <si>
    <t>CA_06</t>
  </si>
  <si>
    <t>CA_08</t>
  </si>
  <si>
    <t>CA_10</t>
  </si>
  <si>
    <t>CA_11</t>
  </si>
  <si>
    <t>CA_12</t>
  </si>
  <si>
    <t>CA_13</t>
  </si>
  <si>
    <t>CA_15</t>
  </si>
  <si>
    <t>DT_11</t>
  </si>
  <si>
    <t>DT_12</t>
  </si>
  <si>
    <t>095598.AA</t>
  </si>
  <si>
    <t>094011.AA</t>
  </si>
  <si>
    <t>095763.AA</t>
  </si>
  <si>
    <t>096015.AA</t>
  </si>
  <si>
    <t>096228.AA</t>
  </si>
  <si>
    <t>096336.AA</t>
  </si>
  <si>
    <t>096627.AA</t>
  </si>
  <si>
    <t>097044.AA</t>
  </si>
  <si>
    <t>097194.AA</t>
  </si>
  <si>
    <t>097047.AA</t>
  </si>
  <si>
    <t>097593.AA</t>
  </si>
  <si>
    <t>097620.AA</t>
  </si>
  <si>
    <t>097854.AA</t>
  </si>
  <si>
    <t>098001.AA</t>
  </si>
  <si>
    <t>098253.AA</t>
  </si>
  <si>
    <t>098247.AA</t>
  </si>
  <si>
    <t>098250.AA</t>
  </si>
  <si>
    <t>098373.AA</t>
  </si>
  <si>
    <t>089457.AA</t>
  </si>
  <si>
    <t>089709.AA</t>
  </si>
  <si>
    <t>089727.AA</t>
  </si>
  <si>
    <t>089880.AA</t>
  </si>
  <si>
    <t>090093.AA</t>
  </si>
  <si>
    <t>090096.AA</t>
  </si>
  <si>
    <t>090099.AA</t>
  </si>
  <si>
    <t>090111.AA</t>
  </si>
  <si>
    <t>090282.AA</t>
  </si>
  <si>
    <t>090327.AA</t>
  </si>
  <si>
    <t>090402.AA</t>
  </si>
  <si>
    <t>090429.AA</t>
  </si>
  <si>
    <t>090432.AA</t>
  </si>
  <si>
    <t>090435.AA</t>
  </si>
  <si>
    <t>090438.AA</t>
  </si>
  <si>
    <t>090507.AA</t>
  </si>
  <si>
    <t>090510.AA</t>
  </si>
  <si>
    <t>090513.AA</t>
  </si>
  <si>
    <t>091158.AA</t>
  </si>
  <si>
    <t>091161.AA</t>
  </si>
  <si>
    <t>091269.AA</t>
  </si>
  <si>
    <t>091272.AA</t>
  </si>
  <si>
    <t>091275.AA</t>
  </si>
  <si>
    <t>091278.AA</t>
  </si>
  <si>
    <t>091281.AA</t>
  </si>
  <si>
    <t>091284.AA</t>
  </si>
  <si>
    <t>091287.AA</t>
  </si>
  <si>
    <t>092076.AA</t>
  </si>
  <si>
    <t>092097.AA</t>
  </si>
  <si>
    <t>092100.AA</t>
  </si>
  <si>
    <t>092559.AA</t>
  </si>
  <si>
    <t>092640.AA</t>
  </si>
  <si>
    <t>092688.AA</t>
  </si>
  <si>
    <t>092697.AA</t>
  </si>
  <si>
    <t>092883.AA</t>
  </si>
  <si>
    <t>092886.AA</t>
  </si>
  <si>
    <t>093015.AA</t>
  </si>
  <si>
    <t>093039.AA</t>
  </si>
  <si>
    <t>093042.AA</t>
  </si>
  <si>
    <t>093045.AA</t>
  </si>
  <si>
    <t>093201.AA</t>
  </si>
  <si>
    <t>093291.AA</t>
  </si>
  <si>
    <t>093294.AA</t>
  </si>
  <si>
    <t>093498.AA</t>
  </si>
  <si>
    <t>093501.AA</t>
  </si>
  <si>
    <t>093504.AA</t>
  </si>
  <si>
    <t>093999.AA</t>
  </si>
  <si>
    <t>094002.AA</t>
  </si>
  <si>
    <t>094005.AA</t>
  </si>
  <si>
    <t>094008.AA</t>
  </si>
  <si>
    <t>094341.AA</t>
  </si>
  <si>
    <t>094344.AA</t>
  </si>
  <si>
    <t>094371.AA</t>
  </si>
  <si>
    <t>094599.AA</t>
  </si>
  <si>
    <t>094719.AA</t>
  </si>
  <si>
    <t>094902.AA</t>
  </si>
  <si>
    <t>095202.AA</t>
  </si>
  <si>
    <t>095253.AA</t>
  </si>
  <si>
    <t>097056.AA</t>
  </si>
  <si>
    <t>097596.AA</t>
  </si>
  <si>
    <t>097902.AA</t>
  </si>
  <si>
    <t>098244.AA</t>
  </si>
  <si>
    <t>098343.AA</t>
  </si>
  <si>
    <t>FAILURES REGISTER</t>
  </si>
  <si>
    <t>PRODUCT BY ORDER</t>
  </si>
  <si>
    <t>PRODUCTION</t>
  </si>
  <si>
    <t>10-2802/90C</t>
  </si>
  <si>
    <t>10-2814/91A</t>
  </si>
  <si>
    <t>10-2814/91B</t>
  </si>
  <si>
    <t>11-0088/90C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</si>
</sst>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theme="4" tint="0.39994506668294322"/>
      </left>
      <right style="thin">
        <color theme="4" tint="0.39994506668294322"/>
      </right>
      <top style="thin">
        <color theme="4" tint="0.39994506668294322"/>
      </top>
      <bottom style="medium">
        <color indexed="64"/>
      </bottom>
      <diagonal/>
    </border>
    <border>
      <left style="thin">
        <color theme="4" tint="0.39994506668294322"/>
      </left>
      <right/>
      <top style="thin">
        <color theme="4" tint="0.39994506668294322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theme="4" tint="0.39994506668294322"/>
      </right>
      <top style="thin">
        <color theme="4" tint="0.39994506668294322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2" borderId="0" xfId="0" applyFill="1"/>
    <xf numFmtId="0" fontId="0" fillId="0" borderId="0" xfId="0"/>
    <xf numFmtId="0" fontId="0" fillId="0" borderId="0" xfId="0"/>
    <xf numFmtId="0" fontId="0" fillId="0" borderId="0" xfId="0"/>
    <xf numFmtId="0" fontId="0" fillId="0" borderId="0" xfId="0" applyBorder="1"/>
    <xf numFmtId="0" fontId="0" fillId="0" borderId="1" xfId="0" applyBorder="1"/>
    <xf numFmtId="0" fontId="0" fillId="0" borderId="3" xfId="0" applyFont="1" applyBorder="1" applyAlignment="1">
      <alignment horizontal="center" vertical="center" wrapText="1"/>
    </xf>
    <xf numFmtId="0" fontId="0" fillId="0" borderId="4" xfId="0" applyFont="1" applyBorder="1" applyAlignment="1">
      <alignment horizontal="center" vertical="center" wrapText="1"/>
    </xf>
    <xf numFmtId="0" fontId="0" fillId="0" borderId="5" xfId="0" applyFont="1" applyBorder="1" applyAlignment="1">
      <alignment horizontal="center" vertical="center" wrapText="1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2" xfId="0" applyBorder="1"/>
    <xf numFmtId="0" fontId="0" fillId="0" borderId="9" xfId="0" applyFont="1" applyBorder="1" applyAlignment="1">
      <alignment horizontal="center" vertical="center" wrapText="1"/>
    </xf>
    <xf numFmtId="0" fontId="0" fillId="0" borderId="10" xfId="0" applyFont="1" applyBorder="1" applyAlignment="1">
      <alignment horizontal="center" vertical="center" wrapText="1"/>
    </xf>
    <xf numFmtId="0" fontId="0" fillId="0" borderId="11" xfId="0" applyBorder="1"/>
    <xf numFmtId="0" fontId="0" fillId="0" borderId="5" xfId="0" applyBorder="1"/>
    <xf numFmtId="0" fontId="0" fillId="0" borderId="10" xfId="0" applyBorder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NumberFormat="1"/>
    <xf numFmtId="14" fontId="0" fillId="0" borderId="0" xfId="0" applyNumberFormat="1"/>
    <xf numFmtId="0" fontId="0" fillId="0" borderId="12" xfId="0" applyFont="1" applyBorder="1" applyAlignment="1">
      <alignment horizontal="center" vertical="center" wrapText="1"/>
    </xf>
    <xf numFmtId="0" fontId="0" fillId="2" borderId="0" xfId="0" applyFill="1" applyAlignment="1">
      <alignment horizontal="right"/>
    </xf>
    <xf numFmtId="14" fontId="0" fillId="2" borderId="0" xfId="0" applyNumberFormat="1" applyFill="1"/>
    <xf numFmtId="0" fontId="0" fillId="0" borderId="3" xfId="0" quotePrefix="1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" fillId="2" borderId="0" xfId="0" applyFont="1" applyFill="1"/>
    <xf numFmtId="0" fontId="0" fillId="0" borderId="0" xfId="0"/>
    <xf numFmtId="0" fontId="0" fillId="0" borderId="0" xfId="0"/>
  </cellXfs>
  <cellStyles count="1">
    <cellStyle name="Normal" xfId="0" builtinId="0"/>
  </cellStyles>
  <dxfs count="33"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border diagonalUp="0" diagonalDown="0">
        <left/>
        <right style="medium">
          <color indexed="64"/>
        </right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1" name="Tabela1" displayName="Tabela1" ref="A3:AS679" totalsRowShown="0" headerRowDxfId="31" headerRowBorderDxfId="30">
  <autoFilter ref="A3:AS679"/>
  <tableColumns count="45">
    <tableColumn id="1" name="ORDER" dataDxfId="29"/>
    <tableColumn id="2" name="ID" dataDxfId="28"/>
    <tableColumn id="3" name="LENGTH" dataDxfId="27"/>
    <tableColumn id="4" name="MACHINE" dataDxfId="26"/>
    <tableColumn id="5" name="DATE" dataDxfId="25"/>
    <tableColumn id="6" name="1" dataDxfId="24"/>
    <tableColumn id="7" name="2" dataDxfId="23"/>
    <tableColumn id="8" name="3" dataDxfId="22"/>
    <tableColumn id="9" name="4" dataDxfId="21"/>
    <tableColumn id="10" name="5" dataDxfId="20"/>
    <tableColumn id="11" name="6" dataDxfId="19"/>
    <tableColumn id="12" name="7" dataDxfId="18"/>
    <tableColumn id="13" name="8" dataDxfId="17"/>
    <tableColumn id="14" name="9" dataDxfId="16"/>
    <tableColumn id="15" name="10" dataDxfId="15"/>
    <tableColumn id="16" name="11" dataDxfId="14"/>
    <tableColumn id="17" name="12" dataDxfId="13"/>
    <tableColumn id="18" name="13" dataDxfId="12"/>
    <tableColumn id="19" name="14" dataDxfId="11"/>
    <tableColumn id="20" name="15" dataDxfId="10"/>
    <tableColumn id="21" name="16" dataDxfId="9"/>
    <tableColumn id="22" name="17" dataDxfId="8"/>
    <tableColumn id="23" name="18" dataDxfId="7"/>
    <tableColumn id="24" name="19_NOTES" dataDxfId="6"/>
    <tableColumn id="25" name="19_LENGTH" dataDxfId="5"/>
    <tableColumn id="27" name="1_">
      <calculatedColumnFormula>IF(Tabela1[[#This Row],[1]]&lt;&gt;"",IF(ISNUMBER(FIND(",",Tabela1[[#This Row],[1]])),LEN(Tabela1[[#This Row],[1]])-LEN(SUBSTITUTE(Tabela1[[#This Row],[1]],",",""))+1,1),"")</calculatedColumnFormula>
    </tableColumn>
    <tableColumn id="28" name="2_">
      <calculatedColumnFormula>IF(Tabela1[[#This Row],[2]]&lt;&gt;"",IF(ISNUMBER(FIND(",",Tabela1[[#This Row],[2]])),LEN(Tabela1[[#This Row],[2]])-LEN(SUBSTITUTE(Tabela1[[#This Row],[2]],",",""))+1,1),"")</calculatedColumnFormula>
    </tableColumn>
    <tableColumn id="29" name="3_">
      <calculatedColumnFormula>IF(Tabela1[[#This Row],[3]]&lt;&gt;"",IF(ISNUMBER(FIND(",",Tabela1[[#This Row],[3]])),LEN(Tabela1[[#This Row],[3]])-LEN(SUBSTITUTE(Tabela1[[#This Row],[3]],",",""))+1,1),"")</calculatedColumnFormula>
    </tableColumn>
    <tableColumn id="30" name="4_">
      <calculatedColumnFormula>IF(Tabela1[[#This Row],[4]]&lt;&gt;"",IF(ISNUMBER(FIND(",",Tabela1[[#This Row],[4]])),LEN(Tabela1[[#This Row],[4]])-LEN(SUBSTITUTE(Tabela1[[#This Row],[4]],",",""))+1,1),"")</calculatedColumnFormula>
    </tableColumn>
    <tableColumn id="31" name="5_">
      <calculatedColumnFormula>IF(Tabela1[[#This Row],[5]]&lt;&gt;"",IF(ISNUMBER(FIND(",",Tabela1[[#This Row],[5]])),LEN(Tabela1[[#This Row],[5]])-LEN(SUBSTITUTE(Tabela1[[#This Row],[5]],",",""))+1,1),"")</calculatedColumnFormula>
    </tableColumn>
    <tableColumn id="32" name="6_">
      <calculatedColumnFormula>IF(Tabela1[[#This Row],[6]]&lt;&gt;"",IF(ISNUMBER(FIND(",",Tabela1[[#This Row],[6]])),LEN(Tabela1[[#This Row],[6]])-LEN(SUBSTITUTE(Tabela1[[#This Row],[6]],",",""))+1,1),"")</calculatedColumnFormula>
    </tableColumn>
    <tableColumn id="33" name="7_">
      <calculatedColumnFormula>IF(Tabela1[[#This Row],[7]]&lt;&gt;"",IF(ISNUMBER(FIND(",",Tabela1[[#This Row],[7]])),LEN(Tabela1[[#This Row],[7]])-LEN(SUBSTITUTE(Tabela1[[#This Row],[7]],",",""))+1,1),"")</calculatedColumnFormula>
    </tableColumn>
    <tableColumn id="34" name="8_">
      <calculatedColumnFormula>IF(Tabela1[[#This Row],[8]]&lt;&gt;"",IF(ISNUMBER(FIND(",",Tabela1[[#This Row],[8]])),LEN(Tabela1[[#This Row],[8]])-LEN(SUBSTITUTE(Tabela1[[#This Row],[8]],",",""))+1,1),"")</calculatedColumnFormula>
    </tableColumn>
    <tableColumn id="35" name="9_">
      <calculatedColumnFormula>IF(Tabela1[[#This Row],[9]]&lt;&gt;"",IF(ISNUMBER(FIND(",",Tabela1[[#This Row],[9]])),LEN(Tabela1[[#This Row],[9]])-LEN(SUBSTITUTE(Tabela1[[#This Row],[9]],",",""))+1,1),"")</calculatedColumnFormula>
    </tableColumn>
    <tableColumn id="36" name="10_">
      <calculatedColumnFormula>IF(Tabela1[[#This Row],[10]]&lt;&gt;"",IF(ISNUMBER(FIND(",",Tabela1[[#This Row],[10]])),LEN(Tabela1[[#This Row],[10]])-LEN(SUBSTITUTE(Tabela1[[#This Row],[10]],",",""))+1,1),"")</calculatedColumnFormula>
    </tableColumn>
    <tableColumn id="37" name="11_">
      <calculatedColumnFormula>IF(Tabela1[[#This Row],[11]]&lt;&gt;"",IF(ISNUMBER(FIND(",",Tabela1[[#This Row],[11]])),LEN(Tabela1[[#This Row],[11]])-LEN(SUBSTITUTE(Tabela1[[#This Row],[11]],",",""))+1,1),"")</calculatedColumnFormula>
    </tableColumn>
    <tableColumn id="38" name="12_">
      <calculatedColumnFormula>IF(Tabela1[[#This Row],[12]]&lt;&gt;"",IF(ISNUMBER(FIND(",",Tabela1[[#This Row],[12]])),LEN(Tabela1[[#This Row],[12]])-LEN(SUBSTITUTE(Tabela1[[#This Row],[12]],",",""))+1,1),"")</calculatedColumnFormula>
    </tableColumn>
    <tableColumn id="39" name="13_">
      <calculatedColumnFormula>IF(Tabela1[[#This Row],[13]]&lt;&gt;"",IF(ISNUMBER(FIND(",",Tabela1[[#This Row],[13]])),LEN(Tabela1[[#This Row],[13]])-LEN(SUBSTITUTE(Tabela1[[#This Row],[13]],",",""))+1,1),"")</calculatedColumnFormula>
    </tableColumn>
    <tableColumn id="40" name="14_">
      <calculatedColumnFormula>IF(Tabela1[[#This Row],[14]]&lt;&gt;"",IF(ISNUMBER(FIND(",",Tabela1[[#This Row],[14]])),LEN(Tabela1[[#This Row],[14]])-LEN(SUBSTITUTE(Tabela1[[#This Row],[14]],",",""))+1,1),"")</calculatedColumnFormula>
    </tableColumn>
    <tableColumn id="41" name="15_">
      <calculatedColumnFormula>IF(Tabela1[[#This Row],[15]]&lt;&gt;"",IF(ISNUMBER(FIND(",",Tabela1[[#This Row],[15]])),LEN(Tabela1[[#This Row],[15]])-LEN(SUBSTITUTE(Tabela1[[#This Row],[15]],",",""))+1,1),"")</calculatedColumnFormula>
    </tableColumn>
    <tableColumn id="42" name="16_">
      <calculatedColumnFormula>IF(Tabela1[[#This Row],[16]]&lt;&gt;"",IF(ISNUMBER(FIND(",",Tabela1[[#This Row],[16]])),LEN(Tabela1[[#This Row],[16]])-LEN(SUBSTITUTE(Tabela1[[#This Row],[16]],",",""))+1,1),"")</calculatedColumnFormula>
    </tableColumn>
    <tableColumn id="43" name="17_">
      <calculatedColumnFormula>IF(Tabela1[[#This Row],[17]]&lt;&gt;"",IF(ISNUMBER(FIND(",",Tabela1[[#This Row],[17]])),LEN(Tabela1[[#This Row],[17]])-LEN(SUBSTITUTE(Tabela1[[#This Row],[17]],",",""))+1,1),"")</calculatedColumnFormula>
    </tableColumn>
    <tableColumn id="44" name="18_">
      <calculatedColumnFormula>IF(Tabela1[[#This Row],[18]]&lt;&gt;"",IF(ISNUMBER(FIND(",",Tabela1[[#This Row],[18]])),LEN(Tabela1[[#This Row],[18]])-LEN(SUBSTITUTE(Tabela1[[#This Row],[18]],",",""))+1,1),"")</calculatedColumnFormula>
    </tableColumn>
    <tableColumn id="45" name="19_" dataDxfId="4">
      <calculatedColumnFormula>IF(Tabela1[[#This Row],[19_LENGTH]]&lt;&gt;"",IF(ISNUMBER(FIND(",",Tabela1[[#This Row],[19_LENGTH]])),LEN(Tabela1[[#This Row],[19_LENGTH]])-LEN(SUBSTITUTE(Tabela1[[#This Row],[19_LENGTH]],",",""))+1,1),"")</calculatedColumnFormula>
    </tableColumn>
    <tableColumn id="46" name="TOTAL" dataDxfId="3">
      <calculatedColumnFormula>SUM(Tabela1[[#This Row],[1_]:[19_]])</calculatedColumnFormula>
    </tableColumn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id="2" name="Tabela2" displayName="Tabela2" ref="A3:B112" totalsRowShown="0">
  <autoFilter ref="A3:B112"/>
  <tableColumns count="2">
    <tableColumn id="4" name="ORDER" dataDxfId="2"/>
    <tableColumn id="6" name="PRODUCT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Tabela3" displayName="Tabela3" ref="A3:G326" totalsRowShown="0">
  <autoFilter ref="A3:G326"/>
  <tableColumns count="7">
    <tableColumn id="1" name="ORDER"/>
    <tableColumn id="8" name="PRODUCT" dataDxfId="1">
      <calculatedColumnFormula>VLOOKUP(Tabela3[[#This Row],[ORDER]],Tabela2[#All],2,0)</calculatedColumnFormula>
    </tableColumn>
    <tableColumn id="2" name="ID"/>
    <tableColumn id="3" name="MACHINE"/>
    <tableColumn id="4" name="DATE" dataDxfId="0"/>
    <tableColumn id="5" name="LENGHT"/>
    <tableColumn id="9" name="VERSION"/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AS679"/>
  <sheetViews>
    <sheetView tabSelected="1" zoomScaleNormal="100" workbookViewId="0">
      <pane ySplit="3" topLeftCell="A645" activePane="bottomLeft" state="frozen"/>
      <selection activeCell="B6" sqref="B6:C6"/>
      <selection pane="bottomLeft" activeCell="B3" sqref="B3"/>
    </sheetView>
  </sheetViews>
  <sheetFormatPr defaultRowHeight="15" x14ac:dyDescent="0.25"/>
  <cols>
    <col min="1" max="44" width="14.7109375" customWidth="1"/>
    <col min="45" max="45" width="9.140625" customWidth="1"/>
  </cols>
  <sheetData>
    <row r="1" spans="1:45" ht="23.25" x14ac:dyDescent="0.35">
      <c r="A1" s="28" t="s">
        <v>1397</v>
      </c>
      <c r="B1" s="1"/>
      <c r="C1" s="1"/>
      <c r="D1" s="24"/>
      <c r="E1" s="25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0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2"/>
    </row>
    <row r="2" spans="1:45" x14ac:dyDescent="0.25">
      <c r="A2" s="1"/>
      <c r="B2" s="1"/>
      <c r="C2" s="1"/>
      <c r="D2" s="24"/>
      <c r="E2" s="25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6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13"/>
    </row>
    <row r="3" spans="1:45" ht="41.25" customHeight="1" thickBot="1" x14ac:dyDescent="0.3">
      <c r="A3" s="7" t="s">
        <v>262</v>
      </c>
      <c r="B3" s="7" t="s">
        <v>263</v>
      </c>
      <c r="C3" s="7" t="s">
        <v>264</v>
      </c>
      <c r="D3" s="7" t="s">
        <v>265</v>
      </c>
      <c r="E3" s="7" t="s">
        <v>266</v>
      </c>
      <c r="F3" s="26" t="s">
        <v>267</v>
      </c>
      <c r="G3" s="26" t="s">
        <v>268</v>
      </c>
      <c r="H3" s="26" t="s">
        <v>269</v>
      </c>
      <c r="I3" s="26" t="s">
        <v>270</v>
      </c>
      <c r="J3" s="26" t="s">
        <v>271</v>
      </c>
      <c r="K3" s="26" t="s">
        <v>272</v>
      </c>
      <c r="L3" s="26" t="s">
        <v>273</v>
      </c>
      <c r="M3" s="26" t="s">
        <v>274</v>
      </c>
      <c r="N3" s="26" t="s">
        <v>275</v>
      </c>
      <c r="O3" s="26" t="s">
        <v>0</v>
      </c>
      <c r="P3" s="26" t="s">
        <v>1</v>
      </c>
      <c r="Q3" s="26" t="s">
        <v>2</v>
      </c>
      <c r="R3" s="26" t="s">
        <v>3</v>
      </c>
      <c r="S3" s="26" t="s">
        <v>4</v>
      </c>
      <c r="T3" s="26" t="s">
        <v>5</v>
      </c>
      <c r="U3" s="26" t="s">
        <v>6</v>
      </c>
      <c r="V3" s="26" t="s">
        <v>7</v>
      </c>
      <c r="W3" s="26" t="s">
        <v>8</v>
      </c>
      <c r="X3" s="26" t="s">
        <v>295</v>
      </c>
      <c r="Y3" s="7" t="s">
        <v>296</v>
      </c>
      <c r="Z3" s="14" t="s">
        <v>277</v>
      </c>
      <c r="AA3" s="7" t="s">
        <v>278</v>
      </c>
      <c r="AB3" s="7" t="s">
        <v>279</v>
      </c>
      <c r="AC3" s="7" t="s">
        <v>280</v>
      </c>
      <c r="AD3" s="7" t="s">
        <v>281</v>
      </c>
      <c r="AE3" s="7" t="s">
        <v>282</v>
      </c>
      <c r="AF3" s="7" t="s">
        <v>283</v>
      </c>
      <c r="AG3" s="7" t="s">
        <v>284</v>
      </c>
      <c r="AH3" s="7" t="s">
        <v>285</v>
      </c>
      <c r="AI3" s="7" t="s">
        <v>286</v>
      </c>
      <c r="AJ3" s="7" t="s">
        <v>287</v>
      </c>
      <c r="AK3" s="7" t="s">
        <v>288</v>
      </c>
      <c r="AL3" s="8" t="s">
        <v>289</v>
      </c>
      <c r="AM3" s="9" t="s">
        <v>290</v>
      </c>
      <c r="AN3" s="9" t="s">
        <v>291</v>
      </c>
      <c r="AO3" s="9" t="s">
        <v>292</v>
      </c>
      <c r="AP3" s="9" t="s">
        <v>293</v>
      </c>
      <c r="AQ3" s="9" t="s">
        <v>294</v>
      </c>
      <c r="AR3" s="15" t="s">
        <v>297</v>
      </c>
      <c r="AS3" s="23" t="s">
        <v>53</v>
      </c>
    </row>
    <row r="4" spans="1:45" x14ac:dyDescent="0.25">
      <c r="A4" s="27" t="s">
        <v>1316</v>
      </c>
      <c r="B4" s="19" t="s">
        <v>299</v>
      </c>
      <c r="C4" s="19">
        <v>222</v>
      </c>
      <c r="D4" s="19" t="s">
        <v>1301</v>
      </c>
      <c r="E4" s="20">
        <v>43438</v>
      </c>
      <c r="F4" s="19"/>
      <c r="G4" s="19">
        <v>22</v>
      </c>
      <c r="H4" s="19"/>
      <c r="I4" s="19" t="s">
        <v>9</v>
      </c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>
        <v>23</v>
      </c>
      <c r="V4" s="19">
        <v>147</v>
      </c>
      <c r="W4" s="19"/>
      <c r="X4" s="19"/>
      <c r="Y4" s="19"/>
      <c r="Z4" s="6" t="str">
        <f>IF(Tabela1[[#This Row],[1]]&lt;&gt;"",IF(ISNUMBER(FIND(",",Tabela1[[#This Row],[1]])),LEN(Tabela1[[#This Row],[1]])-LEN(SUBSTITUTE(Tabela1[[#This Row],[1]],",",""))+1,1),"")</f>
        <v/>
      </c>
      <c r="AA4" s="5">
        <f>IF(Tabela1[[#This Row],[2]]&lt;&gt;"",IF(ISNUMBER(FIND(",",Tabela1[[#This Row],[2]])),LEN(Tabela1[[#This Row],[2]])-LEN(SUBSTITUTE(Tabela1[[#This Row],[2]],",",""))+1,1),"")</f>
        <v>1</v>
      </c>
      <c r="AB4" s="5" t="str">
        <f>IF(Tabela1[[#This Row],[3]]&lt;&gt;"",IF(ISNUMBER(FIND(",",Tabela1[[#This Row],[3]])),LEN(Tabela1[[#This Row],[3]])-LEN(SUBSTITUTE(Tabela1[[#This Row],[3]],",",""))+1,1),"")</f>
        <v/>
      </c>
      <c r="AC4" s="5">
        <f>IF(Tabela1[[#This Row],[4]]&lt;&gt;"",IF(ISNUMBER(FIND(",",Tabela1[[#This Row],[4]])),LEN(Tabela1[[#This Row],[4]])-LEN(SUBSTITUTE(Tabela1[[#This Row],[4]],",",""))+1,1),"")</f>
        <v>3</v>
      </c>
      <c r="AD4" s="5" t="str">
        <f>IF(Tabela1[[#This Row],[5]]&lt;&gt;"",IF(ISNUMBER(FIND(",",Tabela1[[#This Row],[5]])),LEN(Tabela1[[#This Row],[5]])-LEN(SUBSTITUTE(Tabela1[[#This Row],[5]],",",""))+1,1),"")</f>
        <v/>
      </c>
      <c r="AE4" s="5" t="str">
        <f>IF(Tabela1[[#This Row],[6]]&lt;&gt;"",IF(ISNUMBER(FIND(",",Tabela1[[#This Row],[6]])),LEN(Tabela1[[#This Row],[6]])-LEN(SUBSTITUTE(Tabela1[[#This Row],[6]],",",""))+1,1),"")</f>
        <v/>
      </c>
      <c r="AF4" s="5" t="str">
        <f>IF(Tabela1[[#This Row],[7]]&lt;&gt;"",IF(ISNUMBER(FIND(",",Tabela1[[#This Row],[7]])),LEN(Tabela1[[#This Row],[7]])-LEN(SUBSTITUTE(Tabela1[[#This Row],[7]],",",""))+1,1),"")</f>
        <v/>
      </c>
      <c r="AG4" s="5" t="str">
        <f>IF(Tabela1[[#This Row],[8]]&lt;&gt;"",IF(ISNUMBER(FIND(",",Tabela1[[#This Row],[8]])),LEN(Tabela1[[#This Row],[8]])-LEN(SUBSTITUTE(Tabela1[[#This Row],[8]],",",""))+1,1),"")</f>
        <v/>
      </c>
      <c r="AH4" s="5" t="str">
        <f>IF(Tabela1[[#This Row],[9]]&lt;&gt;"",IF(ISNUMBER(FIND(",",Tabela1[[#This Row],[9]])),LEN(Tabela1[[#This Row],[9]])-LEN(SUBSTITUTE(Tabela1[[#This Row],[9]],",",""))+1,1),"")</f>
        <v/>
      </c>
      <c r="AI4" s="5" t="str">
        <f>IF(Tabela1[[#This Row],[10]]&lt;&gt;"",IF(ISNUMBER(FIND(",",Tabela1[[#This Row],[10]])),LEN(Tabela1[[#This Row],[10]])-LEN(SUBSTITUTE(Tabela1[[#This Row],[10]],",",""))+1,1),"")</f>
        <v/>
      </c>
      <c r="AJ4" s="5" t="str">
        <f>IF(Tabela1[[#This Row],[11]]&lt;&gt;"",IF(ISNUMBER(FIND(",",Tabela1[[#This Row],[11]])),LEN(Tabela1[[#This Row],[11]])-LEN(SUBSTITUTE(Tabela1[[#This Row],[11]],",",""))+1,1),"")</f>
        <v/>
      </c>
      <c r="AK4" s="5" t="str">
        <f>IF(Tabela1[[#This Row],[12]]&lt;&gt;"",IF(ISNUMBER(FIND(",",Tabela1[[#This Row],[12]])),LEN(Tabela1[[#This Row],[12]])-LEN(SUBSTITUTE(Tabela1[[#This Row],[12]],",",""))+1,1),"")</f>
        <v/>
      </c>
      <c r="AL4" s="5" t="str">
        <f>IF(Tabela1[[#This Row],[13]]&lt;&gt;"",IF(ISNUMBER(FIND(",",Tabela1[[#This Row],[13]])),LEN(Tabela1[[#This Row],[13]])-LEN(SUBSTITUTE(Tabela1[[#This Row],[13]],",",""))+1,1),"")</f>
        <v/>
      </c>
      <c r="AM4" s="5" t="str">
        <f>IF(Tabela1[[#This Row],[14]]&lt;&gt;"",IF(ISNUMBER(FIND(",",Tabela1[[#This Row],[14]])),LEN(Tabela1[[#This Row],[14]])-LEN(SUBSTITUTE(Tabela1[[#This Row],[14]],",",""))+1,1),"")</f>
        <v/>
      </c>
      <c r="AN4" s="5" t="str">
        <f>IF(Tabela1[[#This Row],[15]]&lt;&gt;"",IF(ISNUMBER(FIND(",",Tabela1[[#This Row],[15]])),LEN(Tabela1[[#This Row],[15]])-LEN(SUBSTITUTE(Tabela1[[#This Row],[15]],",",""))+1,1),"")</f>
        <v/>
      </c>
      <c r="AO4" s="5">
        <f>IF(Tabela1[[#This Row],[16]]&lt;&gt;"",IF(ISNUMBER(FIND(",",Tabela1[[#This Row],[16]])),LEN(Tabela1[[#This Row],[16]])-LEN(SUBSTITUTE(Tabela1[[#This Row],[16]],",",""))+1,1),"")</f>
        <v>1</v>
      </c>
      <c r="AP4" s="5">
        <f>IF(Tabela1[[#This Row],[17]]&lt;&gt;"",IF(ISNUMBER(FIND(",",Tabela1[[#This Row],[17]])),LEN(Tabela1[[#This Row],[17]])-LEN(SUBSTITUTE(Tabela1[[#This Row],[17]],",",""))+1,1),"")</f>
        <v>1</v>
      </c>
      <c r="AQ4" s="5" t="str">
        <f>IF(Tabela1[[#This Row],[18]]&lt;&gt;"",IF(ISNUMBER(FIND(",",Tabela1[[#This Row],[18]])),LEN(Tabela1[[#This Row],[18]])-LEN(SUBSTITUTE(Tabela1[[#This Row],[18]],",",""))+1,1),"")</f>
        <v/>
      </c>
      <c r="AR4" s="13" t="str">
        <f>IF(Tabela1[[#This Row],[19_LENGTH]]&lt;&gt;"",IF(ISNUMBER(FIND(",",Tabela1[[#This Row],[19_LENGTH]])),LEN(Tabela1[[#This Row],[19_LENGTH]])-LEN(SUBSTITUTE(Tabela1[[#This Row],[19_LENGTH]],",",""))+1,1),"")</f>
        <v/>
      </c>
      <c r="AS4">
        <f>SUM(Tabela1[[#This Row],[1_]:[19_]])</f>
        <v>6</v>
      </c>
    </row>
    <row r="5" spans="1:45" x14ac:dyDescent="0.25">
      <c r="A5" s="27" t="s">
        <v>1316</v>
      </c>
      <c r="B5" s="19" t="s">
        <v>300</v>
      </c>
      <c r="C5" s="19">
        <v>202</v>
      </c>
      <c r="D5" s="19" t="s">
        <v>1304</v>
      </c>
      <c r="E5" s="20">
        <v>43438</v>
      </c>
      <c r="F5" s="19"/>
      <c r="G5" s="19"/>
      <c r="H5" s="19"/>
      <c r="I5" s="19">
        <v>152</v>
      </c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6" t="str">
        <f>IF(Tabela1[[#This Row],[1]]&lt;&gt;"",IF(ISNUMBER(FIND(",",Tabela1[[#This Row],[1]])),LEN(Tabela1[[#This Row],[1]])-LEN(SUBSTITUTE(Tabela1[[#This Row],[1]],",",""))+1,1),"")</f>
        <v/>
      </c>
      <c r="AA5" s="5" t="str">
        <f>IF(Tabela1[[#This Row],[2]]&lt;&gt;"",IF(ISNUMBER(FIND(",",Tabela1[[#This Row],[2]])),LEN(Tabela1[[#This Row],[2]])-LEN(SUBSTITUTE(Tabela1[[#This Row],[2]],",",""))+1,1),"")</f>
        <v/>
      </c>
      <c r="AB5" s="5" t="str">
        <f>IF(Tabela1[[#This Row],[3]]&lt;&gt;"",IF(ISNUMBER(FIND(",",Tabela1[[#This Row],[3]])),LEN(Tabela1[[#This Row],[3]])-LEN(SUBSTITUTE(Tabela1[[#This Row],[3]],",",""))+1,1),"")</f>
        <v/>
      </c>
      <c r="AC5" s="5">
        <f>IF(Tabela1[[#This Row],[4]]&lt;&gt;"",IF(ISNUMBER(FIND(",",Tabela1[[#This Row],[4]])),LEN(Tabela1[[#This Row],[4]])-LEN(SUBSTITUTE(Tabela1[[#This Row],[4]],",",""))+1,1),"")</f>
        <v>1</v>
      </c>
      <c r="AD5" s="5" t="str">
        <f>IF(Tabela1[[#This Row],[5]]&lt;&gt;"",IF(ISNUMBER(FIND(",",Tabela1[[#This Row],[5]])),LEN(Tabela1[[#This Row],[5]])-LEN(SUBSTITUTE(Tabela1[[#This Row],[5]],",",""))+1,1),"")</f>
        <v/>
      </c>
      <c r="AE5" s="5" t="str">
        <f>IF(Tabela1[[#This Row],[6]]&lt;&gt;"",IF(ISNUMBER(FIND(",",Tabela1[[#This Row],[6]])),LEN(Tabela1[[#This Row],[6]])-LEN(SUBSTITUTE(Tabela1[[#This Row],[6]],",",""))+1,1),"")</f>
        <v/>
      </c>
      <c r="AF5" s="5" t="str">
        <f>IF(Tabela1[[#This Row],[7]]&lt;&gt;"",IF(ISNUMBER(FIND(",",Tabela1[[#This Row],[7]])),LEN(Tabela1[[#This Row],[7]])-LEN(SUBSTITUTE(Tabela1[[#This Row],[7]],",",""))+1,1),"")</f>
        <v/>
      </c>
      <c r="AG5" s="5" t="str">
        <f>IF(Tabela1[[#This Row],[8]]&lt;&gt;"",IF(ISNUMBER(FIND(",",Tabela1[[#This Row],[8]])),LEN(Tabela1[[#This Row],[8]])-LEN(SUBSTITUTE(Tabela1[[#This Row],[8]],",",""))+1,1),"")</f>
        <v/>
      </c>
      <c r="AH5" s="5" t="str">
        <f>IF(Tabela1[[#This Row],[9]]&lt;&gt;"",IF(ISNUMBER(FIND(",",Tabela1[[#This Row],[9]])),LEN(Tabela1[[#This Row],[9]])-LEN(SUBSTITUTE(Tabela1[[#This Row],[9]],",",""))+1,1),"")</f>
        <v/>
      </c>
      <c r="AI5" s="5" t="str">
        <f>IF(Tabela1[[#This Row],[10]]&lt;&gt;"",IF(ISNUMBER(FIND(",",Tabela1[[#This Row],[10]])),LEN(Tabela1[[#This Row],[10]])-LEN(SUBSTITUTE(Tabela1[[#This Row],[10]],",",""))+1,1),"")</f>
        <v/>
      </c>
      <c r="AJ5" s="5" t="str">
        <f>IF(Tabela1[[#This Row],[11]]&lt;&gt;"",IF(ISNUMBER(FIND(",",Tabela1[[#This Row],[11]])),LEN(Tabela1[[#This Row],[11]])-LEN(SUBSTITUTE(Tabela1[[#This Row],[11]],",",""))+1,1),"")</f>
        <v/>
      </c>
      <c r="AK5" s="5" t="str">
        <f>IF(Tabela1[[#This Row],[12]]&lt;&gt;"",IF(ISNUMBER(FIND(",",Tabela1[[#This Row],[12]])),LEN(Tabela1[[#This Row],[12]])-LEN(SUBSTITUTE(Tabela1[[#This Row],[12]],",",""))+1,1),"")</f>
        <v/>
      </c>
      <c r="AL5" s="5" t="str">
        <f>IF(Tabela1[[#This Row],[13]]&lt;&gt;"",IF(ISNUMBER(FIND(",",Tabela1[[#This Row],[13]])),LEN(Tabela1[[#This Row],[13]])-LEN(SUBSTITUTE(Tabela1[[#This Row],[13]],",",""))+1,1),"")</f>
        <v/>
      </c>
      <c r="AM5" s="5" t="str">
        <f>IF(Tabela1[[#This Row],[14]]&lt;&gt;"",IF(ISNUMBER(FIND(",",Tabela1[[#This Row],[14]])),LEN(Tabela1[[#This Row],[14]])-LEN(SUBSTITUTE(Tabela1[[#This Row],[14]],",",""))+1,1),"")</f>
        <v/>
      </c>
      <c r="AN5" s="5" t="str">
        <f>IF(Tabela1[[#This Row],[15]]&lt;&gt;"",IF(ISNUMBER(FIND(",",Tabela1[[#This Row],[15]])),LEN(Tabela1[[#This Row],[15]])-LEN(SUBSTITUTE(Tabela1[[#This Row],[15]],",",""))+1,1),"")</f>
        <v/>
      </c>
      <c r="AO5" s="5" t="str">
        <f>IF(Tabela1[[#This Row],[16]]&lt;&gt;"",IF(ISNUMBER(FIND(",",Tabela1[[#This Row],[16]])),LEN(Tabela1[[#This Row],[16]])-LEN(SUBSTITUTE(Tabela1[[#This Row],[16]],",",""))+1,1),"")</f>
        <v/>
      </c>
      <c r="AP5" s="5" t="str">
        <f>IF(Tabela1[[#This Row],[17]]&lt;&gt;"",IF(ISNUMBER(FIND(",",Tabela1[[#This Row],[17]])),LEN(Tabela1[[#This Row],[17]])-LEN(SUBSTITUTE(Tabela1[[#This Row],[17]],",",""))+1,1),"")</f>
        <v/>
      </c>
      <c r="AQ5" s="5" t="str">
        <f>IF(Tabela1[[#This Row],[18]]&lt;&gt;"",IF(ISNUMBER(FIND(",",Tabela1[[#This Row],[18]])),LEN(Tabela1[[#This Row],[18]])-LEN(SUBSTITUTE(Tabela1[[#This Row],[18]],",",""))+1,1),"")</f>
        <v/>
      </c>
      <c r="AR5" s="13" t="str">
        <f>IF(Tabela1[[#This Row],[19_LENGTH]]&lt;&gt;"",IF(ISNUMBER(FIND(",",Tabela1[[#This Row],[19_LENGTH]])),LEN(Tabela1[[#This Row],[19_LENGTH]])-LEN(SUBSTITUTE(Tabela1[[#This Row],[19_LENGTH]],",",""))+1,1),"")</f>
        <v/>
      </c>
      <c r="AS5">
        <f>SUM(Tabela1[[#This Row],[1_]:[19_]])</f>
        <v>1</v>
      </c>
    </row>
    <row r="6" spans="1:45" ht="15.75" thickBot="1" x14ac:dyDescent="0.3">
      <c r="A6" s="27" t="s">
        <v>1316</v>
      </c>
      <c r="B6" s="19" t="s">
        <v>301</v>
      </c>
      <c r="C6" s="19">
        <v>202</v>
      </c>
      <c r="D6" s="19" t="s">
        <v>1304</v>
      </c>
      <c r="E6" s="20">
        <v>43438</v>
      </c>
      <c r="F6" s="19"/>
      <c r="G6" s="19"/>
      <c r="H6" s="19"/>
      <c r="I6" s="19"/>
      <c r="J6" s="19">
        <v>135</v>
      </c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6" t="str">
        <f>IF(Tabela1[[#This Row],[1]]&lt;&gt;"",IF(ISNUMBER(FIND(",",Tabela1[[#This Row],[1]])),LEN(Tabela1[[#This Row],[1]])-LEN(SUBSTITUTE(Tabela1[[#This Row],[1]],",",""))+1,1),"")</f>
        <v/>
      </c>
      <c r="AA6" s="17" t="str">
        <f>IF(Tabela1[[#This Row],[2]]&lt;&gt;"",IF(ISNUMBER(FIND(",",Tabela1[[#This Row],[2]])),LEN(Tabela1[[#This Row],[2]])-LEN(SUBSTITUTE(Tabela1[[#This Row],[2]],",",""))+1,1),"")</f>
        <v/>
      </c>
      <c r="AB6" s="17" t="str">
        <f>IF(Tabela1[[#This Row],[3]]&lt;&gt;"",IF(ISNUMBER(FIND(",",Tabela1[[#This Row],[3]])),LEN(Tabela1[[#This Row],[3]])-LEN(SUBSTITUTE(Tabela1[[#This Row],[3]],",",""))+1,1),"")</f>
        <v/>
      </c>
      <c r="AC6" s="17" t="str">
        <f>IF(Tabela1[[#This Row],[4]]&lt;&gt;"",IF(ISNUMBER(FIND(",",Tabela1[[#This Row],[4]])),LEN(Tabela1[[#This Row],[4]])-LEN(SUBSTITUTE(Tabela1[[#This Row],[4]],",",""))+1,1),"")</f>
        <v/>
      </c>
      <c r="AD6" s="17">
        <f>IF(Tabela1[[#This Row],[5]]&lt;&gt;"",IF(ISNUMBER(FIND(",",Tabela1[[#This Row],[5]])),LEN(Tabela1[[#This Row],[5]])-LEN(SUBSTITUTE(Tabela1[[#This Row],[5]],",",""))+1,1),"")</f>
        <v>1</v>
      </c>
      <c r="AE6" s="17" t="str">
        <f>IF(Tabela1[[#This Row],[6]]&lt;&gt;"",IF(ISNUMBER(FIND(",",Tabela1[[#This Row],[6]])),LEN(Tabela1[[#This Row],[6]])-LEN(SUBSTITUTE(Tabela1[[#This Row],[6]],",",""))+1,1),"")</f>
        <v/>
      </c>
      <c r="AF6" s="17" t="str">
        <f>IF(Tabela1[[#This Row],[7]]&lt;&gt;"",IF(ISNUMBER(FIND(",",Tabela1[[#This Row],[7]])),LEN(Tabela1[[#This Row],[7]])-LEN(SUBSTITUTE(Tabela1[[#This Row],[7]],",",""))+1,1),"")</f>
        <v/>
      </c>
      <c r="AG6" s="17" t="str">
        <f>IF(Tabela1[[#This Row],[8]]&lt;&gt;"",IF(ISNUMBER(FIND(",",Tabela1[[#This Row],[8]])),LEN(Tabela1[[#This Row],[8]])-LEN(SUBSTITUTE(Tabela1[[#This Row],[8]],",",""))+1,1),"")</f>
        <v/>
      </c>
      <c r="AH6" s="17" t="str">
        <f>IF(Tabela1[[#This Row],[9]]&lt;&gt;"",IF(ISNUMBER(FIND(",",Tabela1[[#This Row],[9]])),LEN(Tabela1[[#This Row],[9]])-LEN(SUBSTITUTE(Tabela1[[#This Row],[9]],",",""))+1,1),"")</f>
        <v/>
      </c>
      <c r="AI6" s="17" t="str">
        <f>IF(Tabela1[[#This Row],[10]]&lt;&gt;"",IF(ISNUMBER(FIND(",",Tabela1[[#This Row],[10]])),LEN(Tabela1[[#This Row],[10]])-LEN(SUBSTITUTE(Tabela1[[#This Row],[10]],",",""))+1,1),"")</f>
        <v/>
      </c>
      <c r="AJ6" s="17" t="str">
        <f>IF(Tabela1[[#This Row],[11]]&lt;&gt;"",IF(ISNUMBER(FIND(",",Tabela1[[#This Row],[11]])),LEN(Tabela1[[#This Row],[11]])-LEN(SUBSTITUTE(Tabela1[[#This Row],[11]],",",""))+1,1),"")</f>
        <v/>
      </c>
      <c r="AK6" s="17" t="str">
        <f>IF(Tabela1[[#This Row],[12]]&lt;&gt;"",IF(ISNUMBER(FIND(",",Tabela1[[#This Row],[12]])),LEN(Tabela1[[#This Row],[12]])-LEN(SUBSTITUTE(Tabela1[[#This Row],[12]],",",""))+1,1),"")</f>
        <v/>
      </c>
      <c r="AL6" s="17" t="str">
        <f>IF(Tabela1[[#This Row],[13]]&lt;&gt;"",IF(ISNUMBER(FIND(",",Tabela1[[#This Row],[13]])),LEN(Tabela1[[#This Row],[13]])-LEN(SUBSTITUTE(Tabela1[[#This Row],[13]],",",""))+1,1),"")</f>
        <v/>
      </c>
      <c r="AM6" s="17" t="str">
        <f>IF(Tabela1[[#This Row],[14]]&lt;&gt;"",IF(ISNUMBER(FIND(",",Tabela1[[#This Row],[14]])),LEN(Tabela1[[#This Row],[14]])-LEN(SUBSTITUTE(Tabela1[[#This Row],[14]],",",""))+1,1),"")</f>
        <v/>
      </c>
      <c r="AN6" s="17" t="str">
        <f>IF(Tabela1[[#This Row],[15]]&lt;&gt;"",IF(ISNUMBER(FIND(",",Tabela1[[#This Row],[15]])),LEN(Tabela1[[#This Row],[15]])-LEN(SUBSTITUTE(Tabela1[[#This Row],[15]],",",""))+1,1),"")</f>
        <v/>
      </c>
      <c r="AO6" s="17" t="str">
        <f>IF(Tabela1[[#This Row],[16]]&lt;&gt;"",IF(ISNUMBER(FIND(",",Tabela1[[#This Row],[16]])),LEN(Tabela1[[#This Row],[16]])-LEN(SUBSTITUTE(Tabela1[[#This Row],[16]],",",""))+1,1),"")</f>
        <v/>
      </c>
      <c r="AP6" s="17" t="str">
        <f>IF(Tabela1[[#This Row],[17]]&lt;&gt;"",IF(ISNUMBER(FIND(",",Tabela1[[#This Row],[17]])),LEN(Tabela1[[#This Row],[17]])-LEN(SUBSTITUTE(Tabela1[[#This Row],[17]],",",""))+1,1),"")</f>
        <v/>
      </c>
      <c r="AQ6" s="17" t="str">
        <f>IF(Tabela1[[#This Row],[18]]&lt;&gt;"",IF(ISNUMBER(FIND(",",Tabela1[[#This Row],[18]])),LEN(Tabela1[[#This Row],[18]])-LEN(SUBSTITUTE(Tabela1[[#This Row],[18]],",",""))+1,1),"")</f>
        <v/>
      </c>
      <c r="AR6" s="18" t="str">
        <f>IF(Tabela1[[#This Row],[19_LENGTH]]&lt;&gt;"",IF(ISNUMBER(FIND(",",Tabela1[[#This Row],[19_LENGTH]])),LEN(Tabela1[[#This Row],[19_LENGTH]])-LEN(SUBSTITUTE(Tabela1[[#This Row],[19_LENGTH]],",",""))+1,1),"")</f>
        <v/>
      </c>
      <c r="AS6">
        <f>SUM(Tabela1[[#This Row],[1_]:[19_]])</f>
        <v>1</v>
      </c>
    </row>
    <row r="7" spans="1:45" x14ac:dyDescent="0.25">
      <c r="A7" s="27" t="s">
        <v>1316</v>
      </c>
      <c r="B7" s="19" t="s">
        <v>952</v>
      </c>
      <c r="C7" s="19">
        <v>202</v>
      </c>
      <c r="D7" s="19" t="s">
        <v>1294</v>
      </c>
      <c r="E7" s="20">
        <v>43439</v>
      </c>
      <c r="F7" s="19"/>
      <c r="G7" s="19"/>
      <c r="H7" s="19"/>
      <c r="I7" s="19"/>
      <c r="J7" s="19"/>
      <c r="K7" s="19"/>
      <c r="L7" s="19"/>
      <c r="M7" s="19"/>
      <c r="N7" s="19"/>
      <c r="O7" s="19">
        <v>130</v>
      </c>
      <c r="P7" s="19"/>
      <c r="Q7" s="19"/>
      <c r="R7" s="19"/>
      <c r="S7" s="19"/>
      <c r="T7" s="19"/>
      <c r="U7" s="19"/>
      <c r="V7" s="19"/>
      <c r="W7" s="19"/>
      <c r="X7" s="19"/>
      <c r="Y7" s="19"/>
      <c r="Z7" t="str">
        <f>IF(Tabela1[[#This Row],[1]]&lt;&gt;"",IF(ISNUMBER(FIND(",",Tabela1[[#This Row],[1]])),LEN(Tabela1[[#This Row],[1]])-LEN(SUBSTITUTE(Tabela1[[#This Row],[1]],",",""))+1,1),"")</f>
        <v/>
      </c>
      <c r="AA7" t="str">
        <f>IF(Tabela1[[#This Row],[2]]&lt;&gt;"",IF(ISNUMBER(FIND(",",Tabela1[[#This Row],[2]])),LEN(Tabela1[[#This Row],[2]])-LEN(SUBSTITUTE(Tabela1[[#This Row],[2]],",",""))+1,1),"")</f>
        <v/>
      </c>
      <c r="AB7" t="str">
        <f>IF(Tabela1[[#This Row],[3]]&lt;&gt;"",IF(ISNUMBER(FIND(",",Tabela1[[#This Row],[3]])),LEN(Tabela1[[#This Row],[3]])-LEN(SUBSTITUTE(Tabela1[[#This Row],[3]],",",""))+1,1),"")</f>
        <v/>
      </c>
      <c r="AC7" t="str">
        <f>IF(Tabela1[[#This Row],[4]]&lt;&gt;"",IF(ISNUMBER(FIND(",",Tabela1[[#This Row],[4]])),LEN(Tabela1[[#This Row],[4]])-LEN(SUBSTITUTE(Tabela1[[#This Row],[4]],",",""))+1,1),"")</f>
        <v/>
      </c>
      <c r="AD7" t="str">
        <f>IF(Tabela1[[#This Row],[5]]&lt;&gt;"",IF(ISNUMBER(FIND(",",Tabela1[[#This Row],[5]])),LEN(Tabela1[[#This Row],[5]])-LEN(SUBSTITUTE(Tabela1[[#This Row],[5]],",",""))+1,1),"")</f>
        <v/>
      </c>
      <c r="AE7" t="str">
        <f>IF(Tabela1[[#This Row],[6]]&lt;&gt;"",IF(ISNUMBER(FIND(",",Tabela1[[#This Row],[6]])),LEN(Tabela1[[#This Row],[6]])-LEN(SUBSTITUTE(Tabela1[[#This Row],[6]],",",""))+1,1),"")</f>
        <v/>
      </c>
      <c r="AF7" t="str">
        <f>IF(Tabela1[[#This Row],[7]]&lt;&gt;"",IF(ISNUMBER(FIND(",",Tabela1[[#This Row],[7]])),LEN(Tabela1[[#This Row],[7]])-LEN(SUBSTITUTE(Tabela1[[#This Row],[7]],",",""))+1,1),"")</f>
        <v/>
      </c>
      <c r="AG7" t="str">
        <f>IF(Tabela1[[#This Row],[8]]&lt;&gt;"",IF(ISNUMBER(FIND(",",Tabela1[[#This Row],[8]])),LEN(Tabela1[[#This Row],[8]])-LEN(SUBSTITUTE(Tabela1[[#This Row],[8]],",",""))+1,1),"")</f>
        <v/>
      </c>
      <c r="AH7" t="str">
        <f>IF(Tabela1[[#This Row],[9]]&lt;&gt;"",IF(ISNUMBER(FIND(",",Tabela1[[#This Row],[9]])),LEN(Tabela1[[#This Row],[9]])-LEN(SUBSTITUTE(Tabela1[[#This Row],[9]],",",""))+1,1),"")</f>
        <v/>
      </c>
      <c r="AI7">
        <f>IF(Tabela1[[#This Row],[10]]&lt;&gt;"",IF(ISNUMBER(FIND(",",Tabela1[[#This Row],[10]])),LEN(Tabela1[[#This Row],[10]])-LEN(SUBSTITUTE(Tabela1[[#This Row],[10]],",",""))+1,1),"")</f>
        <v>1</v>
      </c>
      <c r="AJ7" t="str">
        <f>IF(Tabela1[[#This Row],[11]]&lt;&gt;"",IF(ISNUMBER(FIND(",",Tabela1[[#This Row],[11]])),LEN(Tabela1[[#This Row],[11]])-LEN(SUBSTITUTE(Tabela1[[#This Row],[11]],",",""))+1,1),"")</f>
        <v/>
      </c>
      <c r="AK7" t="str">
        <f>IF(Tabela1[[#This Row],[12]]&lt;&gt;"",IF(ISNUMBER(FIND(",",Tabela1[[#This Row],[12]])),LEN(Tabela1[[#This Row],[12]])-LEN(SUBSTITUTE(Tabela1[[#This Row],[12]],",",""))+1,1),"")</f>
        <v/>
      </c>
      <c r="AL7" t="str">
        <f>IF(Tabela1[[#This Row],[13]]&lt;&gt;"",IF(ISNUMBER(FIND(",",Tabela1[[#This Row],[13]])),LEN(Tabela1[[#This Row],[13]])-LEN(SUBSTITUTE(Tabela1[[#This Row],[13]],",",""))+1,1),"")</f>
        <v/>
      </c>
      <c r="AM7" t="str">
        <f>IF(Tabela1[[#This Row],[14]]&lt;&gt;"",IF(ISNUMBER(FIND(",",Tabela1[[#This Row],[14]])),LEN(Tabela1[[#This Row],[14]])-LEN(SUBSTITUTE(Tabela1[[#This Row],[14]],",",""))+1,1),"")</f>
        <v/>
      </c>
      <c r="AN7" t="str">
        <f>IF(Tabela1[[#This Row],[15]]&lt;&gt;"",IF(ISNUMBER(FIND(",",Tabela1[[#This Row],[15]])),LEN(Tabela1[[#This Row],[15]])-LEN(SUBSTITUTE(Tabela1[[#This Row],[15]],",",""))+1,1),"")</f>
        <v/>
      </c>
      <c r="AO7" t="str">
        <f>IF(Tabela1[[#This Row],[16]]&lt;&gt;"",IF(ISNUMBER(FIND(",",Tabela1[[#This Row],[16]])),LEN(Tabela1[[#This Row],[16]])-LEN(SUBSTITUTE(Tabela1[[#This Row],[16]],",",""))+1,1),"")</f>
        <v/>
      </c>
      <c r="AP7" t="str">
        <f>IF(Tabela1[[#This Row],[17]]&lt;&gt;"",IF(ISNUMBER(FIND(",",Tabela1[[#This Row],[17]])),LEN(Tabela1[[#This Row],[17]])-LEN(SUBSTITUTE(Tabela1[[#This Row],[17]],",",""))+1,1),"")</f>
        <v/>
      </c>
      <c r="AQ7" t="str">
        <f>IF(Tabela1[[#This Row],[18]]&lt;&gt;"",IF(ISNUMBER(FIND(",",Tabela1[[#This Row],[18]])),LEN(Tabela1[[#This Row],[18]])-LEN(SUBSTITUTE(Tabela1[[#This Row],[18]],",",""))+1,1),"")</f>
        <v/>
      </c>
      <c r="AR7" s="13" t="str">
        <f>IF(Tabela1[[#This Row],[19_LENGTH]]&lt;&gt;"",IF(ISNUMBER(FIND(",",Tabela1[[#This Row],[19_LENGTH]])),LEN(Tabela1[[#This Row],[19_LENGTH]])-LEN(SUBSTITUTE(Tabela1[[#This Row],[19_LENGTH]],",",""))+1,1),"")</f>
        <v/>
      </c>
      <c r="AS7">
        <f>SUM(Tabela1[[#This Row],[1_]:[19_]])</f>
        <v>1</v>
      </c>
    </row>
    <row r="8" spans="1:45" x14ac:dyDescent="0.25">
      <c r="A8" s="27" t="s">
        <v>1316</v>
      </c>
      <c r="B8" s="19" t="s">
        <v>664</v>
      </c>
      <c r="C8" s="19">
        <v>204</v>
      </c>
      <c r="D8" s="19" t="s">
        <v>1297</v>
      </c>
      <c r="E8" s="20">
        <v>43439</v>
      </c>
      <c r="F8" s="19"/>
      <c r="G8" s="19"/>
      <c r="H8" s="19">
        <v>141</v>
      </c>
      <c r="I8" s="19">
        <v>151</v>
      </c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t="str">
        <f>IF(Tabela1[[#This Row],[1]]&lt;&gt;"",IF(ISNUMBER(FIND(",",Tabela1[[#This Row],[1]])),LEN(Tabela1[[#This Row],[1]])-LEN(SUBSTITUTE(Tabela1[[#This Row],[1]],",",""))+1,1),"")</f>
        <v/>
      </c>
      <c r="AA8" t="str">
        <f>IF(Tabela1[[#This Row],[2]]&lt;&gt;"",IF(ISNUMBER(FIND(",",Tabela1[[#This Row],[2]])),LEN(Tabela1[[#This Row],[2]])-LEN(SUBSTITUTE(Tabela1[[#This Row],[2]],",",""))+1,1),"")</f>
        <v/>
      </c>
      <c r="AB8">
        <f>IF(Tabela1[[#This Row],[3]]&lt;&gt;"",IF(ISNUMBER(FIND(",",Tabela1[[#This Row],[3]])),LEN(Tabela1[[#This Row],[3]])-LEN(SUBSTITUTE(Tabela1[[#This Row],[3]],",",""))+1,1),"")</f>
        <v>1</v>
      </c>
      <c r="AC8">
        <f>IF(Tabela1[[#This Row],[4]]&lt;&gt;"",IF(ISNUMBER(FIND(",",Tabela1[[#This Row],[4]])),LEN(Tabela1[[#This Row],[4]])-LEN(SUBSTITUTE(Tabela1[[#This Row],[4]],",",""))+1,1),"")</f>
        <v>1</v>
      </c>
      <c r="AD8" t="str">
        <f>IF(Tabela1[[#This Row],[5]]&lt;&gt;"",IF(ISNUMBER(FIND(",",Tabela1[[#This Row],[5]])),LEN(Tabela1[[#This Row],[5]])-LEN(SUBSTITUTE(Tabela1[[#This Row],[5]],",",""))+1,1),"")</f>
        <v/>
      </c>
      <c r="AE8" t="str">
        <f>IF(Tabela1[[#This Row],[6]]&lt;&gt;"",IF(ISNUMBER(FIND(",",Tabela1[[#This Row],[6]])),LEN(Tabela1[[#This Row],[6]])-LEN(SUBSTITUTE(Tabela1[[#This Row],[6]],",",""))+1,1),"")</f>
        <v/>
      </c>
      <c r="AF8" t="str">
        <f>IF(Tabela1[[#This Row],[7]]&lt;&gt;"",IF(ISNUMBER(FIND(",",Tabela1[[#This Row],[7]])),LEN(Tabela1[[#This Row],[7]])-LEN(SUBSTITUTE(Tabela1[[#This Row],[7]],",",""))+1,1),"")</f>
        <v/>
      </c>
      <c r="AG8" t="str">
        <f>IF(Tabela1[[#This Row],[8]]&lt;&gt;"",IF(ISNUMBER(FIND(",",Tabela1[[#This Row],[8]])),LEN(Tabela1[[#This Row],[8]])-LEN(SUBSTITUTE(Tabela1[[#This Row],[8]],",",""))+1,1),"")</f>
        <v/>
      </c>
      <c r="AH8" t="str">
        <f>IF(Tabela1[[#This Row],[9]]&lt;&gt;"",IF(ISNUMBER(FIND(",",Tabela1[[#This Row],[9]])),LEN(Tabela1[[#This Row],[9]])-LEN(SUBSTITUTE(Tabela1[[#This Row],[9]],",",""))+1,1),"")</f>
        <v/>
      </c>
      <c r="AI8" t="str">
        <f>IF(Tabela1[[#This Row],[10]]&lt;&gt;"",IF(ISNUMBER(FIND(",",Tabela1[[#This Row],[10]])),LEN(Tabela1[[#This Row],[10]])-LEN(SUBSTITUTE(Tabela1[[#This Row],[10]],",",""))+1,1),"")</f>
        <v/>
      </c>
      <c r="AJ8" t="str">
        <f>IF(Tabela1[[#This Row],[11]]&lt;&gt;"",IF(ISNUMBER(FIND(",",Tabela1[[#This Row],[11]])),LEN(Tabela1[[#This Row],[11]])-LEN(SUBSTITUTE(Tabela1[[#This Row],[11]],",",""))+1,1),"")</f>
        <v/>
      </c>
      <c r="AK8" t="str">
        <f>IF(Tabela1[[#This Row],[12]]&lt;&gt;"",IF(ISNUMBER(FIND(",",Tabela1[[#This Row],[12]])),LEN(Tabela1[[#This Row],[12]])-LEN(SUBSTITUTE(Tabela1[[#This Row],[12]],",",""))+1,1),"")</f>
        <v/>
      </c>
      <c r="AL8" t="str">
        <f>IF(Tabela1[[#This Row],[13]]&lt;&gt;"",IF(ISNUMBER(FIND(",",Tabela1[[#This Row],[13]])),LEN(Tabela1[[#This Row],[13]])-LEN(SUBSTITUTE(Tabela1[[#This Row],[13]],",",""))+1,1),"")</f>
        <v/>
      </c>
      <c r="AM8" t="str">
        <f>IF(Tabela1[[#This Row],[14]]&lt;&gt;"",IF(ISNUMBER(FIND(",",Tabela1[[#This Row],[14]])),LEN(Tabela1[[#This Row],[14]])-LEN(SUBSTITUTE(Tabela1[[#This Row],[14]],",",""))+1,1),"")</f>
        <v/>
      </c>
      <c r="AN8" t="str">
        <f>IF(Tabela1[[#This Row],[15]]&lt;&gt;"",IF(ISNUMBER(FIND(",",Tabela1[[#This Row],[15]])),LEN(Tabela1[[#This Row],[15]])-LEN(SUBSTITUTE(Tabela1[[#This Row],[15]],",",""))+1,1),"")</f>
        <v/>
      </c>
      <c r="AO8" t="str">
        <f>IF(Tabela1[[#This Row],[16]]&lt;&gt;"",IF(ISNUMBER(FIND(",",Tabela1[[#This Row],[16]])),LEN(Tabela1[[#This Row],[16]])-LEN(SUBSTITUTE(Tabela1[[#This Row],[16]],",",""))+1,1),"")</f>
        <v/>
      </c>
      <c r="AP8" t="str">
        <f>IF(Tabela1[[#This Row],[17]]&lt;&gt;"",IF(ISNUMBER(FIND(",",Tabela1[[#This Row],[17]])),LEN(Tabela1[[#This Row],[17]])-LEN(SUBSTITUTE(Tabela1[[#This Row],[17]],",",""))+1,1),"")</f>
        <v/>
      </c>
      <c r="AQ8" t="str">
        <f>IF(Tabela1[[#This Row],[18]]&lt;&gt;"",IF(ISNUMBER(FIND(",",Tabela1[[#This Row],[18]])),LEN(Tabela1[[#This Row],[18]])-LEN(SUBSTITUTE(Tabela1[[#This Row],[18]],",",""))+1,1),"")</f>
        <v/>
      </c>
      <c r="AR8" s="13" t="str">
        <f>IF(Tabela1[[#This Row],[19_LENGTH]]&lt;&gt;"",IF(ISNUMBER(FIND(",",Tabela1[[#This Row],[19_LENGTH]])),LEN(Tabela1[[#This Row],[19_LENGTH]])-LEN(SUBSTITUTE(Tabela1[[#This Row],[19_LENGTH]],",",""))+1,1),"")</f>
        <v/>
      </c>
      <c r="AS8">
        <f>SUM(Tabela1[[#This Row],[1_]:[19_]])</f>
        <v>2</v>
      </c>
    </row>
    <row r="9" spans="1:45" x14ac:dyDescent="0.25">
      <c r="A9" s="27" t="s">
        <v>1316</v>
      </c>
      <c r="B9" s="19" t="s">
        <v>665</v>
      </c>
      <c r="C9" s="19">
        <v>202</v>
      </c>
      <c r="D9" s="19" t="s">
        <v>1297</v>
      </c>
      <c r="E9" s="20">
        <v>43439</v>
      </c>
      <c r="F9" s="19"/>
      <c r="G9" s="19">
        <v>107</v>
      </c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t="str">
        <f>IF(Tabela1[[#This Row],[1]]&lt;&gt;"",IF(ISNUMBER(FIND(",",Tabela1[[#This Row],[1]])),LEN(Tabela1[[#This Row],[1]])-LEN(SUBSTITUTE(Tabela1[[#This Row],[1]],",",""))+1,1),"")</f>
        <v/>
      </c>
      <c r="AA9">
        <f>IF(Tabela1[[#This Row],[2]]&lt;&gt;"",IF(ISNUMBER(FIND(",",Tabela1[[#This Row],[2]])),LEN(Tabela1[[#This Row],[2]])-LEN(SUBSTITUTE(Tabela1[[#This Row],[2]],",",""))+1,1),"")</f>
        <v>1</v>
      </c>
      <c r="AB9" t="str">
        <f>IF(Tabela1[[#This Row],[3]]&lt;&gt;"",IF(ISNUMBER(FIND(",",Tabela1[[#This Row],[3]])),LEN(Tabela1[[#This Row],[3]])-LEN(SUBSTITUTE(Tabela1[[#This Row],[3]],",",""))+1,1),"")</f>
        <v/>
      </c>
      <c r="AC9" t="str">
        <f>IF(Tabela1[[#This Row],[4]]&lt;&gt;"",IF(ISNUMBER(FIND(",",Tabela1[[#This Row],[4]])),LEN(Tabela1[[#This Row],[4]])-LEN(SUBSTITUTE(Tabela1[[#This Row],[4]],",",""))+1,1),"")</f>
        <v/>
      </c>
      <c r="AD9" t="str">
        <f>IF(Tabela1[[#This Row],[5]]&lt;&gt;"",IF(ISNUMBER(FIND(",",Tabela1[[#This Row],[5]])),LEN(Tabela1[[#This Row],[5]])-LEN(SUBSTITUTE(Tabela1[[#This Row],[5]],",",""))+1,1),"")</f>
        <v/>
      </c>
      <c r="AE9" t="str">
        <f>IF(Tabela1[[#This Row],[6]]&lt;&gt;"",IF(ISNUMBER(FIND(",",Tabela1[[#This Row],[6]])),LEN(Tabela1[[#This Row],[6]])-LEN(SUBSTITUTE(Tabela1[[#This Row],[6]],",",""))+1,1),"")</f>
        <v/>
      </c>
      <c r="AF9" t="str">
        <f>IF(Tabela1[[#This Row],[7]]&lt;&gt;"",IF(ISNUMBER(FIND(",",Tabela1[[#This Row],[7]])),LEN(Tabela1[[#This Row],[7]])-LEN(SUBSTITUTE(Tabela1[[#This Row],[7]],",",""))+1,1),"")</f>
        <v/>
      </c>
      <c r="AG9" t="str">
        <f>IF(Tabela1[[#This Row],[8]]&lt;&gt;"",IF(ISNUMBER(FIND(",",Tabela1[[#This Row],[8]])),LEN(Tabela1[[#This Row],[8]])-LEN(SUBSTITUTE(Tabela1[[#This Row],[8]],",",""))+1,1),"")</f>
        <v/>
      </c>
      <c r="AH9" t="str">
        <f>IF(Tabela1[[#This Row],[9]]&lt;&gt;"",IF(ISNUMBER(FIND(",",Tabela1[[#This Row],[9]])),LEN(Tabela1[[#This Row],[9]])-LEN(SUBSTITUTE(Tabela1[[#This Row],[9]],",",""))+1,1),"")</f>
        <v/>
      </c>
      <c r="AI9" t="str">
        <f>IF(Tabela1[[#This Row],[10]]&lt;&gt;"",IF(ISNUMBER(FIND(",",Tabela1[[#This Row],[10]])),LEN(Tabela1[[#This Row],[10]])-LEN(SUBSTITUTE(Tabela1[[#This Row],[10]],",",""))+1,1),"")</f>
        <v/>
      </c>
      <c r="AJ9" t="str">
        <f>IF(Tabela1[[#This Row],[11]]&lt;&gt;"",IF(ISNUMBER(FIND(",",Tabela1[[#This Row],[11]])),LEN(Tabela1[[#This Row],[11]])-LEN(SUBSTITUTE(Tabela1[[#This Row],[11]],",",""))+1,1),"")</f>
        <v/>
      </c>
      <c r="AK9" t="str">
        <f>IF(Tabela1[[#This Row],[12]]&lt;&gt;"",IF(ISNUMBER(FIND(",",Tabela1[[#This Row],[12]])),LEN(Tabela1[[#This Row],[12]])-LEN(SUBSTITUTE(Tabela1[[#This Row],[12]],",",""))+1,1),"")</f>
        <v/>
      </c>
      <c r="AL9" t="str">
        <f>IF(Tabela1[[#This Row],[13]]&lt;&gt;"",IF(ISNUMBER(FIND(",",Tabela1[[#This Row],[13]])),LEN(Tabela1[[#This Row],[13]])-LEN(SUBSTITUTE(Tabela1[[#This Row],[13]],",",""))+1,1),"")</f>
        <v/>
      </c>
      <c r="AM9" t="str">
        <f>IF(Tabela1[[#This Row],[14]]&lt;&gt;"",IF(ISNUMBER(FIND(",",Tabela1[[#This Row],[14]])),LEN(Tabela1[[#This Row],[14]])-LEN(SUBSTITUTE(Tabela1[[#This Row],[14]],",",""))+1,1),"")</f>
        <v/>
      </c>
      <c r="AN9" t="str">
        <f>IF(Tabela1[[#This Row],[15]]&lt;&gt;"",IF(ISNUMBER(FIND(",",Tabela1[[#This Row],[15]])),LEN(Tabela1[[#This Row],[15]])-LEN(SUBSTITUTE(Tabela1[[#This Row],[15]],",",""))+1,1),"")</f>
        <v/>
      </c>
      <c r="AO9" t="str">
        <f>IF(Tabela1[[#This Row],[16]]&lt;&gt;"",IF(ISNUMBER(FIND(",",Tabela1[[#This Row],[16]])),LEN(Tabela1[[#This Row],[16]])-LEN(SUBSTITUTE(Tabela1[[#This Row],[16]],",",""))+1,1),"")</f>
        <v/>
      </c>
      <c r="AP9" t="str">
        <f>IF(Tabela1[[#This Row],[17]]&lt;&gt;"",IF(ISNUMBER(FIND(",",Tabela1[[#This Row],[17]])),LEN(Tabela1[[#This Row],[17]])-LEN(SUBSTITUTE(Tabela1[[#This Row],[17]],",",""))+1,1),"")</f>
        <v/>
      </c>
      <c r="AQ9" t="str">
        <f>IF(Tabela1[[#This Row],[18]]&lt;&gt;"",IF(ISNUMBER(FIND(",",Tabela1[[#This Row],[18]])),LEN(Tabela1[[#This Row],[18]])-LEN(SUBSTITUTE(Tabela1[[#This Row],[18]],",",""))+1,1),"")</f>
        <v/>
      </c>
      <c r="AR9" s="13" t="str">
        <f>IF(Tabela1[[#This Row],[19_LENGTH]]&lt;&gt;"",IF(ISNUMBER(FIND(",",Tabela1[[#This Row],[19_LENGTH]])),LEN(Tabela1[[#This Row],[19_LENGTH]])-LEN(SUBSTITUTE(Tabela1[[#This Row],[19_LENGTH]],",",""))+1,1),"")</f>
        <v/>
      </c>
      <c r="AS9">
        <f>SUM(Tabela1[[#This Row],[1_]:[19_]])</f>
        <v>1</v>
      </c>
    </row>
    <row r="10" spans="1:45" x14ac:dyDescent="0.25">
      <c r="A10" s="27" t="s">
        <v>1316</v>
      </c>
      <c r="B10" s="19" t="s">
        <v>666</v>
      </c>
      <c r="C10" s="19">
        <v>202</v>
      </c>
      <c r="D10" s="19" t="s">
        <v>1297</v>
      </c>
      <c r="E10" s="20">
        <v>43439</v>
      </c>
      <c r="F10" s="19"/>
      <c r="G10" s="19"/>
      <c r="H10" s="19"/>
      <c r="I10" s="19">
        <v>199</v>
      </c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t="str">
        <f>IF(Tabela1[[#This Row],[1]]&lt;&gt;"",IF(ISNUMBER(FIND(",",Tabela1[[#This Row],[1]])),LEN(Tabela1[[#This Row],[1]])-LEN(SUBSTITUTE(Tabela1[[#This Row],[1]],",",""))+1,1),"")</f>
        <v/>
      </c>
      <c r="AA10" t="str">
        <f>IF(Tabela1[[#This Row],[2]]&lt;&gt;"",IF(ISNUMBER(FIND(",",Tabela1[[#This Row],[2]])),LEN(Tabela1[[#This Row],[2]])-LEN(SUBSTITUTE(Tabela1[[#This Row],[2]],",",""))+1,1),"")</f>
        <v/>
      </c>
      <c r="AB10" t="str">
        <f>IF(Tabela1[[#This Row],[3]]&lt;&gt;"",IF(ISNUMBER(FIND(",",Tabela1[[#This Row],[3]])),LEN(Tabela1[[#This Row],[3]])-LEN(SUBSTITUTE(Tabela1[[#This Row],[3]],",",""))+1,1),"")</f>
        <v/>
      </c>
      <c r="AC10">
        <f>IF(Tabela1[[#This Row],[4]]&lt;&gt;"",IF(ISNUMBER(FIND(",",Tabela1[[#This Row],[4]])),LEN(Tabela1[[#This Row],[4]])-LEN(SUBSTITUTE(Tabela1[[#This Row],[4]],",",""))+1,1),"")</f>
        <v>1</v>
      </c>
      <c r="AD10" t="str">
        <f>IF(Tabela1[[#This Row],[5]]&lt;&gt;"",IF(ISNUMBER(FIND(",",Tabela1[[#This Row],[5]])),LEN(Tabela1[[#This Row],[5]])-LEN(SUBSTITUTE(Tabela1[[#This Row],[5]],",",""))+1,1),"")</f>
        <v/>
      </c>
      <c r="AE10" t="str">
        <f>IF(Tabela1[[#This Row],[6]]&lt;&gt;"",IF(ISNUMBER(FIND(",",Tabela1[[#This Row],[6]])),LEN(Tabela1[[#This Row],[6]])-LEN(SUBSTITUTE(Tabela1[[#This Row],[6]],",",""))+1,1),"")</f>
        <v/>
      </c>
      <c r="AF10" t="str">
        <f>IF(Tabela1[[#This Row],[7]]&lt;&gt;"",IF(ISNUMBER(FIND(",",Tabela1[[#This Row],[7]])),LEN(Tabela1[[#This Row],[7]])-LEN(SUBSTITUTE(Tabela1[[#This Row],[7]],",",""))+1,1),"")</f>
        <v/>
      </c>
      <c r="AG10" t="str">
        <f>IF(Tabela1[[#This Row],[8]]&lt;&gt;"",IF(ISNUMBER(FIND(",",Tabela1[[#This Row],[8]])),LEN(Tabela1[[#This Row],[8]])-LEN(SUBSTITUTE(Tabela1[[#This Row],[8]],",",""))+1,1),"")</f>
        <v/>
      </c>
      <c r="AH10" t="str">
        <f>IF(Tabela1[[#This Row],[9]]&lt;&gt;"",IF(ISNUMBER(FIND(",",Tabela1[[#This Row],[9]])),LEN(Tabela1[[#This Row],[9]])-LEN(SUBSTITUTE(Tabela1[[#This Row],[9]],",",""))+1,1),"")</f>
        <v/>
      </c>
      <c r="AI10" t="str">
        <f>IF(Tabela1[[#This Row],[10]]&lt;&gt;"",IF(ISNUMBER(FIND(",",Tabela1[[#This Row],[10]])),LEN(Tabela1[[#This Row],[10]])-LEN(SUBSTITUTE(Tabela1[[#This Row],[10]],",",""))+1,1),"")</f>
        <v/>
      </c>
      <c r="AJ10" t="str">
        <f>IF(Tabela1[[#This Row],[11]]&lt;&gt;"",IF(ISNUMBER(FIND(",",Tabela1[[#This Row],[11]])),LEN(Tabela1[[#This Row],[11]])-LEN(SUBSTITUTE(Tabela1[[#This Row],[11]],",",""))+1,1),"")</f>
        <v/>
      </c>
      <c r="AK10" t="str">
        <f>IF(Tabela1[[#This Row],[12]]&lt;&gt;"",IF(ISNUMBER(FIND(",",Tabela1[[#This Row],[12]])),LEN(Tabela1[[#This Row],[12]])-LEN(SUBSTITUTE(Tabela1[[#This Row],[12]],",",""))+1,1),"")</f>
        <v/>
      </c>
      <c r="AL10" t="str">
        <f>IF(Tabela1[[#This Row],[13]]&lt;&gt;"",IF(ISNUMBER(FIND(",",Tabela1[[#This Row],[13]])),LEN(Tabela1[[#This Row],[13]])-LEN(SUBSTITUTE(Tabela1[[#This Row],[13]],",",""))+1,1),"")</f>
        <v/>
      </c>
      <c r="AM10" t="str">
        <f>IF(Tabela1[[#This Row],[14]]&lt;&gt;"",IF(ISNUMBER(FIND(",",Tabela1[[#This Row],[14]])),LEN(Tabela1[[#This Row],[14]])-LEN(SUBSTITUTE(Tabela1[[#This Row],[14]],",",""))+1,1),"")</f>
        <v/>
      </c>
      <c r="AN10" t="str">
        <f>IF(Tabela1[[#This Row],[15]]&lt;&gt;"",IF(ISNUMBER(FIND(",",Tabela1[[#This Row],[15]])),LEN(Tabela1[[#This Row],[15]])-LEN(SUBSTITUTE(Tabela1[[#This Row],[15]],",",""))+1,1),"")</f>
        <v/>
      </c>
      <c r="AO10" t="str">
        <f>IF(Tabela1[[#This Row],[16]]&lt;&gt;"",IF(ISNUMBER(FIND(",",Tabela1[[#This Row],[16]])),LEN(Tabela1[[#This Row],[16]])-LEN(SUBSTITUTE(Tabela1[[#This Row],[16]],",",""))+1,1),"")</f>
        <v/>
      </c>
      <c r="AP10" t="str">
        <f>IF(Tabela1[[#This Row],[17]]&lt;&gt;"",IF(ISNUMBER(FIND(",",Tabela1[[#This Row],[17]])),LEN(Tabela1[[#This Row],[17]])-LEN(SUBSTITUTE(Tabela1[[#This Row],[17]],",",""))+1,1),"")</f>
        <v/>
      </c>
      <c r="AQ10" t="str">
        <f>IF(Tabela1[[#This Row],[18]]&lt;&gt;"",IF(ISNUMBER(FIND(",",Tabela1[[#This Row],[18]])),LEN(Tabela1[[#This Row],[18]])-LEN(SUBSTITUTE(Tabela1[[#This Row],[18]],",",""))+1,1),"")</f>
        <v/>
      </c>
      <c r="AR10" s="13" t="str">
        <f>IF(Tabela1[[#This Row],[19_LENGTH]]&lt;&gt;"",IF(ISNUMBER(FIND(",",Tabela1[[#This Row],[19_LENGTH]])),LEN(Tabela1[[#This Row],[19_LENGTH]])-LEN(SUBSTITUTE(Tabela1[[#This Row],[19_LENGTH]],",",""))+1,1),"")</f>
        <v/>
      </c>
      <c r="AS10">
        <f>SUM(Tabela1[[#This Row],[1_]:[19_]])</f>
        <v>1</v>
      </c>
    </row>
    <row r="11" spans="1:45" x14ac:dyDescent="0.25">
      <c r="A11" s="27" t="s">
        <v>1316</v>
      </c>
      <c r="B11" s="19" t="s">
        <v>302</v>
      </c>
      <c r="C11" s="19">
        <v>202</v>
      </c>
      <c r="D11" s="19" t="s">
        <v>1299</v>
      </c>
      <c r="E11" s="20">
        <v>43440</v>
      </c>
      <c r="F11" s="19"/>
      <c r="G11" s="19">
        <v>164</v>
      </c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t="str">
        <f>IF(Tabela1[[#This Row],[1]]&lt;&gt;"",IF(ISNUMBER(FIND(",",Tabela1[[#This Row],[1]])),LEN(Tabela1[[#This Row],[1]])-LEN(SUBSTITUTE(Tabela1[[#This Row],[1]],",",""))+1,1),"")</f>
        <v/>
      </c>
      <c r="AA11">
        <f>IF(Tabela1[[#This Row],[2]]&lt;&gt;"",IF(ISNUMBER(FIND(",",Tabela1[[#This Row],[2]])),LEN(Tabela1[[#This Row],[2]])-LEN(SUBSTITUTE(Tabela1[[#This Row],[2]],",",""))+1,1),"")</f>
        <v>1</v>
      </c>
      <c r="AB11" t="str">
        <f>IF(Tabela1[[#This Row],[3]]&lt;&gt;"",IF(ISNUMBER(FIND(",",Tabela1[[#This Row],[3]])),LEN(Tabela1[[#This Row],[3]])-LEN(SUBSTITUTE(Tabela1[[#This Row],[3]],",",""))+1,1),"")</f>
        <v/>
      </c>
      <c r="AC11" t="str">
        <f>IF(Tabela1[[#This Row],[4]]&lt;&gt;"",IF(ISNUMBER(FIND(",",Tabela1[[#This Row],[4]])),LEN(Tabela1[[#This Row],[4]])-LEN(SUBSTITUTE(Tabela1[[#This Row],[4]],",",""))+1,1),"")</f>
        <v/>
      </c>
      <c r="AD11" t="str">
        <f>IF(Tabela1[[#This Row],[5]]&lt;&gt;"",IF(ISNUMBER(FIND(",",Tabela1[[#This Row],[5]])),LEN(Tabela1[[#This Row],[5]])-LEN(SUBSTITUTE(Tabela1[[#This Row],[5]],",",""))+1,1),"")</f>
        <v/>
      </c>
      <c r="AE11" t="str">
        <f>IF(Tabela1[[#This Row],[6]]&lt;&gt;"",IF(ISNUMBER(FIND(",",Tabela1[[#This Row],[6]])),LEN(Tabela1[[#This Row],[6]])-LEN(SUBSTITUTE(Tabela1[[#This Row],[6]],",",""))+1,1),"")</f>
        <v/>
      </c>
      <c r="AF11" t="str">
        <f>IF(Tabela1[[#This Row],[7]]&lt;&gt;"",IF(ISNUMBER(FIND(",",Tabela1[[#This Row],[7]])),LEN(Tabela1[[#This Row],[7]])-LEN(SUBSTITUTE(Tabela1[[#This Row],[7]],",",""))+1,1),"")</f>
        <v/>
      </c>
      <c r="AG11" t="str">
        <f>IF(Tabela1[[#This Row],[8]]&lt;&gt;"",IF(ISNUMBER(FIND(",",Tabela1[[#This Row],[8]])),LEN(Tabela1[[#This Row],[8]])-LEN(SUBSTITUTE(Tabela1[[#This Row],[8]],",",""))+1,1),"")</f>
        <v/>
      </c>
      <c r="AH11" t="str">
        <f>IF(Tabela1[[#This Row],[9]]&lt;&gt;"",IF(ISNUMBER(FIND(",",Tabela1[[#This Row],[9]])),LEN(Tabela1[[#This Row],[9]])-LEN(SUBSTITUTE(Tabela1[[#This Row],[9]],",",""))+1,1),"")</f>
        <v/>
      </c>
      <c r="AI11" t="str">
        <f>IF(Tabela1[[#This Row],[10]]&lt;&gt;"",IF(ISNUMBER(FIND(",",Tabela1[[#This Row],[10]])),LEN(Tabela1[[#This Row],[10]])-LEN(SUBSTITUTE(Tabela1[[#This Row],[10]],",",""))+1,1),"")</f>
        <v/>
      </c>
      <c r="AJ11" t="str">
        <f>IF(Tabela1[[#This Row],[11]]&lt;&gt;"",IF(ISNUMBER(FIND(",",Tabela1[[#This Row],[11]])),LEN(Tabela1[[#This Row],[11]])-LEN(SUBSTITUTE(Tabela1[[#This Row],[11]],",",""))+1,1),"")</f>
        <v/>
      </c>
      <c r="AK11" t="str">
        <f>IF(Tabela1[[#This Row],[12]]&lt;&gt;"",IF(ISNUMBER(FIND(",",Tabela1[[#This Row],[12]])),LEN(Tabela1[[#This Row],[12]])-LEN(SUBSTITUTE(Tabela1[[#This Row],[12]],",",""))+1,1),"")</f>
        <v/>
      </c>
      <c r="AL11" t="str">
        <f>IF(Tabela1[[#This Row],[13]]&lt;&gt;"",IF(ISNUMBER(FIND(",",Tabela1[[#This Row],[13]])),LEN(Tabela1[[#This Row],[13]])-LEN(SUBSTITUTE(Tabela1[[#This Row],[13]],",",""))+1,1),"")</f>
        <v/>
      </c>
      <c r="AM11" t="str">
        <f>IF(Tabela1[[#This Row],[14]]&lt;&gt;"",IF(ISNUMBER(FIND(",",Tabela1[[#This Row],[14]])),LEN(Tabela1[[#This Row],[14]])-LEN(SUBSTITUTE(Tabela1[[#This Row],[14]],",",""))+1,1),"")</f>
        <v/>
      </c>
      <c r="AN11" t="str">
        <f>IF(Tabela1[[#This Row],[15]]&lt;&gt;"",IF(ISNUMBER(FIND(",",Tabela1[[#This Row],[15]])),LEN(Tabela1[[#This Row],[15]])-LEN(SUBSTITUTE(Tabela1[[#This Row],[15]],",",""))+1,1),"")</f>
        <v/>
      </c>
      <c r="AO11" t="str">
        <f>IF(Tabela1[[#This Row],[16]]&lt;&gt;"",IF(ISNUMBER(FIND(",",Tabela1[[#This Row],[16]])),LEN(Tabela1[[#This Row],[16]])-LEN(SUBSTITUTE(Tabela1[[#This Row],[16]],",",""))+1,1),"")</f>
        <v/>
      </c>
      <c r="AP11" t="str">
        <f>IF(Tabela1[[#This Row],[17]]&lt;&gt;"",IF(ISNUMBER(FIND(",",Tabela1[[#This Row],[17]])),LEN(Tabela1[[#This Row],[17]])-LEN(SUBSTITUTE(Tabela1[[#This Row],[17]],",",""))+1,1),"")</f>
        <v/>
      </c>
      <c r="AQ11" t="str">
        <f>IF(Tabela1[[#This Row],[18]]&lt;&gt;"",IF(ISNUMBER(FIND(",",Tabela1[[#This Row],[18]])),LEN(Tabela1[[#This Row],[18]])-LEN(SUBSTITUTE(Tabela1[[#This Row],[18]],",",""))+1,1),"")</f>
        <v/>
      </c>
      <c r="AR11" s="13" t="str">
        <f>IF(Tabela1[[#This Row],[19_LENGTH]]&lt;&gt;"",IF(ISNUMBER(FIND(",",Tabela1[[#This Row],[19_LENGTH]])),LEN(Tabela1[[#This Row],[19_LENGTH]])-LEN(SUBSTITUTE(Tabela1[[#This Row],[19_LENGTH]],",",""))+1,1),"")</f>
        <v/>
      </c>
      <c r="AS11">
        <f>SUM(Tabela1[[#This Row],[1_]:[19_]])</f>
        <v>1</v>
      </c>
    </row>
    <row r="12" spans="1:45" x14ac:dyDescent="0.25">
      <c r="A12" s="27" t="s">
        <v>1316</v>
      </c>
      <c r="B12" s="19" t="s">
        <v>303</v>
      </c>
      <c r="C12" s="19">
        <v>202</v>
      </c>
      <c r="D12" s="19" t="s">
        <v>1299</v>
      </c>
      <c r="E12" s="20">
        <v>43440</v>
      </c>
      <c r="F12" s="19"/>
      <c r="G12" s="19"/>
      <c r="H12" s="19"/>
      <c r="I12" s="19"/>
      <c r="J12" s="19">
        <v>155</v>
      </c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t="str">
        <f>IF(Tabela1[[#This Row],[1]]&lt;&gt;"",IF(ISNUMBER(FIND(",",Tabela1[[#This Row],[1]])),LEN(Tabela1[[#This Row],[1]])-LEN(SUBSTITUTE(Tabela1[[#This Row],[1]],",",""))+1,1),"")</f>
        <v/>
      </c>
      <c r="AA12" t="str">
        <f>IF(Tabela1[[#This Row],[2]]&lt;&gt;"",IF(ISNUMBER(FIND(",",Tabela1[[#This Row],[2]])),LEN(Tabela1[[#This Row],[2]])-LEN(SUBSTITUTE(Tabela1[[#This Row],[2]],",",""))+1,1),"")</f>
        <v/>
      </c>
      <c r="AB12" t="str">
        <f>IF(Tabela1[[#This Row],[3]]&lt;&gt;"",IF(ISNUMBER(FIND(",",Tabela1[[#This Row],[3]])),LEN(Tabela1[[#This Row],[3]])-LEN(SUBSTITUTE(Tabela1[[#This Row],[3]],",",""))+1,1),"")</f>
        <v/>
      </c>
      <c r="AC12" t="str">
        <f>IF(Tabela1[[#This Row],[4]]&lt;&gt;"",IF(ISNUMBER(FIND(",",Tabela1[[#This Row],[4]])),LEN(Tabela1[[#This Row],[4]])-LEN(SUBSTITUTE(Tabela1[[#This Row],[4]],",",""))+1,1),"")</f>
        <v/>
      </c>
      <c r="AD12">
        <f>IF(Tabela1[[#This Row],[5]]&lt;&gt;"",IF(ISNUMBER(FIND(",",Tabela1[[#This Row],[5]])),LEN(Tabela1[[#This Row],[5]])-LEN(SUBSTITUTE(Tabela1[[#This Row],[5]],",",""))+1,1),"")</f>
        <v>1</v>
      </c>
      <c r="AE12" t="str">
        <f>IF(Tabela1[[#This Row],[6]]&lt;&gt;"",IF(ISNUMBER(FIND(",",Tabela1[[#This Row],[6]])),LEN(Tabela1[[#This Row],[6]])-LEN(SUBSTITUTE(Tabela1[[#This Row],[6]],",",""))+1,1),"")</f>
        <v/>
      </c>
      <c r="AF12" t="str">
        <f>IF(Tabela1[[#This Row],[7]]&lt;&gt;"",IF(ISNUMBER(FIND(",",Tabela1[[#This Row],[7]])),LEN(Tabela1[[#This Row],[7]])-LEN(SUBSTITUTE(Tabela1[[#This Row],[7]],",",""))+1,1),"")</f>
        <v/>
      </c>
      <c r="AG12" t="str">
        <f>IF(Tabela1[[#This Row],[8]]&lt;&gt;"",IF(ISNUMBER(FIND(",",Tabela1[[#This Row],[8]])),LEN(Tabela1[[#This Row],[8]])-LEN(SUBSTITUTE(Tabela1[[#This Row],[8]],",",""))+1,1),"")</f>
        <v/>
      </c>
      <c r="AH12" t="str">
        <f>IF(Tabela1[[#This Row],[9]]&lt;&gt;"",IF(ISNUMBER(FIND(",",Tabela1[[#This Row],[9]])),LEN(Tabela1[[#This Row],[9]])-LEN(SUBSTITUTE(Tabela1[[#This Row],[9]],",",""))+1,1),"")</f>
        <v/>
      </c>
      <c r="AI12" t="str">
        <f>IF(Tabela1[[#This Row],[10]]&lt;&gt;"",IF(ISNUMBER(FIND(",",Tabela1[[#This Row],[10]])),LEN(Tabela1[[#This Row],[10]])-LEN(SUBSTITUTE(Tabela1[[#This Row],[10]],",",""))+1,1),"")</f>
        <v/>
      </c>
      <c r="AJ12" t="str">
        <f>IF(Tabela1[[#This Row],[11]]&lt;&gt;"",IF(ISNUMBER(FIND(",",Tabela1[[#This Row],[11]])),LEN(Tabela1[[#This Row],[11]])-LEN(SUBSTITUTE(Tabela1[[#This Row],[11]],",",""))+1,1),"")</f>
        <v/>
      </c>
      <c r="AK12" t="str">
        <f>IF(Tabela1[[#This Row],[12]]&lt;&gt;"",IF(ISNUMBER(FIND(",",Tabela1[[#This Row],[12]])),LEN(Tabela1[[#This Row],[12]])-LEN(SUBSTITUTE(Tabela1[[#This Row],[12]],",",""))+1,1),"")</f>
        <v/>
      </c>
      <c r="AL12" t="str">
        <f>IF(Tabela1[[#This Row],[13]]&lt;&gt;"",IF(ISNUMBER(FIND(",",Tabela1[[#This Row],[13]])),LEN(Tabela1[[#This Row],[13]])-LEN(SUBSTITUTE(Tabela1[[#This Row],[13]],",",""))+1,1),"")</f>
        <v/>
      </c>
      <c r="AM12" t="str">
        <f>IF(Tabela1[[#This Row],[14]]&lt;&gt;"",IF(ISNUMBER(FIND(",",Tabela1[[#This Row],[14]])),LEN(Tabela1[[#This Row],[14]])-LEN(SUBSTITUTE(Tabela1[[#This Row],[14]],",",""))+1,1),"")</f>
        <v/>
      </c>
      <c r="AN12" t="str">
        <f>IF(Tabela1[[#This Row],[15]]&lt;&gt;"",IF(ISNUMBER(FIND(",",Tabela1[[#This Row],[15]])),LEN(Tabela1[[#This Row],[15]])-LEN(SUBSTITUTE(Tabela1[[#This Row],[15]],",",""))+1,1),"")</f>
        <v/>
      </c>
      <c r="AO12" t="str">
        <f>IF(Tabela1[[#This Row],[16]]&lt;&gt;"",IF(ISNUMBER(FIND(",",Tabela1[[#This Row],[16]])),LEN(Tabela1[[#This Row],[16]])-LEN(SUBSTITUTE(Tabela1[[#This Row],[16]],",",""))+1,1),"")</f>
        <v/>
      </c>
      <c r="AP12" t="str">
        <f>IF(Tabela1[[#This Row],[17]]&lt;&gt;"",IF(ISNUMBER(FIND(",",Tabela1[[#This Row],[17]])),LEN(Tabela1[[#This Row],[17]])-LEN(SUBSTITUTE(Tabela1[[#This Row],[17]],",",""))+1,1),"")</f>
        <v/>
      </c>
      <c r="AQ12" t="str">
        <f>IF(Tabela1[[#This Row],[18]]&lt;&gt;"",IF(ISNUMBER(FIND(",",Tabela1[[#This Row],[18]])),LEN(Tabela1[[#This Row],[18]])-LEN(SUBSTITUTE(Tabela1[[#This Row],[18]],",",""))+1,1),"")</f>
        <v/>
      </c>
      <c r="AR12" s="13" t="str">
        <f>IF(Tabela1[[#This Row],[19_LENGTH]]&lt;&gt;"",IF(ISNUMBER(FIND(",",Tabela1[[#This Row],[19_LENGTH]])),LEN(Tabela1[[#This Row],[19_LENGTH]])-LEN(SUBSTITUTE(Tabela1[[#This Row],[19_LENGTH]],",",""))+1,1),"")</f>
        <v/>
      </c>
      <c r="AS12">
        <f>SUM(Tabela1[[#This Row],[1_]:[19_]])</f>
        <v>1</v>
      </c>
    </row>
    <row r="13" spans="1:45" x14ac:dyDescent="0.25">
      <c r="A13" s="27" t="s">
        <v>1317</v>
      </c>
      <c r="B13" s="19" t="s">
        <v>667</v>
      </c>
      <c r="C13" s="19">
        <v>102</v>
      </c>
      <c r="D13" s="19" t="s">
        <v>1312</v>
      </c>
      <c r="E13" s="20">
        <v>43439</v>
      </c>
      <c r="F13" s="19"/>
      <c r="G13" s="19"/>
      <c r="H13" s="19"/>
      <c r="I13" s="19">
        <v>88</v>
      </c>
      <c r="J13" s="19">
        <v>62</v>
      </c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>
        <v>8</v>
      </c>
      <c r="W13" s="19"/>
      <c r="X13" s="19"/>
      <c r="Y13" s="19"/>
      <c r="Z13" t="str">
        <f>IF(Tabela1[[#This Row],[1]]&lt;&gt;"",IF(ISNUMBER(FIND(",",Tabela1[[#This Row],[1]])),LEN(Tabela1[[#This Row],[1]])-LEN(SUBSTITUTE(Tabela1[[#This Row],[1]],",",""))+1,1),"")</f>
        <v/>
      </c>
      <c r="AA13" t="str">
        <f>IF(Tabela1[[#This Row],[2]]&lt;&gt;"",IF(ISNUMBER(FIND(",",Tabela1[[#This Row],[2]])),LEN(Tabela1[[#This Row],[2]])-LEN(SUBSTITUTE(Tabela1[[#This Row],[2]],",",""))+1,1),"")</f>
        <v/>
      </c>
      <c r="AB13" t="str">
        <f>IF(Tabela1[[#This Row],[3]]&lt;&gt;"",IF(ISNUMBER(FIND(",",Tabela1[[#This Row],[3]])),LEN(Tabela1[[#This Row],[3]])-LEN(SUBSTITUTE(Tabela1[[#This Row],[3]],",",""))+1,1),"")</f>
        <v/>
      </c>
      <c r="AC13">
        <f>IF(Tabela1[[#This Row],[4]]&lt;&gt;"",IF(ISNUMBER(FIND(",",Tabela1[[#This Row],[4]])),LEN(Tabela1[[#This Row],[4]])-LEN(SUBSTITUTE(Tabela1[[#This Row],[4]],",",""))+1,1),"")</f>
        <v>1</v>
      </c>
      <c r="AD13">
        <f>IF(Tabela1[[#This Row],[5]]&lt;&gt;"",IF(ISNUMBER(FIND(",",Tabela1[[#This Row],[5]])),LEN(Tabela1[[#This Row],[5]])-LEN(SUBSTITUTE(Tabela1[[#This Row],[5]],",",""))+1,1),"")</f>
        <v>1</v>
      </c>
      <c r="AE13" t="str">
        <f>IF(Tabela1[[#This Row],[6]]&lt;&gt;"",IF(ISNUMBER(FIND(",",Tabela1[[#This Row],[6]])),LEN(Tabela1[[#This Row],[6]])-LEN(SUBSTITUTE(Tabela1[[#This Row],[6]],",",""))+1,1),"")</f>
        <v/>
      </c>
      <c r="AF13" t="str">
        <f>IF(Tabela1[[#This Row],[7]]&lt;&gt;"",IF(ISNUMBER(FIND(",",Tabela1[[#This Row],[7]])),LEN(Tabela1[[#This Row],[7]])-LEN(SUBSTITUTE(Tabela1[[#This Row],[7]],",",""))+1,1),"")</f>
        <v/>
      </c>
      <c r="AG13" t="str">
        <f>IF(Tabela1[[#This Row],[8]]&lt;&gt;"",IF(ISNUMBER(FIND(",",Tabela1[[#This Row],[8]])),LEN(Tabela1[[#This Row],[8]])-LEN(SUBSTITUTE(Tabela1[[#This Row],[8]],",",""))+1,1),"")</f>
        <v/>
      </c>
      <c r="AH13" t="str">
        <f>IF(Tabela1[[#This Row],[9]]&lt;&gt;"",IF(ISNUMBER(FIND(",",Tabela1[[#This Row],[9]])),LEN(Tabela1[[#This Row],[9]])-LEN(SUBSTITUTE(Tabela1[[#This Row],[9]],",",""))+1,1),"")</f>
        <v/>
      </c>
      <c r="AI13" t="str">
        <f>IF(Tabela1[[#This Row],[10]]&lt;&gt;"",IF(ISNUMBER(FIND(",",Tabela1[[#This Row],[10]])),LEN(Tabela1[[#This Row],[10]])-LEN(SUBSTITUTE(Tabela1[[#This Row],[10]],",",""))+1,1),"")</f>
        <v/>
      </c>
      <c r="AJ13" t="str">
        <f>IF(Tabela1[[#This Row],[11]]&lt;&gt;"",IF(ISNUMBER(FIND(",",Tabela1[[#This Row],[11]])),LEN(Tabela1[[#This Row],[11]])-LEN(SUBSTITUTE(Tabela1[[#This Row],[11]],",",""))+1,1),"")</f>
        <v/>
      </c>
      <c r="AK13" t="str">
        <f>IF(Tabela1[[#This Row],[12]]&lt;&gt;"",IF(ISNUMBER(FIND(",",Tabela1[[#This Row],[12]])),LEN(Tabela1[[#This Row],[12]])-LEN(SUBSTITUTE(Tabela1[[#This Row],[12]],",",""))+1,1),"")</f>
        <v/>
      </c>
      <c r="AL13" t="str">
        <f>IF(Tabela1[[#This Row],[13]]&lt;&gt;"",IF(ISNUMBER(FIND(",",Tabela1[[#This Row],[13]])),LEN(Tabela1[[#This Row],[13]])-LEN(SUBSTITUTE(Tabela1[[#This Row],[13]],",",""))+1,1),"")</f>
        <v/>
      </c>
      <c r="AM13" t="str">
        <f>IF(Tabela1[[#This Row],[14]]&lt;&gt;"",IF(ISNUMBER(FIND(",",Tabela1[[#This Row],[14]])),LEN(Tabela1[[#This Row],[14]])-LEN(SUBSTITUTE(Tabela1[[#This Row],[14]],",",""))+1,1),"")</f>
        <v/>
      </c>
      <c r="AN13" t="str">
        <f>IF(Tabela1[[#This Row],[15]]&lt;&gt;"",IF(ISNUMBER(FIND(",",Tabela1[[#This Row],[15]])),LEN(Tabela1[[#This Row],[15]])-LEN(SUBSTITUTE(Tabela1[[#This Row],[15]],",",""))+1,1),"")</f>
        <v/>
      </c>
      <c r="AO13" t="str">
        <f>IF(Tabela1[[#This Row],[16]]&lt;&gt;"",IF(ISNUMBER(FIND(",",Tabela1[[#This Row],[16]])),LEN(Tabela1[[#This Row],[16]])-LEN(SUBSTITUTE(Tabela1[[#This Row],[16]],",",""))+1,1),"")</f>
        <v/>
      </c>
      <c r="AP13">
        <f>IF(Tabela1[[#This Row],[17]]&lt;&gt;"",IF(ISNUMBER(FIND(",",Tabela1[[#This Row],[17]])),LEN(Tabela1[[#This Row],[17]])-LEN(SUBSTITUTE(Tabela1[[#This Row],[17]],",",""))+1,1),"")</f>
        <v>1</v>
      </c>
      <c r="AQ13" t="str">
        <f>IF(Tabela1[[#This Row],[18]]&lt;&gt;"",IF(ISNUMBER(FIND(",",Tabela1[[#This Row],[18]])),LEN(Tabela1[[#This Row],[18]])-LEN(SUBSTITUTE(Tabela1[[#This Row],[18]],",",""))+1,1),"")</f>
        <v/>
      </c>
      <c r="AR13" s="13" t="str">
        <f>IF(Tabela1[[#This Row],[19_LENGTH]]&lt;&gt;"",IF(ISNUMBER(FIND(",",Tabela1[[#This Row],[19_LENGTH]])),LEN(Tabela1[[#This Row],[19_LENGTH]])-LEN(SUBSTITUTE(Tabela1[[#This Row],[19_LENGTH]],",",""))+1,1),"")</f>
        <v/>
      </c>
      <c r="AS13">
        <f>SUM(Tabela1[[#This Row],[1_]:[19_]])</f>
        <v>3</v>
      </c>
    </row>
    <row r="14" spans="1:45" x14ac:dyDescent="0.25">
      <c r="A14" s="27" t="s">
        <v>1317</v>
      </c>
      <c r="B14" s="19" t="s">
        <v>668</v>
      </c>
      <c r="C14" s="19">
        <v>102</v>
      </c>
      <c r="D14" s="19" t="s">
        <v>1312</v>
      </c>
      <c r="E14" s="20">
        <v>43439</v>
      </c>
      <c r="F14" s="19"/>
      <c r="G14" s="19"/>
      <c r="H14" s="19"/>
      <c r="I14" s="19"/>
      <c r="J14" s="19">
        <v>94</v>
      </c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>
        <v>13</v>
      </c>
      <c r="W14" s="19"/>
      <c r="X14" s="19"/>
      <c r="Y14" s="19"/>
      <c r="Z14" t="str">
        <f>IF(Tabela1[[#This Row],[1]]&lt;&gt;"",IF(ISNUMBER(FIND(",",Tabela1[[#This Row],[1]])),LEN(Tabela1[[#This Row],[1]])-LEN(SUBSTITUTE(Tabela1[[#This Row],[1]],",",""))+1,1),"")</f>
        <v/>
      </c>
      <c r="AA14" t="str">
        <f>IF(Tabela1[[#This Row],[2]]&lt;&gt;"",IF(ISNUMBER(FIND(",",Tabela1[[#This Row],[2]])),LEN(Tabela1[[#This Row],[2]])-LEN(SUBSTITUTE(Tabela1[[#This Row],[2]],",",""))+1,1),"")</f>
        <v/>
      </c>
      <c r="AB14" t="str">
        <f>IF(Tabela1[[#This Row],[3]]&lt;&gt;"",IF(ISNUMBER(FIND(",",Tabela1[[#This Row],[3]])),LEN(Tabela1[[#This Row],[3]])-LEN(SUBSTITUTE(Tabela1[[#This Row],[3]],",",""))+1,1),"")</f>
        <v/>
      </c>
      <c r="AC14" t="str">
        <f>IF(Tabela1[[#This Row],[4]]&lt;&gt;"",IF(ISNUMBER(FIND(",",Tabela1[[#This Row],[4]])),LEN(Tabela1[[#This Row],[4]])-LEN(SUBSTITUTE(Tabela1[[#This Row],[4]],",",""))+1,1),"")</f>
        <v/>
      </c>
      <c r="AD14">
        <f>IF(Tabela1[[#This Row],[5]]&lt;&gt;"",IF(ISNUMBER(FIND(",",Tabela1[[#This Row],[5]])),LEN(Tabela1[[#This Row],[5]])-LEN(SUBSTITUTE(Tabela1[[#This Row],[5]],",",""))+1,1),"")</f>
        <v>1</v>
      </c>
      <c r="AE14" t="str">
        <f>IF(Tabela1[[#This Row],[6]]&lt;&gt;"",IF(ISNUMBER(FIND(",",Tabela1[[#This Row],[6]])),LEN(Tabela1[[#This Row],[6]])-LEN(SUBSTITUTE(Tabela1[[#This Row],[6]],",",""))+1,1),"")</f>
        <v/>
      </c>
      <c r="AF14" t="str">
        <f>IF(Tabela1[[#This Row],[7]]&lt;&gt;"",IF(ISNUMBER(FIND(",",Tabela1[[#This Row],[7]])),LEN(Tabela1[[#This Row],[7]])-LEN(SUBSTITUTE(Tabela1[[#This Row],[7]],",",""))+1,1),"")</f>
        <v/>
      </c>
      <c r="AG14" t="str">
        <f>IF(Tabela1[[#This Row],[8]]&lt;&gt;"",IF(ISNUMBER(FIND(",",Tabela1[[#This Row],[8]])),LEN(Tabela1[[#This Row],[8]])-LEN(SUBSTITUTE(Tabela1[[#This Row],[8]],",",""))+1,1),"")</f>
        <v/>
      </c>
      <c r="AH14" t="str">
        <f>IF(Tabela1[[#This Row],[9]]&lt;&gt;"",IF(ISNUMBER(FIND(",",Tabela1[[#This Row],[9]])),LEN(Tabela1[[#This Row],[9]])-LEN(SUBSTITUTE(Tabela1[[#This Row],[9]],",",""))+1,1),"")</f>
        <v/>
      </c>
      <c r="AI14" t="str">
        <f>IF(Tabela1[[#This Row],[10]]&lt;&gt;"",IF(ISNUMBER(FIND(",",Tabela1[[#This Row],[10]])),LEN(Tabela1[[#This Row],[10]])-LEN(SUBSTITUTE(Tabela1[[#This Row],[10]],",",""))+1,1),"")</f>
        <v/>
      </c>
      <c r="AJ14" t="str">
        <f>IF(Tabela1[[#This Row],[11]]&lt;&gt;"",IF(ISNUMBER(FIND(",",Tabela1[[#This Row],[11]])),LEN(Tabela1[[#This Row],[11]])-LEN(SUBSTITUTE(Tabela1[[#This Row],[11]],",",""))+1,1),"")</f>
        <v/>
      </c>
      <c r="AK14" t="str">
        <f>IF(Tabela1[[#This Row],[12]]&lt;&gt;"",IF(ISNUMBER(FIND(",",Tabela1[[#This Row],[12]])),LEN(Tabela1[[#This Row],[12]])-LEN(SUBSTITUTE(Tabela1[[#This Row],[12]],",",""))+1,1),"")</f>
        <v/>
      </c>
      <c r="AL14" t="str">
        <f>IF(Tabela1[[#This Row],[13]]&lt;&gt;"",IF(ISNUMBER(FIND(",",Tabela1[[#This Row],[13]])),LEN(Tabela1[[#This Row],[13]])-LEN(SUBSTITUTE(Tabela1[[#This Row],[13]],",",""))+1,1),"")</f>
        <v/>
      </c>
      <c r="AM14" t="str">
        <f>IF(Tabela1[[#This Row],[14]]&lt;&gt;"",IF(ISNUMBER(FIND(",",Tabela1[[#This Row],[14]])),LEN(Tabela1[[#This Row],[14]])-LEN(SUBSTITUTE(Tabela1[[#This Row],[14]],",",""))+1,1),"")</f>
        <v/>
      </c>
      <c r="AN14" t="str">
        <f>IF(Tabela1[[#This Row],[15]]&lt;&gt;"",IF(ISNUMBER(FIND(",",Tabela1[[#This Row],[15]])),LEN(Tabela1[[#This Row],[15]])-LEN(SUBSTITUTE(Tabela1[[#This Row],[15]],",",""))+1,1),"")</f>
        <v/>
      </c>
      <c r="AO14" t="str">
        <f>IF(Tabela1[[#This Row],[16]]&lt;&gt;"",IF(ISNUMBER(FIND(",",Tabela1[[#This Row],[16]])),LEN(Tabela1[[#This Row],[16]])-LEN(SUBSTITUTE(Tabela1[[#This Row],[16]],",",""))+1,1),"")</f>
        <v/>
      </c>
      <c r="AP14">
        <f>IF(Tabela1[[#This Row],[17]]&lt;&gt;"",IF(ISNUMBER(FIND(",",Tabela1[[#This Row],[17]])),LEN(Tabela1[[#This Row],[17]])-LEN(SUBSTITUTE(Tabela1[[#This Row],[17]],",",""))+1,1),"")</f>
        <v>1</v>
      </c>
      <c r="AQ14" t="str">
        <f>IF(Tabela1[[#This Row],[18]]&lt;&gt;"",IF(ISNUMBER(FIND(",",Tabela1[[#This Row],[18]])),LEN(Tabela1[[#This Row],[18]])-LEN(SUBSTITUTE(Tabela1[[#This Row],[18]],",",""))+1,1),"")</f>
        <v/>
      </c>
      <c r="AR14" s="13" t="str">
        <f>IF(Tabela1[[#This Row],[19_LENGTH]]&lt;&gt;"",IF(ISNUMBER(FIND(",",Tabela1[[#This Row],[19_LENGTH]])),LEN(Tabela1[[#This Row],[19_LENGTH]])-LEN(SUBSTITUTE(Tabela1[[#This Row],[19_LENGTH]],",",""))+1,1),"")</f>
        <v/>
      </c>
      <c r="AS14">
        <f>SUM(Tabela1[[#This Row],[1_]:[19_]])</f>
        <v>2</v>
      </c>
    </row>
    <row r="15" spans="1:45" x14ac:dyDescent="0.25">
      <c r="A15" s="27" t="s">
        <v>1317</v>
      </c>
      <c r="B15" s="19" t="s">
        <v>669</v>
      </c>
      <c r="C15" s="19">
        <v>102</v>
      </c>
      <c r="D15" s="19" t="s">
        <v>1312</v>
      </c>
      <c r="E15" s="20">
        <v>43439</v>
      </c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>
        <v>66</v>
      </c>
      <c r="W15" s="19"/>
      <c r="X15" s="19"/>
      <c r="Y15" s="19"/>
      <c r="Z15" t="str">
        <f>IF(Tabela1[[#This Row],[1]]&lt;&gt;"",IF(ISNUMBER(FIND(",",Tabela1[[#This Row],[1]])),LEN(Tabela1[[#This Row],[1]])-LEN(SUBSTITUTE(Tabela1[[#This Row],[1]],",",""))+1,1),"")</f>
        <v/>
      </c>
      <c r="AA15" t="str">
        <f>IF(Tabela1[[#This Row],[2]]&lt;&gt;"",IF(ISNUMBER(FIND(",",Tabela1[[#This Row],[2]])),LEN(Tabela1[[#This Row],[2]])-LEN(SUBSTITUTE(Tabela1[[#This Row],[2]],",",""))+1,1),"")</f>
        <v/>
      </c>
      <c r="AB15" t="str">
        <f>IF(Tabela1[[#This Row],[3]]&lt;&gt;"",IF(ISNUMBER(FIND(",",Tabela1[[#This Row],[3]])),LEN(Tabela1[[#This Row],[3]])-LEN(SUBSTITUTE(Tabela1[[#This Row],[3]],",",""))+1,1),"")</f>
        <v/>
      </c>
      <c r="AC15" t="str">
        <f>IF(Tabela1[[#This Row],[4]]&lt;&gt;"",IF(ISNUMBER(FIND(",",Tabela1[[#This Row],[4]])),LEN(Tabela1[[#This Row],[4]])-LEN(SUBSTITUTE(Tabela1[[#This Row],[4]],",",""))+1,1),"")</f>
        <v/>
      </c>
      <c r="AD15" t="str">
        <f>IF(Tabela1[[#This Row],[5]]&lt;&gt;"",IF(ISNUMBER(FIND(",",Tabela1[[#This Row],[5]])),LEN(Tabela1[[#This Row],[5]])-LEN(SUBSTITUTE(Tabela1[[#This Row],[5]],",",""))+1,1),"")</f>
        <v/>
      </c>
      <c r="AE15" t="str">
        <f>IF(Tabela1[[#This Row],[6]]&lt;&gt;"",IF(ISNUMBER(FIND(",",Tabela1[[#This Row],[6]])),LEN(Tabela1[[#This Row],[6]])-LEN(SUBSTITUTE(Tabela1[[#This Row],[6]],",",""))+1,1),"")</f>
        <v/>
      </c>
      <c r="AF15" t="str">
        <f>IF(Tabela1[[#This Row],[7]]&lt;&gt;"",IF(ISNUMBER(FIND(",",Tabela1[[#This Row],[7]])),LEN(Tabela1[[#This Row],[7]])-LEN(SUBSTITUTE(Tabela1[[#This Row],[7]],",",""))+1,1),"")</f>
        <v/>
      </c>
      <c r="AG15" t="str">
        <f>IF(Tabela1[[#This Row],[8]]&lt;&gt;"",IF(ISNUMBER(FIND(",",Tabela1[[#This Row],[8]])),LEN(Tabela1[[#This Row],[8]])-LEN(SUBSTITUTE(Tabela1[[#This Row],[8]],",",""))+1,1),"")</f>
        <v/>
      </c>
      <c r="AH15" t="str">
        <f>IF(Tabela1[[#This Row],[9]]&lt;&gt;"",IF(ISNUMBER(FIND(",",Tabela1[[#This Row],[9]])),LEN(Tabela1[[#This Row],[9]])-LEN(SUBSTITUTE(Tabela1[[#This Row],[9]],",",""))+1,1),"")</f>
        <v/>
      </c>
      <c r="AI15" t="str">
        <f>IF(Tabela1[[#This Row],[10]]&lt;&gt;"",IF(ISNUMBER(FIND(",",Tabela1[[#This Row],[10]])),LEN(Tabela1[[#This Row],[10]])-LEN(SUBSTITUTE(Tabela1[[#This Row],[10]],",",""))+1,1),"")</f>
        <v/>
      </c>
      <c r="AJ15" t="str">
        <f>IF(Tabela1[[#This Row],[11]]&lt;&gt;"",IF(ISNUMBER(FIND(",",Tabela1[[#This Row],[11]])),LEN(Tabela1[[#This Row],[11]])-LEN(SUBSTITUTE(Tabela1[[#This Row],[11]],",",""))+1,1),"")</f>
        <v/>
      </c>
      <c r="AK15" t="str">
        <f>IF(Tabela1[[#This Row],[12]]&lt;&gt;"",IF(ISNUMBER(FIND(",",Tabela1[[#This Row],[12]])),LEN(Tabela1[[#This Row],[12]])-LEN(SUBSTITUTE(Tabela1[[#This Row],[12]],",",""))+1,1),"")</f>
        <v/>
      </c>
      <c r="AL15" t="str">
        <f>IF(Tabela1[[#This Row],[13]]&lt;&gt;"",IF(ISNUMBER(FIND(",",Tabela1[[#This Row],[13]])),LEN(Tabela1[[#This Row],[13]])-LEN(SUBSTITUTE(Tabela1[[#This Row],[13]],",",""))+1,1),"")</f>
        <v/>
      </c>
      <c r="AM15" t="str">
        <f>IF(Tabela1[[#This Row],[14]]&lt;&gt;"",IF(ISNUMBER(FIND(",",Tabela1[[#This Row],[14]])),LEN(Tabela1[[#This Row],[14]])-LEN(SUBSTITUTE(Tabela1[[#This Row],[14]],",",""))+1,1),"")</f>
        <v/>
      </c>
      <c r="AN15" t="str">
        <f>IF(Tabela1[[#This Row],[15]]&lt;&gt;"",IF(ISNUMBER(FIND(",",Tabela1[[#This Row],[15]])),LEN(Tabela1[[#This Row],[15]])-LEN(SUBSTITUTE(Tabela1[[#This Row],[15]],",",""))+1,1),"")</f>
        <v/>
      </c>
      <c r="AO15" t="str">
        <f>IF(Tabela1[[#This Row],[16]]&lt;&gt;"",IF(ISNUMBER(FIND(",",Tabela1[[#This Row],[16]])),LEN(Tabela1[[#This Row],[16]])-LEN(SUBSTITUTE(Tabela1[[#This Row],[16]],",",""))+1,1),"")</f>
        <v/>
      </c>
      <c r="AP15">
        <f>IF(Tabela1[[#This Row],[17]]&lt;&gt;"",IF(ISNUMBER(FIND(",",Tabela1[[#This Row],[17]])),LEN(Tabela1[[#This Row],[17]])-LEN(SUBSTITUTE(Tabela1[[#This Row],[17]],",",""))+1,1),"")</f>
        <v>1</v>
      </c>
      <c r="AQ15" t="str">
        <f>IF(Tabela1[[#This Row],[18]]&lt;&gt;"",IF(ISNUMBER(FIND(",",Tabela1[[#This Row],[18]])),LEN(Tabela1[[#This Row],[18]])-LEN(SUBSTITUTE(Tabela1[[#This Row],[18]],",",""))+1,1),"")</f>
        <v/>
      </c>
      <c r="AR15" s="13" t="str">
        <f>IF(Tabela1[[#This Row],[19_LENGTH]]&lt;&gt;"",IF(ISNUMBER(FIND(",",Tabela1[[#This Row],[19_LENGTH]])),LEN(Tabela1[[#This Row],[19_LENGTH]])-LEN(SUBSTITUTE(Tabela1[[#This Row],[19_LENGTH]],",",""))+1,1),"")</f>
        <v/>
      </c>
      <c r="AS15">
        <f>SUM(Tabela1[[#This Row],[1_]:[19_]])</f>
        <v>1</v>
      </c>
    </row>
    <row r="16" spans="1:45" x14ac:dyDescent="0.25">
      <c r="A16" s="27" t="s">
        <v>1317</v>
      </c>
      <c r="B16" s="19" t="s">
        <v>670</v>
      </c>
      <c r="C16" s="19">
        <v>102</v>
      </c>
      <c r="D16" s="19" t="s">
        <v>1312</v>
      </c>
      <c r="E16" s="20">
        <v>43439</v>
      </c>
      <c r="F16" s="19"/>
      <c r="G16" s="19">
        <v>24</v>
      </c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 t="s">
        <v>10</v>
      </c>
      <c r="W16" s="19"/>
      <c r="X16" s="19"/>
      <c r="Y16" s="19"/>
      <c r="Z16" t="str">
        <f>IF(Tabela1[[#This Row],[1]]&lt;&gt;"",IF(ISNUMBER(FIND(",",Tabela1[[#This Row],[1]])),LEN(Tabela1[[#This Row],[1]])-LEN(SUBSTITUTE(Tabela1[[#This Row],[1]],",",""))+1,1),"")</f>
        <v/>
      </c>
      <c r="AA16">
        <f>IF(Tabela1[[#This Row],[2]]&lt;&gt;"",IF(ISNUMBER(FIND(",",Tabela1[[#This Row],[2]])),LEN(Tabela1[[#This Row],[2]])-LEN(SUBSTITUTE(Tabela1[[#This Row],[2]],",",""))+1,1),"")</f>
        <v>1</v>
      </c>
      <c r="AB16" t="str">
        <f>IF(Tabela1[[#This Row],[3]]&lt;&gt;"",IF(ISNUMBER(FIND(",",Tabela1[[#This Row],[3]])),LEN(Tabela1[[#This Row],[3]])-LEN(SUBSTITUTE(Tabela1[[#This Row],[3]],",",""))+1,1),"")</f>
        <v/>
      </c>
      <c r="AC16" t="str">
        <f>IF(Tabela1[[#This Row],[4]]&lt;&gt;"",IF(ISNUMBER(FIND(",",Tabela1[[#This Row],[4]])),LEN(Tabela1[[#This Row],[4]])-LEN(SUBSTITUTE(Tabela1[[#This Row],[4]],",",""))+1,1),"")</f>
        <v/>
      </c>
      <c r="AD16" t="str">
        <f>IF(Tabela1[[#This Row],[5]]&lt;&gt;"",IF(ISNUMBER(FIND(",",Tabela1[[#This Row],[5]])),LEN(Tabela1[[#This Row],[5]])-LEN(SUBSTITUTE(Tabela1[[#This Row],[5]],",",""))+1,1),"")</f>
        <v/>
      </c>
      <c r="AE16" t="str">
        <f>IF(Tabela1[[#This Row],[6]]&lt;&gt;"",IF(ISNUMBER(FIND(",",Tabela1[[#This Row],[6]])),LEN(Tabela1[[#This Row],[6]])-LEN(SUBSTITUTE(Tabela1[[#This Row],[6]],",",""))+1,1),"")</f>
        <v/>
      </c>
      <c r="AF16" t="str">
        <f>IF(Tabela1[[#This Row],[7]]&lt;&gt;"",IF(ISNUMBER(FIND(",",Tabela1[[#This Row],[7]])),LEN(Tabela1[[#This Row],[7]])-LEN(SUBSTITUTE(Tabela1[[#This Row],[7]],",",""))+1,1),"")</f>
        <v/>
      </c>
      <c r="AG16" t="str">
        <f>IF(Tabela1[[#This Row],[8]]&lt;&gt;"",IF(ISNUMBER(FIND(",",Tabela1[[#This Row],[8]])),LEN(Tabela1[[#This Row],[8]])-LEN(SUBSTITUTE(Tabela1[[#This Row],[8]],",",""))+1,1),"")</f>
        <v/>
      </c>
      <c r="AH16" t="str">
        <f>IF(Tabela1[[#This Row],[9]]&lt;&gt;"",IF(ISNUMBER(FIND(",",Tabela1[[#This Row],[9]])),LEN(Tabela1[[#This Row],[9]])-LEN(SUBSTITUTE(Tabela1[[#This Row],[9]],",",""))+1,1),"")</f>
        <v/>
      </c>
      <c r="AI16" t="str">
        <f>IF(Tabela1[[#This Row],[10]]&lt;&gt;"",IF(ISNUMBER(FIND(",",Tabela1[[#This Row],[10]])),LEN(Tabela1[[#This Row],[10]])-LEN(SUBSTITUTE(Tabela1[[#This Row],[10]],",",""))+1,1),"")</f>
        <v/>
      </c>
      <c r="AJ16" t="str">
        <f>IF(Tabela1[[#This Row],[11]]&lt;&gt;"",IF(ISNUMBER(FIND(",",Tabela1[[#This Row],[11]])),LEN(Tabela1[[#This Row],[11]])-LEN(SUBSTITUTE(Tabela1[[#This Row],[11]],",",""))+1,1),"")</f>
        <v/>
      </c>
      <c r="AK16" t="str">
        <f>IF(Tabela1[[#This Row],[12]]&lt;&gt;"",IF(ISNUMBER(FIND(",",Tabela1[[#This Row],[12]])),LEN(Tabela1[[#This Row],[12]])-LEN(SUBSTITUTE(Tabela1[[#This Row],[12]],",",""))+1,1),"")</f>
        <v/>
      </c>
      <c r="AL16" t="str">
        <f>IF(Tabela1[[#This Row],[13]]&lt;&gt;"",IF(ISNUMBER(FIND(",",Tabela1[[#This Row],[13]])),LEN(Tabela1[[#This Row],[13]])-LEN(SUBSTITUTE(Tabela1[[#This Row],[13]],",",""))+1,1),"")</f>
        <v/>
      </c>
      <c r="AM16" t="str">
        <f>IF(Tabela1[[#This Row],[14]]&lt;&gt;"",IF(ISNUMBER(FIND(",",Tabela1[[#This Row],[14]])),LEN(Tabela1[[#This Row],[14]])-LEN(SUBSTITUTE(Tabela1[[#This Row],[14]],",",""))+1,1),"")</f>
        <v/>
      </c>
      <c r="AN16" t="str">
        <f>IF(Tabela1[[#This Row],[15]]&lt;&gt;"",IF(ISNUMBER(FIND(",",Tabela1[[#This Row],[15]])),LEN(Tabela1[[#This Row],[15]])-LEN(SUBSTITUTE(Tabela1[[#This Row],[15]],",",""))+1,1),"")</f>
        <v/>
      </c>
      <c r="AO16" t="str">
        <f>IF(Tabela1[[#This Row],[16]]&lt;&gt;"",IF(ISNUMBER(FIND(",",Tabela1[[#This Row],[16]])),LEN(Tabela1[[#This Row],[16]])-LEN(SUBSTITUTE(Tabela1[[#This Row],[16]],",",""))+1,1),"")</f>
        <v/>
      </c>
      <c r="AP16">
        <f>IF(Tabela1[[#This Row],[17]]&lt;&gt;"",IF(ISNUMBER(FIND(",",Tabela1[[#This Row],[17]])),LEN(Tabela1[[#This Row],[17]])-LEN(SUBSTITUTE(Tabela1[[#This Row],[17]],",",""))+1,1),"")</f>
        <v>2</v>
      </c>
      <c r="AQ16" t="str">
        <f>IF(Tabela1[[#This Row],[18]]&lt;&gt;"",IF(ISNUMBER(FIND(",",Tabela1[[#This Row],[18]])),LEN(Tabela1[[#This Row],[18]])-LEN(SUBSTITUTE(Tabela1[[#This Row],[18]],",",""))+1,1),"")</f>
        <v/>
      </c>
      <c r="AR16" s="13" t="str">
        <f>IF(Tabela1[[#This Row],[19_LENGTH]]&lt;&gt;"",IF(ISNUMBER(FIND(",",Tabela1[[#This Row],[19_LENGTH]])),LEN(Tabela1[[#This Row],[19_LENGTH]])-LEN(SUBSTITUTE(Tabela1[[#This Row],[19_LENGTH]],",",""))+1,1),"")</f>
        <v/>
      </c>
      <c r="AS16">
        <f>SUM(Tabela1[[#This Row],[1_]:[19_]])</f>
        <v>3</v>
      </c>
    </row>
    <row r="17" spans="1:45" x14ac:dyDescent="0.25">
      <c r="A17" s="27" t="s">
        <v>1318</v>
      </c>
      <c r="B17" s="19" t="s">
        <v>304</v>
      </c>
      <c r="C17" s="19">
        <v>102</v>
      </c>
      <c r="D17" s="19" t="s">
        <v>1296</v>
      </c>
      <c r="E17" s="20">
        <v>43440</v>
      </c>
      <c r="F17" s="19"/>
      <c r="G17" s="19">
        <v>72</v>
      </c>
      <c r="H17" s="19">
        <v>72</v>
      </c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t="str">
        <f>IF(Tabela1[[#This Row],[1]]&lt;&gt;"",IF(ISNUMBER(FIND(",",Tabela1[[#This Row],[1]])),LEN(Tabela1[[#This Row],[1]])-LEN(SUBSTITUTE(Tabela1[[#This Row],[1]],",",""))+1,1),"")</f>
        <v/>
      </c>
      <c r="AA17">
        <f>IF(Tabela1[[#This Row],[2]]&lt;&gt;"",IF(ISNUMBER(FIND(",",Tabela1[[#This Row],[2]])),LEN(Tabela1[[#This Row],[2]])-LEN(SUBSTITUTE(Tabela1[[#This Row],[2]],",",""))+1,1),"")</f>
        <v>1</v>
      </c>
      <c r="AB17">
        <f>IF(Tabela1[[#This Row],[3]]&lt;&gt;"",IF(ISNUMBER(FIND(",",Tabela1[[#This Row],[3]])),LEN(Tabela1[[#This Row],[3]])-LEN(SUBSTITUTE(Tabela1[[#This Row],[3]],",",""))+1,1),"")</f>
        <v>1</v>
      </c>
      <c r="AC17" t="str">
        <f>IF(Tabela1[[#This Row],[4]]&lt;&gt;"",IF(ISNUMBER(FIND(",",Tabela1[[#This Row],[4]])),LEN(Tabela1[[#This Row],[4]])-LEN(SUBSTITUTE(Tabela1[[#This Row],[4]],",",""))+1,1),"")</f>
        <v/>
      </c>
      <c r="AD17" t="str">
        <f>IF(Tabela1[[#This Row],[5]]&lt;&gt;"",IF(ISNUMBER(FIND(",",Tabela1[[#This Row],[5]])),LEN(Tabela1[[#This Row],[5]])-LEN(SUBSTITUTE(Tabela1[[#This Row],[5]],",",""))+1,1),"")</f>
        <v/>
      </c>
      <c r="AE17" t="str">
        <f>IF(Tabela1[[#This Row],[6]]&lt;&gt;"",IF(ISNUMBER(FIND(",",Tabela1[[#This Row],[6]])),LEN(Tabela1[[#This Row],[6]])-LEN(SUBSTITUTE(Tabela1[[#This Row],[6]],",",""))+1,1),"")</f>
        <v/>
      </c>
      <c r="AF17" t="str">
        <f>IF(Tabela1[[#This Row],[7]]&lt;&gt;"",IF(ISNUMBER(FIND(",",Tabela1[[#This Row],[7]])),LEN(Tabela1[[#This Row],[7]])-LEN(SUBSTITUTE(Tabela1[[#This Row],[7]],",",""))+1,1),"")</f>
        <v/>
      </c>
      <c r="AG17" t="str">
        <f>IF(Tabela1[[#This Row],[8]]&lt;&gt;"",IF(ISNUMBER(FIND(",",Tabela1[[#This Row],[8]])),LEN(Tabela1[[#This Row],[8]])-LEN(SUBSTITUTE(Tabela1[[#This Row],[8]],",",""))+1,1),"")</f>
        <v/>
      </c>
      <c r="AH17" t="str">
        <f>IF(Tabela1[[#This Row],[9]]&lt;&gt;"",IF(ISNUMBER(FIND(",",Tabela1[[#This Row],[9]])),LEN(Tabela1[[#This Row],[9]])-LEN(SUBSTITUTE(Tabela1[[#This Row],[9]],",",""))+1,1),"")</f>
        <v/>
      </c>
      <c r="AI17" t="str">
        <f>IF(Tabela1[[#This Row],[10]]&lt;&gt;"",IF(ISNUMBER(FIND(",",Tabela1[[#This Row],[10]])),LEN(Tabela1[[#This Row],[10]])-LEN(SUBSTITUTE(Tabela1[[#This Row],[10]],",",""))+1,1),"")</f>
        <v/>
      </c>
      <c r="AJ17" t="str">
        <f>IF(Tabela1[[#This Row],[11]]&lt;&gt;"",IF(ISNUMBER(FIND(",",Tabela1[[#This Row],[11]])),LEN(Tabela1[[#This Row],[11]])-LEN(SUBSTITUTE(Tabela1[[#This Row],[11]],",",""))+1,1),"")</f>
        <v/>
      </c>
      <c r="AK17" t="str">
        <f>IF(Tabela1[[#This Row],[12]]&lt;&gt;"",IF(ISNUMBER(FIND(",",Tabela1[[#This Row],[12]])),LEN(Tabela1[[#This Row],[12]])-LEN(SUBSTITUTE(Tabela1[[#This Row],[12]],",",""))+1,1),"")</f>
        <v/>
      </c>
      <c r="AL17" t="str">
        <f>IF(Tabela1[[#This Row],[13]]&lt;&gt;"",IF(ISNUMBER(FIND(",",Tabela1[[#This Row],[13]])),LEN(Tabela1[[#This Row],[13]])-LEN(SUBSTITUTE(Tabela1[[#This Row],[13]],",",""))+1,1),"")</f>
        <v/>
      </c>
      <c r="AM17" t="str">
        <f>IF(Tabela1[[#This Row],[14]]&lt;&gt;"",IF(ISNUMBER(FIND(",",Tabela1[[#This Row],[14]])),LEN(Tabela1[[#This Row],[14]])-LEN(SUBSTITUTE(Tabela1[[#This Row],[14]],",",""))+1,1),"")</f>
        <v/>
      </c>
      <c r="AN17" t="str">
        <f>IF(Tabela1[[#This Row],[15]]&lt;&gt;"",IF(ISNUMBER(FIND(",",Tabela1[[#This Row],[15]])),LEN(Tabela1[[#This Row],[15]])-LEN(SUBSTITUTE(Tabela1[[#This Row],[15]],",",""))+1,1),"")</f>
        <v/>
      </c>
      <c r="AO17" t="str">
        <f>IF(Tabela1[[#This Row],[16]]&lt;&gt;"",IF(ISNUMBER(FIND(",",Tabela1[[#This Row],[16]])),LEN(Tabela1[[#This Row],[16]])-LEN(SUBSTITUTE(Tabela1[[#This Row],[16]],",",""))+1,1),"")</f>
        <v/>
      </c>
      <c r="AP17" t="str">
        <f>IF(Tabela1[[#This Row],[17]]&lt;&gt;"",IF(ISNUMBER(FIND(",",Tabela1[[#This Row],[17]])),LEN(Tabela1[[#This Row],[17]])-LEN(SUBSTITUTE(Tabela1[[#This Row],[17]],",",""))+1,1),"")</f>
        <v/>
      </c>
      <c r="AQ17" t="str">
        <f>IF(Tabela1[[#This Row],[18]]&lt;&gt;"",IF(ISNUMBER(FIND(",",Tabela1[[#This Row],[18]])),LEN(Tabela1[[#This Row],[18]])-LEN(SUBSTITUTE(Tabela1[[#This Row],[18]],",",""))+1,1),"")</f>
        <v/>
      </c>
      <c r="AR17" s="13" t="str">
        <f>IF(Tabela1[[#This Row],[19_LENGTH]]&lt;&gt;"",IF(ISNUMBER(FIND(",",Tabela1[[#This Row],[19_LENGTH]])),LEN(Tabela1[[#This Row],[19_LENGTH]])-LEN(SUBSTITUTE(Tabela1[[#This Row],[19_LENGTH]],",",""))+1,1),"")</f>
        <v/>
      </c>
      <c r="AS17">
        <f>SUM(Tabela1[[#This Row],[1_]:[19_]])</f>
        <v>2</v>
      </c>
    </row>
    <row r="18" spans="1:45" x14ac:dyDescent="0.25">
      <c r="A18" s="27" t="s">
        <v>1318</v>
      </c>
      <c r="B18" s="19" t="s">
        <v>305</v>
      </c>
      <c r="C18" s="19">
        <v>96</v>
      </c>
      <c r="D18" s="19" t="s">
        <v>1296</v>
      </c>
      <c r="E18" s="20">
        <v>43440</v>
      </c>
      <c r="F18" s="19"/>
      <c r="G18" s="19" t="s">
        <v>11</v>
      </c>
      <c r="H18" s="19" t="s">
        <v>11</v>
      </c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t="str">
        <f>IF(Tabela1[[#This Row],[1]]&lt;&gt;"",IF(ISNUMBER(FIND(",",Tabela1[[#This Row],[1]])),LEN(Tabela1[[#This Row],[1]])-LEN(SUBSTITUTE(Tabela1[[#This Row],[1]],",",""))+1,1),"")</f>
        <v/>
      </c>
      <c r="AA18">
        <f>IF(Tabela1[[#This Row],[2]]&lt;&gt;"",IF(ISNUMBER(FIND(",",Tabela1[[#This Row],[2]])),LEN(Tabela1[[#This Row],[2]])-LEN(SUBSTITUTE(Tabela1[[#This Row],[2]],",",""))+1,1),"")</f>
        <v>2</v>
      </c>
      <c r="AB18">
        <f>IF(Tabela1[[#This Row],[3]]&lt;&gt;"",IF(ISNUMBER(FIND(",",Tabela1[[#This Row],[3]])),LEN(Tabela1[[#This Row],[3]])-LEN(SUBSTITUTE(Tabela1[[#This Row],[3]],",",""))+1,1),"")</f>
        <v>2</v>
      </c>
      <c r="AC18" t="str">
        <f>IF(Tabela1[[#This Row],[4]]&lt;&gt;"",IF(ISNUMBER(FIND(",",Tabela1[[#This Row],[4]])),LEN(Tabela1[[#This Row],[4]])-LEN(SUBSTITUTE(Tabela1[[#This Row],[4]],",",""))+1,1),"")</f>
        <v/>
      </c>
      <c r="AD18" t="str">
        <f>IF(Tabela1[[#This Row],[5]]&lt;&gt;"",IF(ISNUMBER(FIND(",",Tabela1[[#This Row],[5]])),LEN(Tabela1[[#This Row],[5]])-LEN(SUBSTITUTE(Tabela1[[#This Row],[5]],",",""))+1,1),"")</f>
        <v/>
      </c>
      <c r="AE18" t="str">
        <f>IF(Tabela1[[#This Row],[6]]&lt;&gt;"",IF(ISNUMBER(FIND(",",Tabela1[[#This Row],[6]])),LEN(Tabela1[[#This Row],[6]])-LEN(SUBSTITUTE(Tabela1[[#This Row],[6]],",",""))+1,1),"")</f>
        <v/>
      </c>
      <c r="AF18" t="str">
        <f>IF(Tabela1[[#This Row],[7]]&lt;&gt;"",IF(ISNUMBER(FIND(",",Tabela1[[#This Row],[7]])),LEN(Tabela1[[#This Row],[7]])-LEN(SUBSTITUTE(Tabela1[[#This Row],[7]],",",""))+1,1),"")</f>
        <v/>
      </c>
      <c r="AG18" t="str">
        <f>IF(Tabela1[[#This Row],[8]]&lt;&gt;"",IF(ISNUMBER(FIND(",",Tabela1[[#This Row],[8]])),LEN(Tabela1[[#This Row],[8]])-LEN(SUBSTITUTE(Tabela1[[#This Row],[8]],",",""))+1,1),"")</f>
        <v/>
      </c>
      <c r="AH18" t="str">
        <f>IF(Tabela1[[#This Row],[9]]&lt;&gt;"",IF(ISNUMBER(FIND(",",Tabela1[[#This Row],[9]])),LEN(Tabela1[[#This Row],[9]])-LEN(SUBSTITUTE(Tabela1[[#This Row],[9]],",",""))+1,1),"")</f>
        <v/>
      </c>
      <c r="AI18" t="str">
        <f>IF(Tabela1[[#This Row],[10]]&lt;&gt;"",IF(ISNUMBER(FIND(",",Tabela1[[#This Row],[10]])),LEN(Tabela1[[#This Row],[10]])-LEN(SUBSTITUTE(Tabela1[[#This Row],[10]],",",""))+1,1),"")</f>
        <v/>
      </c>
      <c r="AJ18" t="str">
        <f>IF(Tabela1[[#This Row],[11]]&lt;&gt;"",IF(ISNUMBER(FIND(",",Tabela1[[#This Row],[11]])),LEN(Tabela1[[#This Row],[11]])-LEN(SUBSTITUTE(Tabela1[[#This Row],[11]],",",""))+1,1),"")</f>
        <v/>
      </c>
      <c r="AK18" t="str">
        <f>IF(Tabela1[[#This Row],[12]]&lt;&gt;"",IF(ISNUMBER(FIND(",",Tabela1[[#This Row],[12]])),LEN(Tabela1[[#This Row],[12]])-LEN(SUBSTITUTE(Tabela1[[#This Row],[12]],",",""))+1,1),"")</f>
        <v/>
      </c>
      <c r="AL18" t="str">
        <f>IF(Tabela1[[#This Row],[13]]&lt;&gt;"",IF(ISNUMBER(FIND(",",Tabela1[[#This Row],[13]])),LEN(Tabela1[[#This Row],[13]])-LEN(SUBSTITUTE(Tabela1[[#This Row],[13]],",",""))+1,1),"")</f>
        <v/>
      </c>
      <c r="AM18" t="str">
        <f>IF(Tabela1[[#This Row],[14]]&lt;&gt;"",IF(ISNUMBER(FIND(",",Tabela1[[#This Row],[14]])),LEN(Tabela1[[#This Row],[14]])-LEN(SUBSTITUTE(Tabela1[[#This Row],[14]],",",""))+1,1),"")</f>
        <v/>
      </c>
      <c r="AN18" t="str">
        <f>IF(Tabela1[[#This Row],[15]]&lt;&gt;"",IF(ISNUMBER(FIND(",",Tabela1[[#This Row],[15]])),LEN(Tabela1[[#This Row],[15]])-LEN(SUBSTITUTE(Tabela1[[#This Row],[15]],",",""))+1,1),"")</f>
        <v/>
      </c>
      <c r="AO18" t="str">
        <f>IF(Tabela1[[#This Row],[16]]&lt;&gt;"",IF(ISNUMBER(FIND(",",Tabela1[[#This Row],[16]])),LEN(Tabela1[[#This Row],[16]])-LEN(SUBSTITUTE(Tabela1[[#This Row],[16]],",",""))+1,1),"")</f>
        <v/>
      </c>
      <c r="AP18" t="str">
        <f>IF(Tabela1[[#This Row],[17]]&lt;&gt;"",IF(ISNUMBER(FIND(",",Tabela1[[#This Row],[17]])),LEN(Tabela1[[#This Row],[17]])-LEN(SUBSTITUTE(Tabela1[[#This Row],[17]],",",""))+1,1),"")</f>
        <v/>
      </c>
      <c r="AQ18" t="str">
        <f>IF(Tabela1[[#This Row],[18]]&lt;&gt;"",IF(ISNUMBER(FIND(",",Tabela1[[#This Row],[18]])),LEN(Tabela1[[#This Row],[18]])-LEN(SUBSTITUTE(Tabela1[[#This Row],[18]],",",""))+1,1),"")</f>
        <v/>
      </c>
      <c r="AR18" s="13" t="str">
        <f>IF(Tabela1[[#This Row],[19_LENGTH]]&lt;&gt;"",IF(ISNUMBER(FIND(",",Tabela1[[#This Row],[19_LENGTH]])),LEN(Tabela1[[#This Row],[19_LENGTH]])-LEN(SUBSTITUTE(Tabela1[[#This Row],[19_LENGTH]],",",""))+1,1),"")</f>
        <v/>
      </c>
      <c r="AS18">
        <f>SUM(Tabela1[[#This Row],[1_]:[19_]])</f>
        <v>4</v>
      </c>
    </row>
    <row r="19" spans="1:45" x14ac:dyDescent="0.25">
      <c r="A19" s="27" t="s">
        <v>1317</v>
      </c>
      <c r="B19" s="19" t="s">
        <v>671</v>
      </c>
      <c r="C19" s="19">
        <v>102</v>
      </c>
      <c r="D19" s="19" t="s">
        <v>1312</v>
      </c>
      <c r="E19" s="20">
        <v>43439</v>
      </c>
      <c r="F19" s="19"/>
      <c r="G19" s="19"/>
      <c r="H19" s="19"/>
      <c r="I19" s="19">
        <v>93</v>
      </c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t="str">
        <f>IF(Tabela1[[#This Row],[1]]&lt;&gt;"",IF(ISNUMBER(FIND(",",Tabela1[[#This Row],[1]])),LEN(Tabela1[[#This Row],[1]])-LEN(SUBSTITUTE(Tabela1[[#This Row],[1]],",",""))+1,1),"")</f>
        <v/>
      </c>
      <c r="AA19" t="str">
        <f>IF(Tabela1[[#This Row],[2]]&lt;&gt;"",IF(ISNUMBER(FIND(",",Tabela1[[#This Row],[2]])),LEN(Tabela1[[#This Row],[2]])-LEN(SUBSTITUTE(Tabela1[[#This Row],[2]],",",""))+1,1),"")</f>
        <v/>
      </c>
      <c r="AB19" t="str">
        <f>IF(Tabela1[[#This Row],[3]]&lt;&gt;"",IF(ISNUMBER(FIND(",",Tabela1[[#This Row],[3]])),LEN(Tabela1[[#This Row],[3]])-LEN(SUBSTITUTE(Tabela1[[#This Row],[3]],",",""))+1,1),"")</f>
        <v/>
      </c>
      <c r="AC19">
        <f>IF(Tabela1[[#This Row],[4]]&lt;&gt;"",IF(ISNUMBER(FIND(",",Tabela1[[#This Row],[4]])),LEN(Tabela1[[#This Row],[4]])-LEN(SUBSTITUTE(Tabela1[[#This Row],[4]],",",""))+1,1),"")</f>
        <v>1</v>
      </c>
      <c r="AD19" t="str">
        <f>IF(Tabela1[[#This Row],[5]]&lt;&gt;"",IF(ISNUMBER(FIND(",",Tabela1[[#This Row],[5]])),LEN(Tabela1[[#This Row],[5]])-LEN(SUBSTITUTE(Tabela1[[#This Row],[5]],",",""))+1,1),"")</f>
        <v/>
      </c>
      <c r="AE19" t="str">
        <f>IF(Tabela1[[#This Row],[6]]&lt;&gt;"",IF(ISNUMBER(FIND(",",Tabela1[[#This Row],[6]])),LEN(Tabela1[[#This Row],[6]])-LEN(SUBSTITUTE(Tabela1[[#This Row],[6]],",",""))+1,1),"")</f>
        <v/>
      </c>
      <c r="AF19" t="str">
        <f>IF(Tabela1[[#This Row],[7]]&lt;&gt;"",IF(ISNUMBER(FIND(",",Tabela1[[#This Row],[7]])),LEN(Tabela1[[#This Row],[7]])-LEN(SUBSTITUTE(Tabela1[[#This Row],[7]],",",""))+1,1),"")</f>
        <v/>
      </c>
      <c r="AG19" t="str">
        <f>IF(Tabela1[[#This Row],[8]]&lt;&gt;"",IF(ISNUMBER(FIND(",",Tabela1[[#This Row],[8]])),LEN(Tabela1[[#This Row],[8]])-LEN(SUBSTITUTE(Tabela1[[#This Row],[8]],",",""))+1,1),"")</f>
        <v/>
      </c>
      <c r="AH19" t="str">
        <f>IF(Tabela1[[#This Row],[9]]&lt;&gt;"",IF(ISNUMBER(FIND(",",Tabela1[[#This Row],[9]])),LEN(Tabela1[[#This Row],[9]])-LEN(SUBSTITUTE(Tabela1[[#This Row],[9]],",",""))+1,1),"")</f>
        <v/>
      </c>
      <c r="AI19" t="str">
        <f>IF(Tabela1[[#This Row],[10]]&lt;&gt;"",IF(ISNUMBER(FIND(",",Tabela1[[#This Row],[10]])),LEN(Tabela1[[#This Row],[10]])-LEN(SUBSTITUTE(Tabela1[[#This Row],[10]],",",""))+1,1),"")</f>
        <v/>
      </c>
      <c r="AJ19" t="str">
        <f>IF(Tabela1[[#This Row],[11]]&lt;&gt;"",IF(ISNUMBER(FIND(",",Tabela1[[#This Row],[11]])),LEN(Tabela1[[#This Row],[11]])-LEN(SUBSTITUTE(Tabela1[[#This Row],[11]],",",""))+1,1),"")</f>
        <v/>
      </c>
      <c r="AK19" t="str">
        <f>IF(Tabela1[[#This Row],[12]]&lt;&gt;"",IF(ISNUMBER(FIND(",",Tabela1[[#This Row],[12]])),LEN(Tabela1[[#This Row],[12]])-LEN(SUBSTITUTE(Tabela1[[#This Row],[12]],",",""))+1,1),"")</f>
        <v/>
      </c>
      <c r="AL19" t="str">
        <f>IF(Tabela1[[#This Row],[13]]&lt;&gt;"",IF(ISNUMBER(FIND(",",Tabela1[[#This Row],[13]])),LEN(Tabela1[[#This Row],[13]])-LEN(SUBSTITUTE(Tabela1[[#This Row],[13]],",",""))+1,1),"")</f>
        <v/>
      </c>
      <c r="AM19" t="str">
        <f>IF(Tabela1[[#This Row],[14]]&lt;&gt;"",IF(ISNUMBER(FIND(",",Tabela1[[#This Row],[14]])),LEN(Tabela1[[#This Row],[14]])-LEN(SUBSTITUTE(Tabela1[[#This Row],[14]],",",""))+1,1),"")</f>
        <v/>
      </c>
      <c r="AN19" t="str">
        <f>IF(Tabela1[[#This Row],[15]]&lt;&gt;"",IF(ISNUMBER(FIND(",",Tabela1[[#This Row],[15]])),LEN(Tabela1[[#This Row],[15]])-LEN(SUBSTITUTE(Tabela1[[#This Row],[15]],",",""))+1,1),"")</f>
        <v/>
      </c>
      <c r="AO19" t="str">
        <f>IF(Tabela1[[#This Row],[16]]&lt;&gt;"",IF(ISNUMBER(FIND(",",Tabela1[[#This Row],[16]])),LEN(Tabela1[[#This Row],[16]])-LEN(SUBSTITUTE(Tabela1[[#This Row],[16]],",",""))+1,1),"")</f>
        <v/>
      </c>
      <c r="AP19" t="str">
        <f>IF(Tabela1[[#This Row],[17]]&lt;&gt;"",IF(ISNUMBER(FIND(",",Tabela1[[#This Row],[17]])),LEN(Tabela1[[#This Row],[17]])-LEN(SUBSTITUTE(Tabela1[[#This Row],[17]],",",""))+1,1),"")</f>
        <v/>
      </c>
      <c r="AQ19" t="str">
        <f>IF(Tabela1[[#This Row],[18]]&lt;&gt;"",IF(ISNUMBER(FIND(",",Tabela1[[#This Row],[18]])),LEN(Tabela1[[#This Row],[18]])-LEN(SUBSTITUTE(Tabela1[[#This Row],[18]],",",""))+1,1),"")</f>
        <v/>
      </c>
      <c r="AR19" s="13" t="str">
        <f>IF(Tabela1[[#This Row],[19_LENGTH]]&lt;&gt;"",IF(ISNUMBER(FIND(",",Tabela1[[#This Row],[19_LENGTH]])),LEN(Tabela1[[#This Row],[19_LENGTH]])-LEN(SUBSTITUTE(Tabela1[[#This Row],[19_LENGTH]],",",""))+1,1),"")</f>
        <v/>
      </c>
      <c r="AS19">
        <f>SUM(Tabela1[[#This Row],[1_]:[19_]])</f>
        <v>1</v>
      </c>
    </row>
    <row r="20" spans="1:45" x14ac:dyDescent="0.25">
      <c r="A20" s="27" t="s">
        <v>1316</v>
      </c>
      <c r="B20" s="19" t="s">
        <v>306</v>
      </c>
      <c r="C20" s="19">
        <v>202</v>
      </c>
      <c r="D20" s="19" t="s">
        <v>1315</v>
      </c>
      <c r="E20" s="20">
        <v>43439</v>
      </c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 t="s">
        <v>12</v>
      </c>
      <c r="S20" s="19"/>
      <c r="T20" s="19"/>
      <c r="U20" s="19">
        <v>145</v>
      </c>
      <c r="V20" s="19"/>
      <c r="W20" s="19"/>
      <c r="X20" s="19"/>
      <c r="Y20" s="19"/>
      <c r="Z20" t="str">
        <f>IF(Tabela1[[#This Row],[1]]&lt;&gt;"",IF(ISNUMBER(FIND(",",Tabela1[[#This Row],[1]])),LEN(Tabela1[[#This Row],[1]])-LEN(SUBSTITUTE(Tabela1[[#This Row],[1]],",",""))+1,1),"")</f>
        <v/>
      </c>
      <c r="AA20" t="str">
        <f>IF(Tabela1[[#This Row],[2]]&lt;&gt;"",IF(ISNUMBER(FIND(",",Tabela1[[#This Row],[2]])),LEN(Tabela1[[#This Row],[2]])-LEN(SUBSTITUTE(Tabela1[[#This Row],[2]],",",""))+1,1),"")</f>
        <v/>
      </c>
      <c r="AB20" t="str">
        <f>IF(Tabela1[[#This Row],[3]]&lt;&gt;"",IF(ISNUMBER(FIND(",",Tabela1[[#This Row],[3]])),LEN(Tabela1[[#This Row],[3]])-LEN(SUBSTITUTE(Tabela1[[#This Row],[3]],",",""))+1,1),"")</f>
        <v/>
      </c>
      <c r="AC20" t="str">
        <f>IF(Tabela1[[#This Row],[4]]&lt;&gt;"",IF(ISNUMBER(FIND(",",Tabela1[[#This Row],[4]])),LEN(Tabela1[[#This Row],[4]])-LEN(SUBSTITUTE(Tabela1[[#This Row],[4]],",",""))+1,1),"")</f>
        <v/>
      </c>
      <c r="AD20" t="str">
        <f>IF(Tabela1[[#This Row],[5]]&lt;&gt;"",IF(ISNUMBER(FIND(",",Tabela1[[#This Row],[5]])),LEN(Tabela1[[#This Row],[5]])-LEN(SUBSTITUTE(Tabela1[[#This Row],[5]],",",""))+1,1),"")</f>
        <v/>
      </c>
      <c r="AE20" t="str">
        <f>IF(Tabela1[[#This Row],[6]]&lt;&gt;"",IF(ISNUMBER(FIND(",",Tabela1[[#This Row],[6]])),LEN(Tabela1[[#This Row],[6]])-LEN(SUBSTITUTE(Tabela1[[#This Row],[6]],",",""))+1,1),"")</f>
        <v/>
      </c>
      <c r="AF20" t="str">
        <f>IF(Tabela1[[#This Row],[7]]&lt;&gt;"",IF(ISNUMBER(FIND(",",Tabela1[[#This Row],[7]])),LEN(Tabela1[[#This Row],[7]])-LEN(SUBSTITUTE(Tabela1[[#This Row],[7]],",",""))+1,1),"")</f>
        <v/>
      </c>
      <c r="AG20" t="str">
        <f>IF(Tabela1[[#This Row],[8]]&lt;&gt;"",IF(ISNUMBER(FIND(",",Tabela1[[#This Row],[8]])),LEN(Tabela1[[#This Row],[8]])-LEN(SUBSTITUTE(Tabela1[[#This Row],[8]],",",""))+1,1),"")</f>
        <v/>
      </c>
      <c r="AH20" t="str">
        <f>IF(Tabela1[[#This Row],[9]]&lt;&gt;"",IF(ISNUMBER(FIND(",",Tabela1[[#This Row],[9]])),LEN(Tabela1[[#This Row],[9]])-LEN(SUBSTITUTE(Tabela1[[#This Row],[9]],",",""))+1,1),"")</f>
        <v/>
      </c>
      <c r="AI20" t="str">
        <f>IF(Tabela1[[#This Row],[10]]&lt;&gt;"",IF(ISNUMBER(FIND(",",Tabela1[[#This Row],[10]])),LEN(Tabela1[[#This Row],[10]])-LEN(SUBSTITUTE(Tabela1[[#This Row],[10]],",",""))+1,1),"")</f>
        <v/>
      </c>
      <c r="AJ20" t="str">
        <f>IF(Tabela1[[#This Row],[11]]&lt;&gt;"",IF(ISNUMBER(FIND(",",Tabela1[[#This Row],[11]])),LEN(Tabela1[[#This Row],[11]])-LEN(SUBSTITUTE(Tabela1[[#This Row],[11]],",",""))+1,1),"")</f>
        <v/>
      </c>
      <c r="AK20" t="str">
        <f>IF(Tabela1[[#This Row],[12]]&lt;&gt;"",IF(ISNUMBER(FIND(",",Tabela1[[#This Row],[12]])),LEN(Tabela1[[#This Row],[12]])-LEN(SUBSTITUTE(Tabela1[[#This Row],[12]],",",""))+1,1),"")</f>
        <v/>
      </c>
      <c r="AL20">
        <f>IF(Tabela1[[#This Row],[13]]&lt;&gt;"",IF(ISNUMBER(FIND(",",Tabela1[[#This Row],[13]])),LEN(Tabela1[[#This Row],[13]])-LEN(SUBSTITUTE(Tabela1[[#This Row],[13]],",",""))+1,1),"")</f>
        <v>1</v>
      </c>
      <c r="AM20" t="str">
        <f>IF(Tabela1[[#This Row],[14]]&lt;&gt;"",IF(ISNUMBER(FIND(",",Tabela1[[#This Row],[14]])),LEN(Tabela1[[#This Row],[14]])-LEN(SUBSTITUTE(Tabela1[[#This Row],[14]],",",""))+1,1),"")</f>
        <v/>
      </c>
      <c r="AN20" t="str">
        <f>IF(Tabela1[[#This Row],[15]]&lt;&gt;"",IF(ISNUMBER(FIND(",",Tabela1[[#This Row],[15]])),LEN(Tabela1[[#This Row],[15]])-LEN(SUBSTITUTE(Tabela1[[#This Row],[15]],",",""))+1,1),"")</f>
        <v/>
      </c>
      <c r="AO20">
        <f>IF(Tabela1[[#This Row],[16]]&lt;&gt;"",IF(ISNUMBER(FIND(",",Tabela1[[#This Row],[16]])),LEN(Tabela1[[#This Row],[16]])-LEN(SUBSTITUTE(Tabela1[[#This Row],[16]],",",""))+1,1),"")</f>
        <v>1</v>
      </c>
      <c r="AP20" t="str">
        <f>IF(Tabela1[[#This Row],[17]]&lt;&gt;"",IF(ISNUMBER(FIND(",",Tabela1[[#This Row],[17]])),LEN(Tabela1[[#This Row],[17]])-LEN(SUBSTITUTE(Tabela1[[#This Row],[17]],",",""))+1,1),"")</f>
        <v/>
      </c>
      <c r="AQ20" t="str">
        <f>IF(Tabela1[[#This Row],[18]]&lt;&gt;"",IF(ISNUMBER(FIND(",",Tabela1[[#This Row],[18]])),LEN(Tabela1[[#This Row],[18]])-LEN(SUBSTITUTE(Tabela1[[#This Row],[18]],",",""))+1,1),"")</f>
        <v/>
      </c>
      <c r="AR20" s="13" t="str">
        <f>IF(Tabela1[[#This Row],[19_LENGTH]]&lt;&gt;"",IF(ISNUMBER(FIND(",",Tabela1[[#This Row],[19_LENGTH]])),LEN(Tabela1[[#This Row],[19_LENGTH]])-LEN(SUBSTITUTE(Tabela1[[#This Row],[19_LENGTH]],",",""))+1,1),"")</f>
        <v/>
      </c>
      <c r="AS20">
        <f>SUM(Tabela1[[#This Row],[1_]:[19_]])</f>
        <v>2</v>
      </c>
    </row>
    <row r="21" spans="1:45" x14ac:dyDescent="0.25">
      <c r="A21" s="27" t="s">
        <v>1316</v>
      </c>
      <c r="B21" s="19" t="s">
        <v>672</v>
      </c>
      <c r="C21" s="19">
        <v>202</v>
      </c>
      <c r="D21" s="19" t="s">
        <v>1299</v>
      </c>
      <c r="E21" s="20">
        <v>43439</v>
      </c>
      <c r="F21" s="19"/>
      <c r="G21" s="19"/>
      <c r="H21" s="19"/>
      <c r="I21" s="19"/>
      <c r="J21" s="19">
        <v>143</v>
      </c>
      <c r="K21" s="19"/>
      <c r="L21" s="19"/>
      <c r="M21" s="19">
        <v>58</v>
      </c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t="str">
        <f>IF(Tabela1[[#This Row],[1]]&lt;&gt;"",IF(ISNUMBER(FIND(",",Tabela1[[#This Row],[1]])),LEN(Tabela1[[#This Row],[1]])-LEN(SUBSTITUTE(Tabela1[[#This Row],[1]],",",""))+1,1),"")</f>
        <v/>
      </c>
      <c r="AA21" t="str">
        <f>IF(Tabela1[[#This Row],[2]]&lt;&gt;"",IF(ISNUMBER(FIND(",",Tabela1[[#This Row],[2]])),LEN(Tabela1[[#This Row],[2]])-LEN(SUBSTITUTE(Tabela1[[#This Row],[2]],",",""))+1,1),"")</f>
        <v/>
      </c>
      <c r="AB21" t="str">
        <f>IF(Tabela1[[#This Row],[3]]&lt;&gt;"",IF(ISNUMBER(FIND(",",Tabela1[[#This Row],[3]])),LEN(Tabela1[[#This Row],[3]])-LEN(SUBSTITUTE(Tabela1[[#This Row],[3]],",",""))+1,1),"")</f>
        <v/>
      </c>
      <c r="AC21" t="str">
        <f>IF(Tabela1[[#This Row],[4]]&lt;&gt;"",IF(ISNUMBER(FIND(",",Tabela1[[#This Row],[4]])),LEN(Tabela1[[#This Row],[4]])-LEN(SUBSTITUTE(Tabela1[[#This Row],[4]],",",""))+1,1),"")</f>
        <v/>
      </c>
      <c r="AD21">
        <f>IF(Tabela1[[#This Row],[5]]&lt;&gt;"",IF(ISNUMBER(FIND(",",Tabela1[[#This Row],[5]])),LEN(Tabela1[[#This Row],[5]])-LEN(SUBSTITUTE(Tabela1[[#This Row],[5]],",",""))+1,1),"")</f>
        <v>1</v>
      </c>
      <c r="AE21" t="str">
        <f>IF(Tabela1[[#This Row],[6]]&lt;&gt;"",IF(ISNUMBER(FIND(",",Tabela1[[#This Row],[6]])),LEN(Tabela1[[#This Row],[6]])-LEN(SUBSTITUTE(Tabela1[[#This Row],[6]],",",""))+1,1),"")</f>
        <v/>
      </c>
      <c r="AF21" t="str">
        <f>IF(Tabela1[[#This Row],[7]]&lt;&gt;"",IF(ISNUMBER(FIND(",",Tabela1[[#This Row],[7]])),LEN(Tabela1[[#This Row],[7]])-LEN(SUBSTITUTE(Tabela1[[#This Row],[7]],",",""))+1,1),"")</f>
        <v/>
      </c>
      <c r="AG21">
        <f>IF(Tabela1[[#This Row],[8]]&lt;&gt;"",IF(ISNUMBER(FIND(",",Tabela1[[#This Row],[8]])),LEN(Tabela1[[#This Row],[8]])-LEN(SUBSTITUTE(Tabela1[[#This Row],[8]],",",""))+1,1),"")</f>
        <v>1</v>
      </c>
      <c r="AH21" t="str">
        <f>IF(Tabela1[[#This Row],[9]]&lt;&gt;"",IF(ISNUMBER(FIND(",",Tabela1[[#This Row],[9]])),LEN(Tabela1[[#This Row],[9]])-LEN(SUBSTITUTE(Tabela1[[#This Row],[9]],",",""))+1,1),"")</f>
        <v/>
      </c>
      <c r="AI21" t="str">
        <f>IF(Tabela1[[#This Row],[10]]&lt;&gt;"",IF(ISNUMBER(FIND(",",Tabela1[[#This Row],[10]])),LEN(Tabela1[[#This Row],[10]])-LEN(SUBSTITUTE(Tabela1[[#This Row],[10]],",",""))+1,1),"")</f>
        <v/>
      </c>
      <c r="AJ21" t="str">
        <f>IF(Tabela1[[#This Row],[11]]&lt;&gt;"",IF(ISNUMBER(FIND(",",Tabela1[[#This Row],[11]])),LEN(Tabela1[[#This Row],[11]])-LEN(SUBSTITUTE(Tabela1[[#This Row],[11]],",",""))+1,1),"")</f>
        <v/>
      </c>
      <c r="AK21" t="str">
        <f>IF(Tabela1[[#This Row],[12]]&lt;&gt;"",IF(ISNUMBER(FIND(",",Tabela1[[#This Row],[12]])),LEN(Tabela1[[#This Row],[12]])-LEN(SUBSTITUTE(Tabela1[[#This Row],[12]],",",""))+1,1),"")</f>
        <v/>
      </c>
      <c r="AL21" t="str">
        <f>IF(Tabela1[[#This Row],[13]]&lt;&gt;"",IF(ISNUMBER(FIND(",",Tabela1[[#This Row],[13]])),LEN(Tabela1[[#This Row],[13]])-LEN(SUBSTITUTE(Tabela1[[#This Row],[13]],",",""))+1,1),"")</f>
        <v/>
      </c>
      <c r="AM21" t="str">
        <f>IF(Tabela1[[#This Row],[14]]&lt;&gt;"",IF(ISNUMBER(FIND(",",Tabela1[[#This Row],[14]])),LEN(Tabela1[[#This Row],[14]])-LEN(SUBSTITUTE(Tabela1[[#This Row],[14]],",",""))+1,1),"")</f>
        <v/>
      </c>
      <c r="AN21" t="str">
        <f>IF(Tabela1[[#This Row],[15]]&lt;&gt;"",IF(ISNUMBER(FIND(",",Tabela1[[#This Row],[15]])),LEN(Tabela1[[#This Row],[15]])-LEN(SUBSTITUTE(Tabela1[[#This Row],[15]],",",""))+1,1),"")</f>
        <v/>
      </c>
      <c r="AO21" t="str">
        <f>IF(Tabela1[[#This Row],[16]]&lt;&gt;"",IF(ISNUMBER(FIND(",",Tabela1[[#This Row],[16]])),LEN(Tabela1[[#This Row],[16]])-LEN(SUBSTITUTE(Tabela1[[#This Row],[16]],",",""))+1,1),"")</f>
        <v/>
      </c>
      <c r="AP21" t="str">
        <f>IF(Tabela1[[#This Row],[17]]&lt;&gt;"",IF(ISNUMBER(FIND(",",Tabela1[[#This Row],[17]])),LEN(Tabela1[[#This Row],[17]])-LEN(SUBSTITUTE(Tabela1[[#This Row],[17]],",",""))+1,1),"")</f>
        <v/>
      </c>
      <c r="AQ21" t="str">
        <f>IF(Tabela1[[#This Row],[18]]&lt;&gt;"",IF(ISNUMBER(FIND(",",Tabela1[[#This Row],[18]])),LEN(Tabela1[[#This Row],[18]])-LEN(SUBSTITUTE(Tabela1[[#This Row],[18]],",",""))+1,1),"")</f>
        <v/>
      </c>
      <c r="AR21" s="13" t="str">
        <f>IF(Tabela1[[#This Row],[19_LENGTH]]&lt;&gt;"",IF(ISNUMBER(FIND(",",Tabela1[[#This Row],[19_LENGTH]])),LEN(Tabela1[[#This Row],[19_LENGTH]])-LEN(SUBSTITUTE(Tabela1[[#This Row],[19_LENGTH]],",",""))+1,1),"")</f>
        <v/>
      </c>
      <c r="AS21">
        <f>SUM(Tabela1[[#This Row],[1_]:[19_]])</f>
        <v>2</v>
      </c>
    </row>
    <row r="22" spans="1:45" x14ac:dyDescent="0.25">
      <c r="A22" s="27" t="s">
        <v>1316</v>
      </c>
      <c r="B22" s="19" t="s">
        <v>673</v>
      </c>
      <c r="C22" s="19">
        <v>196</v>
      </c>
      <c r="D22" s="19" t="s">
        <v>1299</v>
      </c>
      <c r="E22" s="20">
        <v>43439</v>
      </c>
      <c r="F22" s="19"/>
      <c r="G22" s="19"/>
      <c r="H22" s="19">
        <v>55</v>
      </c>
      <c r="I22" s="19">
        <v>176</v>
      </c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>
        <v>109</v>
      </c>
      <c r="V22" s="19"/>
      <c r="W22" s="19">
        <v>89</v>
      </c>
      <c r="X22" s="19"/>
      <c r="Y22" s="19"/>
      <c r="Z22" t="str">
        <f>IF(Tabela1[[#This Row],[1]]&lt;&gt;"",IF(ISNUMBER(FIND(",",Tabela1[[#This Row],[1]])),LEN(Tabela1[[#This Row],[1]])-LEN(SUBSTITUTE(Tabela1[[#This Row],[1]],",",""))+1,1),"")</f>
        <v/>
      </c>
      <c r="AA22" t="str">
        <f>IF(Tabela1[[#This Row],[2]]&lt;&gt;"",IF(ISNUMBER(FIND(",",Tabela1[[#This Row],[2]])),LEN(Tabela1[[#This Row],[2]])-LEN(SUBSTITUTE(Tabela1[[#This Row],[2]],",",""))+1,1),"")</f>
        <v/>
      </c>
      <c r="AB22">
        <f>IF(Tabela1[[#This Row],[3]]&lt;&gt;"",IF(ISNUMBER(FIND(",",Tabela1[[#This Row],[3]])),LEN(Tabela1[[#This Row],[3]])-LEN(SUBSTITUTE(Tabela1[[#This Row],[3]],",",""))+1,1),"")</f>
        <v>1</v>
      </c>
      <c r="AC22">
        <f>IF(Tabela1[[#This Row],[4]]&lt;&gt;"",IF(ISNUMBER(FIND(",",Tabela1[[#This Row],[4]])),LEN(Tabela1[[#This Row],[4]])-LEN(SUBSTITUTE(Tabela1[[#This Row],[4]],",",""))+1,1),"")</f>
        <v>1</v>
      </c>
      <c r="AD22" t="str">
        <f>IF(Tabela1[[#This Row],[5]]&lt;&gt;"",IF(ISNUMBER(FIND(",",Tabela1[[#This Row],[5]])),LEN(Tabela1[[#This Row],[5]])-LEN(SUBSTITUTE(Tabela1[[#This Row],[5]],",",""))+1,1),"")</f>
        <v/>
      </c>
      <c r="AE22" t="str">
        <f>IF(Tabela1[[#This Row],[6]]&lt;&gt;"",IF(ISNUMBER(FIND(",",Tabela1[[#This Row],[6]])),LEN(Tabela1[[#This Row],[6]])-LEN(SUBSTITUTE(Tabela1[[#This Row],[6]],",",""))+1,1),"")</f>
        <v/>
      </c>
      <c r="AF22" t="str">
        <f>IF(Tabela1[[#This Row],[7]]&lt;&gt;"",IF(ISNUMBER(FIND(",",Tabela1[[#This Row],[7]])),LEN(Tabela1[[#This Row],[7]])-LEN(SUBSTITUTE(Tabela1[[#This Row],[7]],",",""))+1,1),"")</f>
        <v/>
      </c>
      <c r="AG22" t="str">
        <f>IF(Tabela1[[#This Row],[8]]&lt;&gt;"",IF(ISNUMBER(FIND(",",Tabela1[[#This Row],[8]])),LEN(Tabela1[[#This Row],[8]])-LEN(SUBSTITUTE(Tabela1[[#This Row],[8]],",",""))+1,1),"")</f>
        <v/>
      </c>
      <c r="AH22" t="str">
        <f>IF(Tabela1[[#This Row],[9]]&lt;&gt;"",IF(ISNUMBER(FIND(",",Tabela1[[#This Row],[9]])),LEN(Tabela1[[#This Row],[9]])-LEN(SUBSTITUTE(Tabela1[[#This Row],[9]],",",""))+1,1),"")</f>
        <v/>
      </c>
      <c r="AI22" t="str">
        <f>IF(Tabela1[[#This Row],[10]]&lt;&gt;"",IF(ISNUMBER(FIND(",",Tabela1[[#This Row],[10]])),LEN(Tabela1[[#This Row],[10]])-LEN(SUBSTITUTE(Tabela1[[#This Row],[10]],",",""))+1,1),"")</f>
        <v/>
      </c>
      <c r="AJ22" t="str">
        <f>IF(Tabela1[[#This Row],[11]]&lt;&gt;"",IF(ISNUMBER(FIND(",",Tabela1[[#This Row],[11]])),LEN(Tabela1[[#This Row],[11]])-LEN(SUBSTITUTE(Tabela1[[#This Row],[11]],",",""))+1,1),"")</f>
        <v/>
      </c>
      <c r="AK22" t="str">
        <f>IF(Tabela1[[#This Row],[12]]&lt;&gt;"",IF(ISNUMBER(FIND(",",Tabela1[[#This Row],[12]])),LEN(Tabela1[[#This Row],[12]])-LEN(SUBSTITUTE(Tabela1[[#This Row],[12]],",",""))+1,1),"")</f>
        <v/>
      </c>
      <c r="AL22" t="str">
        <f>IF(Tabela1[[#This Row],[13]]&lt;&gt;"",IF(ISNUMBER(FIND(",",Tabela1[[#This Row],[13]])),LEN(Tabela1[[#This Row],[13]])-LEN(SUBSTITUTE(Tabela1[[#This Row],[13]],",",""))+1,1),"")</f>
        <v/>
      </c>
      <c r="AM22" t="str">
        <f>IF(Tabela1[[#This Row],[14]]&lt;&gt;"",IF(ISNUMBER(FIND(",",Tabela1[[#This Row],[14]])),LEN(Tabela1[[#This Row],[14]])-LEN(SUBSTITUTE(Tabela1[[#This Row],[14]],",",""))+1,1),"")</f>
        <v/>
      </c>
      <c r="AN22" t="str">
        <f>IF(Tabela1[[#This Row],[15]]&lt;&gt;"",IF(ISNUMBER(FIND(",",Tabela1[[#This Row],[15]])),LEN(Tabela1[[#This Row],[15]])-LEN(SUBSTITUTE(Tabela1[[#This Row],[15]],",",""))+1,1),"")</f>
        <v/>
      </c>
      <c r="AO22">
        <f>IF(Tabela1[[#This Row],[16]]&lt;&gt;"",IF(ISNUMBER(FIND(",",Tabela1[[#This Row],[16]])),LEN(Tabela1[[#This Row],[16]])-LEN(SUBSTITUTE(Tabela1[[#This Row],[16]],",",""))+1,1),"")</f>
        <v>1</v>
      </c>
      <c r="AP22" t="str">
        <f>IF(Tabela1[[#This Row],[17]]&lt;&gt;"",IF(ISNUMBER(FIND(",",Tabela1[[#This Row],[17]])),LEN(Tabela1[[#This Row],[17]])-LEN(SUBSTITUTE(Tabela1[[#This Row],[17]],",",""))+1,1),"")</f>
        <v/>
      </c>
      <c r="AQ22">
        <f>IF(Tabela1[[#This Row],[18]]&lt;&gt;"",IF(ISNUMBER(FIND(",",Tabela1[[#This Row],[18]])),LEN(Tabela1[[#This Row],[18]])-LEN(SUBSTITUTE(Tabela1[[#This Row],[18]],",",""))+1,1),"")</f>
        <v>1</v>
      </c>
      <c r="AR22" s="13" t="str">
        <f>IF(Tabela1[[#This Row],[19_LENGTH]]&lt;&gt;"",IF(ISNUMBER(FIND(",",Tabela1[[#This Row],[19_LENGTH]])),LEN(Tabela1[[#This Row],[19_LENGTH]])-LEN(SUBSTITUTE(Tabela1[[#This Row],[19_LENGTH]],",",""))+1,1),"")</f>
        <v/>
      </c>
      <c r="AS22">
        <f>SUM(Tabela1[[#This Row],[1_]:[19_]])</f>
        <v>4</v>
      </c>
    </row>
    <row r="23" spans="1:45" x14ac:dyDescent="0.25">
      <c r="A23" s="27" t="s">
        <v>1316</v>
      </c>
      <c r="B23" s="19" t="s">
        <v>307</v>
      </c>
      <c r="C23" s="19">
        <v>202</v>
      </c>
      <c r="D23" s="19" t="s">
        <v>1315</v>
      </c>
      <c r="E23" s="20">
        <v>43439</v>
      </c>
      <c r="F23" s="19"/>
      <c r="G23" s="19">
        <v>29</v>
      </c>
      <c r="H23" s="19"/>
      <c r="I23" s="19"/>
      <c r="J23" s="19"/>
      <c r="K23" s="19"/>
      <c r="L23" s="19"/>
      <c r="M23" s="19">
        <v>139</v>
      </c>
      <c r="N23" s="19"/>
      <c r="O23" s="19">
        <v>181</v>
      </c>
      <c r="P23" s="19"/>
      <c r="Q23" s="19"/>
      <c r="R23" s="19"/>
      <c r="S23" s="19"/>
      <c r="T23" s="19"/>
      <c r="U23" s="19"/>
      <c r="V23" s="19"/>
      <c r="W23" s="19"/>
      <c r="X23" s="19"/>
      <c r="Y23" s="19"/>
      <c r="Z23" t="str">
        <f>IF(Tabela1[[#This Row],[1]]&lt;&gt;"",IF(ISNUMBER(FIND(",",Tabela1[[#This Row],[1]])),LEN(Tabela1[[#This Row],[1]])-LEN(SUBSTITUTE(Tabela1[[#This Row],[1]],",",""))+1,1),"")</f>
        <v/>
      </c>
      <c r="AA23">
        <f>IF(Tabela1[[#This Row],[2]]&lt;&gt;"",IF(ISNUMBER(FIND(",",Tabela1[[#This Row],[2]])),LEN(Tabela1[[#This Row],[2]])-LEN(SUBSTITUTE(Tabela1[[#This Row],[2]],",",""))+1,1),"")</f>
        <v>1</v>
      </c>
      <c r="AB23" t="str">
        <f>IF(Tabela1[[#This Row],[3]]&lt;&gt;"",IF(ISNUMBER(FIND(",",Tabela1[[#This Row],[3]])),LEN(Tabela1[[#This Row],[3]])-LEN(SUBSTITUTE(Tabela1[[#This Row],[3]],",",""))+1,1),"")</f>
        <v/>
      </c>
      <c r="AC23" t="str">
        <f>IF(Tabela1[[#This Row],[4]]&lt;&gt;"",IF(ISNUMBER(FIND(",",Tabela1[[#This Row],[4]])),LEN(Tabela1[[#This Row],[4]])-LEN(SUBSTITUTE(Tabela1[[#This Row],[4]],",",""))+1,1),"")</f>
        <v/>
      </c>
      <c r="AD23" t="str">
        <f>IF(Tabela1[[#This Row],[5]]&lt;&gt;"",IF(ISNUMBER(FIND(",",Tabela1[[#This Row],[5]])),LEN(Tabela1[[#This Row],[5]])-LEN(SUBSTITUTE(Tabela1[[#This Row],[5]],",",""))+1,1),"")</f>
        <v/>
      </c>
      <c r="AE23" t="str">
        <f>IF(Tabela1[[#This Row],[6]]&lt;&gt;"",IF(ISNUMBER(FIND(",",Tabela1[[#This Row],[6]])),LEN(Tabela1[[#This Row],[6]])-LEN(SUBSTITUTE(Tabela1[[#This Row],[6]],",",""))+1,1),"")</f>
        <v/>
      </c>
      <c r="AF23" t="str">
        <f>IF(Tabela1[[#This Row],[7]]&lt;&gt;"",IF(ISNUMBER(FIND(",",Tabela1[[#This Row],[7]])),LEN(Tabela1[[#This Row],[7]])-LEN(SUBSTITUTE(Tabela1[[#This Row],[7]],",",""))+1,1),"")</f>
        <v/>
      </c>
      <c r="AG23">
        <f>IF(Tabela1[[#This Row],[8]]&lt;&gt;"",IF(ISNUMBER(FIND(",",Tabela1[[#This Row],[8]])),LEN(Tabela1[[#This Row],[8]])-LEN(SUBSTITUTE(Tabela1[[#This Row],[8]],",",""))+1,1),"")</f>
        <v>1</v>
      </c>
      <c r="AH23" t="str">
        <f>IF(Tabela1[[#This Row],[9]]&lt;&gt;"",IF(ISNUMBER(FIND(",",Tabela1[[#This Row],[9]])),LEN(Tabela1[[#This Row],[9]])-LEN(SUBSTITUTE(Tabela1[[#This Row],[9]],",",""))+1,1),"")</f>
        <v/>
      </c>
      <c r="AI23">
        <f>IF(Tabela1[[#This Row],[10]]&lt;&gt;"",IF(ISNUMBER(FIND(",",Tabela1[[#This Row],[10]])),LEN(Tabela1[[#This Row],[10]])-LEN(SUBSTITUTE(Tabela1[[#This Row],[10]],",",""))+1,1),"")</f>
        <v>1</v>
      </c>
      <c r="AJ23" t="str">
        <f>IF(Tabela1[[#This Row],[11]]&lt;&gt;"",IF(ISNUMBER(FIND(",",Tabela1[[#This Row],[11]])),LEN(Tabela1[[#This Row],[11]])-LEN(SUBSTITUTE(Tabela1[[#This Row],[11]],",",""))+1,1),"")</f>
        <v/>
      </c>
      <c r="AK23" t="str">
        <f>IF(Tabela1[[#This Row],[12]]&lt;&gt;"",IF(ISNUMBER(FIND(",",Tabela1[[#This Row],[12]])),LEN(Tabela1[[#This Row],[12]])-LEN(SUBSTITUTE(Tabela1[[#This Row],[12]],",",""))+1,1),"")</f>
        <v/>
      </c>
      <c r="AL23" t="str">
        <f>IF(Tabela1[[#This Row],[13]]&lt;&gt;"",IF(ISNUMBER(FIND(",",Tabela1[[#This Row],[13]])),LEN(Tabela1[[#This Row],[13]])-LEN(SUBSTITUTE(Tabela1[[#This Row],[13]],",",""))+1,1),"")</f>
        <v/>
      </c>
      <c r="AM23" t="str">
        <f>IF(Tabela1[[#This Row],[14]]&lt;&gt;"",IF(ISNUMBER(FIND(",",Tabela1[[#This Row],[14]])),LEN(Tabela1[[#This Row],[14]])-LEN(SUBSTITUTE(Tabela1[[#This Row],[14]],",",""))+1,1),"")</f>
        <v/>
      </c>
      <c r="AN23" t="str">
        <f>IF(Tabela1[[#This Row],[15]]&lt;&gt;"",IF(ISNUMBER(FIND(",",Tabela1[[#This Row],[15]])),LEN(Tabela1[[#This Row],[15]])-LEN(SUBSTITUTE(Tabela1[[#This Row],[15]],",",""))+1,1),"")</f>
        <v/>
      </c>
      <c r="AO23" t="str">
        <f>IF(Tabela1[[#This Row],[16]]&lt;&gt;"",IF(ISNUMBER(FIND(",",Tabela1[[#This Row],[16]])),LEN(Tabela1[[#This Row],[16]])-LEN(SUBSTITUTE(Tabela1[[#This Row],[16]],",",""))+1,1),"")</f>
        <v/>
      </c>
      <c r="AP23" t="str">
        <f>IF(Tabela1[[#This Row],[17]]&lt;&gt;"",IF(ISNUMBER(FIND(",",Tabela1[[#This Row],[17]])),LEN(Tabela1[[#This Row],[17]])-LEN(SUBSTITUTE(Tabela1[[#This Row],[17]],",",""))+1,1),"")</f>
        <v/>
      </c>
      <c r="AQ23" t="str">
        <f>IF(Tabela1[[#This Row],[18]]&lt;&gt;"",IF(ISNUMBER(FIND(",",Tabela1[[#This Row],[18]])),LEN(Tabela1[[#This Row],[18]])-LEN(SUBSTITUTE(Tabela1[[#This Row],[18]],",",""))+1,1),"")</f>
        <v/>
      </c>
      <c r="AR23" s="13" t="str">
        <f>IF(Tabela1[[#This Row],[19_LENGTH]]&lt;&gt;"",IF(ISNUMBER(FIND(",",Tabela1[[#This Row],[19_LENGTH]])),LEN(Tabela1[[#This Row],[19_LENGTH]])-LEN(SUBSTITUTE(Tabela1[[#This Row],[19_LENGTH]],",",""))+1,1),"")</f>
        <v/>
      </c>
      <c r="AS23">
        <f>SUM(Tabela1[[#This Row],[1_]:[19_]])</f>
        <v>3</v>
      </c>
    </row>
    <row r="24" spans="1:45" x14ac:dyDescent="0.25">
      <c r="A24" s="27" t="s">
        <v>1316</v>
      </c>
      <c r="B24" s="19" t="s">
        <v>674</v>
      </c>
      <c r="C24" s="19">
        <v>202</v>
      </c>
      <c r="D24" s="19" t="s">
        <v>1299</v>
      </c>
      <c r="E24" s="20">
        <v>43439</v>
      </c>
      <c r="F24" s="19"/>
      <c r="G24" s="19"/>
      <c r="H24" s="19"/>
      <c r="I24" s="19">
        <v>104</v>
      </c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t="str">
        <f>IF(Tabela1[[#This Row],[1]]&lt;&gt;"",IF(ISNUMBER(FIND(",",Tabela1[[#This Row],[1]])),LEN(Tabela1[[#This Row],[1]])-LEN(SUBSTITUTE(Tabela1[[#This Row],[1]],",",""))+1,1),"")</f>
        <v/>
      </c>
      <c r="AA24" t="str">
        <f>IF(Tabela1[[#This Row],[2]]&lt;&gt;"",IF(ISNUMBER(FIND(",",Tabela1[[#This Row],[2]])),LEN(Tabela1[[#This Row],[2]])-LEN(SUBSTITUTE(Tabela1[[#This Row],[2]],",",""))+1,1),"")</f>
        <v/>
      </c>
      <c r="AB24" t="str">
        <f>IF(Tabela1[[#This Row],[3]]&lt;&gt;"",IF(ISNUMBER(FIND(",",Tabela1[[#This Row],[3]])),LEN(Tabela1[[#This Row],[3]])-LEN(SUBSTITUTE(Tabela1[[#This Row],[3]],",",""))+1,1),"")</f>
        <v/>
      </c>
      <c r="AC24">
        <f>IF(Tabela1[[#This Row],[4]]&lt;&gt;"",IF(ISNUMBER(FIND(",",Tabela1[[#This Row],[4]])),LEN(Tabela1[[#This Row],[4]])-LEN(SUBSTITUTE(Tabela1[[#This Row],[4]],",",""))+1,1),"")</f>
        <v>1</v>
      </c>
      <c r="AD24" t="str">
        <f>IF(Tabela1[[#This Row],[5]]&lt;&gt;"",IF(ISNUMBER(FIND(",",Tabela1[[#This Row],[5]])),LEN(Tabela1[[#This Row],[5]])-LEN(SUBSTITUTE(Tabela1[[#This Row],[5]],",",""))+1,1),"")</f>
        <v/>
      </c>
      <c r="AE24" t="str">
        <f>IF(Tabela1[[#This Row],[6]]&lt;&gt;"",IF(ISNUMBER(FIND(",",Tabela1[[#This Row],[6]])),LEN(Tabela1[[#This Row],[6]])-LEN(SUBSTITUTE(Tabela1[[#This Row],[6]],",",""))+1,1),"")</f>
        <v/>
      </c>
      <c r="AF24" t="str">
        <f>IF(Tabela1[[#This Row],[7]]&lt;&gt;"",IF(ISNUMBER(FIND(",",Tabela1[[#This Row],[7]])),LEN(Tabela1[[#This Row],[7]])-LEN(SUBSTITUTE(Tabela1[[#This Row],[7]],",",""))+1,1),"")</f>
        <v/>
      </c>
      <c r="AG24" t="str">
        <f>IF(Tabela1[[#This Row],[8]]&lt;&gt;"",IF(ISNUMBER(FIND(",",Tabela1[[#This Row],[8]])),LEN(Tabela1[[#This Row],[8]])-LEN(SUBSTITUTE(Tabela1[[#This Row],[8]],",",""))+1,1),"")</f>
        <v/>
      </c>
      <c r="AH24" t="str">
        <f>IF(Tabela1[[#This Row],[9]]&lt;&gt;"",IF(ISNUMBER(FIND(",",Tabela1[[#This Row],[9]])),LEN(Tabela1[[#This Row],[9]])-LEN(SUBSTITUTE(Tabela1[[#This Row],[9]],",",""))+1,1),"")</f>
        <v/>
      </c>
      <c r="AI24" t="str">
        <f>IF(Tabela1[[#This Row],[10]]&lt;&gt;"",IF(ISNUMBER(FIND(",",Tabela1[[#This Row],[10]])),LEN(Tabela1[[#This Row],[10]])-LEN(SUBSTITUTE(Tabela1[[#This Row],[10]],",",""))+1,1),"")</f>
        <v/>
      </c>
      <c r="AJ24" t="str">
        <f>IF(Tabela1[[#This Row],[11]]&lt;&gt;"",IF(ISNUMBER(FIND(",",Tabela1[[#This Row],[11]])),LEN(Tabela1[[#This Row],[11]])-LEN(SUBSTITUTE(Tabela1[[#This Row],[11]],",",""))+1,1),"")</f>
        <v/>
      </c>
      <c r="AK24" t="str">
        <f>IF(Tabela1[[#This Row],[12]]&lt;&gt;"",IF(ISNUMBER(FIND(",",Tabela1[[#This Row],[12]])),LEN(Tabela1[[#This Row],[12]])-LEN(SUBSTITUTE(Tabela1[[#This Row],[12]],",",""))+1,1),"")</f>
        <v/>
      </c>
      <c r="AL24" t="str">
        <f>IF(Tabela1[[#This Row],[13]]&lt;&gt;"",IF(ISNUMBER(FIND(",",Tabela1[[#This Row],[13]])),LEN(Tabela1[[#This Row],[13]])-LEN(SUBSTITUTE(Tabela1[[#This Row],[13]],",",""))+1,1),"")</f>
        <v/>
      </c>
      <c r="AM24" t="str">
        <f>IF(Tabela1[[#This Row],[14]]&lt;&gt;"",IF(ISNUMBER(FIND(",",Tabela1[[#This Row],[14]])),LEN(Tabela1[[#This Row],[14]])-LEN(SUBSTITUTE(Tabela1[[#This Row],[14]],",",""))+1,1),"")</f>
        <v/>
      </c>
      <c r="AN24" t="str">
        <f>IF(Tabela1[[#This Row],[15]]&lt;&gt;"",IF(ISNUMBER(FIND(",",Tabela1[[#This Row],[15]])),LEN(Tabela1[[#This Row],[15]])-LEN(SUBSTITUTE(Tabela1[[#This Row],[15]],",",""))+1,1),"")</f>
        <v/>
      </c>
      <c r="AO24" t="str">
        <f>IF(Tabela1[[#This Row],[16]]&lt;&gt;"",IF(ISNUMBER(FIND(",",Tabela1[[#This Row],[16]])),LEN(Tabela1[[#This Row],[16]])-LEN(SUBSTITUTE(Tabela1[[#This Row],[16]],",",""))+1,1),"")</f>
        <v/>
      </c>
      <c r="AP24" t="str">
        <f>IF(Tabela1[[#This Row],[17]]&lt;&gt;"",IF(ISNUMBER(FIND(",",Tabela1[[#This Row],[17]])),LEN(Tabela1[[#This Row],[17]])-LEN(SUBSTITUTE(Tabela1[[#This Row],[17]],",",""))+1,1),"")</f>
        <v/>
      </c>
      <c r="AQ24" t="str">
        <f>IF(Tabela1[[#This Row],[18]]&lt;&gt;"",IF(ISNUMBER(FIND(",",Tabela1[[#This Row],[18]])),LEN(Tabela1[[#This Row],[18]])-LEN(SUBSTITUTE(Tabela1[[#This Row],[18]],",",""))+1,1),"")</f>
        <v/>
      </c>
      <c r="AR24" s="13" t="str">
        <f>IF(Tabela1[[#This Row],[19_LENGTH]]&lt;&gt;"",IF(ISNUMBER(FIND(",",Tabela1[[#This Row],[19_LENGTH]])),LEN(Tabela1[[#This Row],[19_LENGTH]])-LEN(SUBSTITUTE(Tabela1[[#This Row],[19_LENGTH]],",",""))+1,1),"")</f>
        <v/>
      </c>
      <c r="AS24">
        <f>SUM(Tabela1[[#This Row],[1_]:[19_]])</f>
        <v>1</v>
      </c>
    </row>
    <row r="25" spans="1:45" x14ac:dyDescent="0.25">
      <c r="A25" s="27" t="s">
        <v>1316</v>
      </c>
      <c r="B25" s="19" t="s">
        <v>675</v>
      </c>
      <c r="C25" s="19">
        <v>202</v>
      </c>
      <c r="D25" s="19" t="s">
        <v>1299</v>
      </c>
      <c r="E25" s="20">
        <v>43439</v>
      </c>
      <c r="F25" s="19"/>
      <c r="G25" s="19"/>
      <c r="H25" s="19"/>
      <c r="I25" s="19">
        <v>48</v>
      </c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t="str">
        <f>IF(Tabela1[[#This Row],[1]]&lt;&gt;"",IF(ISNUMBER(FIND(",",Tabela1[[#This Row],[1]])),LEN(Tabela1[[#This Row],[1]])-LEN(SUBSTITUTE(Tabela1[[#This Row],[1]],",",""))+1,1),"")</f>
        <v/>
      </c>
      <c r="AA25" t="str">
        <f>IF(Tabela1[[#This Row],[2]]&lt;&gt;"",IF(ISNUMBER(FIND(",",Tabela1[[#This Row],[2]])),LEN(Tabela1[[#This Row],[2]])-LEN(SUBSTITUTE(Tabela1[[#This Row],[2]],",",""))+1,1),"")</f>
        <v/>
      </c>
      <c r="AB25" t="str">
        <f>IF(Tabela1[[#This Row],[3]]&lt;&gt;"",IF(ISNUMBER(FIND(",",Tabela1[[#This Row],[3]])),LEN(Tabela1[[#This Row],[3]])-LEN(SUBSTITUTE(Tabela1[[#This Row],[3]],",",""))+1,1),"")</f>
        <v/>
      </c>
      <c r="AC25">
        <f>IF(Tabela1[[#This Row],[4]]&lt;&gt;"",IF(ISNUMBER(FIND(",",Tabela1[[#This Row],[4]])),LEN(Tabela1[[#This Row],[4]])-LEN(SUBSTITUTE(Tabela1[[#This Row],[4]],",",""))+1,1),"")</f>
        <v>1</v>
      </c>
      <c r="AD25" t="str">
        <f>IF(Tabela1[[#This Row],[5]]&lt;&gt;"",IF(ISNUMBER(FIND(",",Tabela1[[#This Row],[5]])),LEN(Tabela1[[#This Row],[5]])-LEN(SUBSTITUTE(Tabela1[[#This Row],[5]],",",""))+1,1),"")</f>
        <v/>
      </c>
      <c r="AE25" t="str">
        <f>IF(Tabela1[[#This Row],[6]]&lt;&gt;"",IF(ISNUMBER(FIND(",",Tabela1[[#This Row],[6]])),LEN(Tabela1[[#This Row],[6]])-LEN(SUBSTITUTE(Tabela1[[#This Row],[6]],",",""))+1,1),"")</f>
        <v/>
      </c>
      <c r="AF25" t="str">
        <f>IF(Tabela1[[#This Row],[7]]&lt;&gt;"",IF(ISNUMBER(FIND(",",Tabela1[[#This Row],[7]])),LEN(Tabela1[[#This Row],[7]])-LEN(SUBSTITUTE(Tabela1[[#This Row],[7]],",",""))+1,1),"")</f>
        <v/>
      </c>
      <c r="AG25" t="str">
        <f>IF(Tabela1[[#This Row],[8]]&lt;&gt;"",IF(ISNUMBER(FIND(",",Tabela1[[#This Row],[8]])),LEN(Tabela1[[#This Row],[8]])-LEN(SUBSTITUTE(Tabela1[[#This Row],[8]],",",""))+1,1),"")</f>
        <v/>
      </c>
      <c r="AH25" t="str">
        <f>IF(Tabela1[[#This Row],[9]]&lt;&gt;"",IF(ISNUMBER(FIND(",",Tabela1[[#This Row],[9]])),LEN(Tabela1[[#This Row],[9]])-LEN(SUBSTITUTE(Tabela1[[#This Row],[9]],",",""))+1,1),"")</f>
        <v/>
      </c>
      <c r="AI25" t="str">
        <f>IF(Tabela1[[#This Row],[10]]&lt;&gt;"",IF(ISNUMBER(FIND(",",Tabela1[[#This Row],[10]])),LEN(Tabela1[[#This Row],[10]])-LEN(SUBSTITUTE(Tabela1[[#This Row],[10]],",",""))+1,1),"")</f>
        <v/>
      </c>
      <c r="AJ25" t="str">
        <f>IF(Tabela1[[#This Row],[11]]&lt;&gt;"",IF(ISNUMBER(FIND(",",Tabela1[[#This Row],[11]])),LEN(Tabela1[[#This Row],[11]])-LEN(SUBSTITUTE(Tabela1[[#This Row],[11]],",",""))+1,1),"")</f>
        <v/>
      </c>
      <c r="AK25" t="str">
        <f>IF(Tabela1[[#This Row],[12]]&lt;&gt;"",IF(ISNUMBER(FIND(",",Tabela1[[#This Row],[12]])),LEN(Tabela1[[#This Row],[12]])-LEN(SUBSTITUTE(Tabela1[[#This Row],[12]],",",""))+1,1),"")</f>
        <v/>
      </c>
      <c r="AL25" t="str">
        <f>IF(Tabela1[[#This Row],[13]]&lt;&gt;"",IF(ISNUMBER(FIND(",",Tabela1[[#This Row],[13]])),LEN(Tabela1[[#This Row],[13]])-LEN(SUBSTITUTE(Tabela1[[#This Row],[13]],",",""))+1,1),"")</f>
        <v/>
      </c>
      <c r="AM25" t="str">
        <f>IF(Tabela1[[#This Row],[14]]&lt;&gt;"",IF(ISNUMBER(FIND(",",Tabela1[[#This Row],[14]])),LEN(Tabela1[[#This Row],[14]])-LEN(SUBSTITUTE(Tabela1[[#This Row],[14]],",",""))+1,1),"")</f>
        <v/>
      </c>
      <c r="AN25" t="str">
        <f>IF(Tabela1[[#This Row],[15]]&lt;&gt;"",IF(ISNUMBER(FIND(",",Tabela1[[#This Row],[15]])),LEN(Tabela1[[#This Row],[15]])-LEN(SUBSTITUTE(Tabela1[[#This Row],[15]],",",""))+1,1),"")</f>
        <v/>
      </c>
      <c r="AO25" t="str">
        <f>IF(Tabela1[[#This Row],[16]]&lt;&gt;"",IF(ISNUMBER(FIND(",",Tabela1[[#This Row],[16]])),LEN(Tabela1[[#This Row],[16]])-LEN(SUBSTITUTE(Tabela1[[#This Row],[16]],",",""))+1,1),"")</f>
        <v/>
      </c>
      <c r="AP25" t="str">
        <f>IF(Tabela1[[#This Row],[17]]&lt;&gt;"",IF(ISNUMBER(FIND(",",Tabela1[[#This Row],[17]])),LEN(Tabela1[[#This Row],[17]])-LEN(SUBSTITUTE(Tabela1[[#This Row],[17]],",",""))+1,1),"")</f>
        <v/>
      </c>
      <c r="AQ25" t="str">
        <f>IF(Tabela1[[#This Row],[18]]&lt;&gt;"",IF(ISNUMBER(FIND(",",Tabela1[[#This Row],[18]])),LEN(Tabela1[[#This Row],[18]])-LEN(SUBSTITUTE(Tabela1[[#This Row],[18]],",",""))+1,1),"")</f>
        <v/>
      </c>
      <c r="AR25" s="13" t="str">
        <f>IF(Tabela1[[#This Row],[19_LENGTH]]&lt;&gt;"",IF(ISNUMBER(FIND(",",Tabela1[[#This Row],[19_LENGTH]])),LEN(Tabela1[[#This Row],[19_LENGTH]])-LEN(SUBSTITUTE(Tabela1[[#This Row],[19_LENGTH]],",",""))+1,1),"")</f>
        <v/>
      </c>
      <c r="AS25">
        <f>SUM(Tabela1[[#This Row],[1_]:[19_]])</f>
        <v>1</v>
      </c>
    </row>
    <row r="26" spans="1:45" x14ac:dyDescent="0.25">
      <c r="A26" s="27" t="s">
        <v>1316</v>
      </c>
      <c r="B26" s="19" t="s">
        <v>676</v>
      </c>
      <c r="C26" s="19">
        <v>202</v>
      </c>
      <c r="D26" s="19" t="s">
        <v>1294</v>
      </c>
      <c r="E26" s="20">
        <v>43441</v>
      </c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>
        <v>23</v>
      </c>
      <c r="X26" s="19"/>
      <c r="Y26" s="19"/>
      <c r="Z26" t="str">
        <f>IF(Tabela1[[#This Row],[1]]&lt;&gt;"",IF(ISNUMBER(FIND(",",Tabela1[[#This Row],[1]])),LEN(Tabela1[[#This Row],[1]])-LEN(SUBSTITUTE(Tabela1[[#This Row],[1]],",",""))+1,1),"")</f>
        <v/>
      </c>
      <c r="AA26" t="str">
        <f>IF(Tabela1[[#This Row],[2]]&lt;&gt;"",IF(ISNUMBER(FIND(",",Tabela1[[#This Row],[2]])),LEN(Tabela1[[#This Row],[2]])-LEN(SUBSTITUTE(Tabela1[[#This Row],[2]],",",""))+1,1),"")</f>
        <v/>
      </c>
      <c r="AB26" t="str">
        <f>IF(Tabela1[[#This Row],[3]]&lt;&gt;"",IF(ISNUMBER(FIND(",",Tabela1[[#This Row],[3]])),LEN(Tabela1[[#This Row],[3]])-LEN(SUBSTITUTE(Tabela1[[#This Row],[3]],",",""))+1,1),"")</f>
        <v/>
      </c>
      <c r="AC26" t="str">
        <f>IF(Tabela1[[#This Row],[4]]&lt;&gt;"",IF(ISNUMBER(FIND(",",Tabela1[[#This Row],[4]])),LEN(Tabela1[[#This Row],[4]])-LEN(SUBSTITUTE(Tabela1[[#This Row],[4]],",",""))+1,1),"")</f>
        <v/>
      </c>
      <c r="AD26" t="str">
        <f>IF(Tabela1[[#This Row],[5]]&lt;&gt;"",IF(ISNUMBER(FIND(",",Tabela1[[#This Row],[5]])),LEN(Tabela1[[#This Row],[5]])-LEN(SUBSTITUTE(Tabela1[[#This Row],[5]],",",""))+1,1),"")</f>
        <v/>
      </c>
      <c r="AE26" t="str">
        <f>IF(Tabela1[[#This Row],[6]]&lt;&gt;"",IF(ISNUMBER(FIND(",",Tabela1[[#This Row],[6]])),LEN(Tabela1[[#This Row],[6]])-LEN(SUBSTITUTE(Tabela1[[#This Row],[6]],",",""))+1,1),"")</f>
        <v/>
      </c>
      <c r="AF26" t="str">
        <f>IF(Tabela1[[#This Row],[7]]&lt;&gt;"",IF(ISNUMBER(FIND(",",Tabela1[[#This Row],[7]])),LEN(Tabela1[[#This Row],[7]])-LEN(SUBSTITUTE(Tabela1[[#This Row],[7]],",",""))+1,1),"")</f>
        <v/>
      </c>
      <c r="AG26" t="str">
        <f>IF(Tabela1[[#This Row],[8]]&lt;&gt;"",IF(ISNUMBER(FIND(",",Tabela1[[#This Row],[8]])),LEN(Tabela1[[#This Row],[8]])-LEN(SUBSTITUTE(Tabela1[[#This Row],[8]],",",""))+1,1),"")</f>
        <v/>
      </c>
      <c r="AH26" t="str">
        <f>IF(Tabela1[[#This Row],[9]]&lt;&gt;"",IF(ISNUMBER(FIND(",",Tabela1[[#This Row],[9]])),LEN(Tabela1[[#This Row],[9]])-LEN(SUBSTITUTE(Tabela1[[#This Row],[9]],",",""))+1,1),"")</f>
        <v/>
      </c>
      <c r="AI26" t="str">
        <f>IF(Tabela1[[#This Row],[10]]&lt;&gt;"",IF(ISNUMBER(FIND(",",Tabela1[[#This Row],[10]])),LEN(Tabela1[[#This Row],[10]])-LEN(SUBSTITUTE(Tabela1[[#This Row],[10]],",",""))+1,1),"")</f>
        <v/>
      </c>
      <c r="AJ26" t="str">
        <f>IF(Tabela1[[#This Row],[11]]&lt;&gt;"",IF(ISNUMBER(FIND(",",Tabela1[[#This Row],[11]])),LEN(Tabela1[[#This Row],[11]])-LEN(SUBSTITUTE(Tabela1[[#This Row],[11]],",",""))+1,1),"")</f>
        <v/>
      </c>
      <c r="AK26" t="str">
        <f>IF(Tabela1[[#This Row],[12]]&lt;&gt;"",IF(ISNUMBER(FIND(",",Tabela1[[#This Row],[12]])),LEN(Tabela1[[#This Row],[12]])-LEN(SUBSTITUTE(Tabela1[[#This Row],[12]],",",""))+1,1),"")</f>
        <v/>
      </c>
      <c r="AL26" t="str">
        <f>IF(Tabela1[[#This Row],[13]]&lt;&gt;"",IF(ISNUMBER(FIND(",",Tabela1[[#This Row],[13]])),LEN(Tabela1[[#This Row],[13]])-LEN(SUBSTITUTE(Tabela1[[#This Row],[13]],",",""))+1,1),"")</f>
        <v/>
      </c>
      <c r="AM26" t="str">
        <f>IF(Tabela1[[#This Row],[14]]&lt;&gt;"",IF(ISNUMBER(FIND(",",Tabela1[[#This Row],[14]])),LEN(Tabela1[[#This Row],[14]])-LEN(SUBSTITUTE(Tabela1[[#This Row],[14]],",",""))+1,1),"")</f>
        <v/>
      </c>
      <c r="AN26" t="str">
        <f>IF(Tabela1[[#This Row],[15]]&lt;&gt;"",IF(ISNUMBER(FIND(",",Tabela1[[#This Row],[15]])),LEN(Tabela1[[#This Row],[15]])-LEN(SUBSTITUTE(Tabela1[[#This Row],[15]],",",""))+1,1),"")</f>
        <v/>
      </c>
      <c r="AO26" t="str">
        <f>IF(Tabela1[[#This Row],[16]]&lt;&gt;"",IF(ISNUMBER(FIND(",",Tabela1[[#This Row],[16]])),LEN(Tabela1[[#This Row],[16]])-LEN(SUBSTITUTE(Tabela1[[#This Row],[16]],",",""))+1,1),"")</f>
        <v/>
      </c>
      <c r="AP26" t="str">
        <f>IF(Tabela1[[#This Row],[17]]&lt;&gt;"",IF(ISNUMBER(FIND(",",Tabela1[[#This Row],[17]])),LEN(Tabela1[[#This Row],[17]])-LEN(SUBSTITUTE(Tabela1[[#This Row],[17]],",",""))+1,1),"")</f>
        <v/>
      </c>
      <c r="AQ26">
        <f>IF(Tabela1[[#This Row],[18]]&lt;&gt;"",IF(ISNUMBER(FIND(",",Tabela1[[#This Row],[18]])),LEN(Tabela1[[#This Row],[18]])-LEN(SUBSTITUTE(Tabela1[[#This Row],[18]],",",""))+1,1),"")</f>
        <v>1</v>
      </c>
      <c r="AR26" s="13" t="str">
        <f>IF(Tabela1[[#This Row],[19_LENGTH]]&lt;&gt;"",IF(ISNUMBER(FIND(",",Tabela1[[#This Row],[19_LENGTH]])),LEN(Tabela1[[#This Row],[19_LENGTH]])-LEN(SUBSTITUTE(Tabela1[[#This Row],[19_LENGTH]],",",""))+1,1),"")</f>
        <v/>
      </c>
      <c r="AS26">
        <f>SUM(Tabela1[[#This Row],[1_]:[19_]])</f>
        <v>1</v>
      </c>
    </row>
    <row r="27" spans="1:45" x14ac:dyDescent="0.25">
      <c r="A27" s="27" t="s">
        <v>1316</v>
      </c>
      <c r="B27" s="19" t="s">
        <v>308</v>
      </c>
      <c r="C27" s="19">
        <v>202</v>
      </c>
      <c r="D27" s="19" t="s">
        <v>1299</v>
      </c>
      <c r="E27" s="20">
        <v>43441</v>
      </c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>
        <v>67</v>
      </c>
      <c r="X27" s="19"/>
      <c r="Y27" s="19"/>
      <c r="Z27" t="str">
        <f>IF(Tabela1[[#This Row],[1]]&lt;&gt;"",IF(ISNUMBER(FIND(",",Tabela1[[#This Row],[1]])),LEN(Tabela1[[#This Row],[1]])-LEN(SUBSTITUTE(Tabela1[[#This Row],[1]],",",""))+1,1),"")</f>
        <v/>
      </c>
      <c r="AA27" t="str">
        <f>IF(Tabela1[[#This Row],[2]]&lt;&gt;"",IF(ISNUMBER(FIND(",",Tabela1[[#This Row],[2]])),LEN(Tabela1[[#This Row],[2]])-LEN(SUBSTITUTE(Tabela1[[#This Row],[2]],",",""))+1,1),"")</f>
        <v/>
      </c>
      <c r="AB27" t="str">
        <f>IF(Tabela1[[#This Row],[3]]&lt;&gt;"",IF(ISNUMBER(FIND(",",Tabela1[[#This Row],[3]])),LEN(Tabela1[[#This Row],[3]])-LEN(SUBSTITUTE(Tabela1[[#This Row],[3]],",",""))+1,1),"")</f>
        <v/>
      </c>
      <c r="AC27" t="str">
        <f>IF(Tabela1[[#This Row],[4]]&lt;&gt;"",IF(ISNUMBER(FIND(",",Tabela1[[#This Row],[4]])),LEN(Tabela1[[#This Row],[4]])-LEN(SUBSTITUTE(Tabela1[[#This Row],[4]],",",""))+1,1),"")</f>
        <v/>
      </c>
      <c r="AD27" t="str">
        <f>IF(Tabela1[[#This Row],[5]]&lt;&gt;"",IF(ISNUMBER(FIND(",",Tabela1[[#This Row],[5]])),LEN(Tabela1[[#This Row],[5]])-LEN(SUBSTITUTE(Tabela1[[#This Row],[5]],",",""))+1,1),"")</f>
        <v/>
      </c>
      <c r="AE27" t="str">
        <f>IF(Tabela1[[#This Row],[6]]&lt;&gt;"",IF(ISNUMBER(FIND(",",Tabela1[[#This Row],[6]])),LEN(Tabela1[[#This Row],[6]])-LEN(SUBSTITUTE(Tabela1[[#This Row],[6]],",",""))+1,1),"")</f>
        <v/>
      </c>
      <c r="AF27" t="str">
        <f>IF(Tabela1[[#This Row],[7]]&lt;&gt;"",IF(ISNUMBER(FIND(",",Tabela1[[#This Row],[7]])),LEN(Tabela1[[#This Row],[7]])-LEN(SUBSTITUTE(Tabela1[[#This Row],[7]],",",""))+1,1),"")</f>
        <v/>
      </c>
      <c r="AG27" t="str">
        <f>IF(Tabela1[[#This Row],[8]]&lt;&gt;"",IF(ISNUMBER(FIND(",",Tabela1[[#This Row],[8]])),LEN(Tabela1[[#This Row],[8]])-LEN(SUBSTITUTE(Tabela1[[#This Row],[8]],",",""))+1,1),"")</f>
        <v/>
      </c>
      <c r="AH27" t="str">
        <f>IF(Tabela1[[#This Row],[9]]&lt;&gt;"",IF(ISNUMBER(FIND(",",Tabela1[[#This Row],[9]])),LEN(Tabela1[[#This Row],[9]])-LEN(SUBSTITUTE(Tabela1[[#This Row],[9]],",",""))+1,1),"")</f>
        <v/>
      </c>
      <c r="AI27" t="str">
        <f>IF(Tabela1[[#This Row],[10]]&lt;&gt;"",IF(ISNUMBER(FIND(",",Tabela1[[#This Row],[10]])),LEN(Tabela1[[#This Row],[10]])-LEN(SUBSTITUTE(Tabela1[[#This Row],[10]],",",""))+1,1),"")</f>
        <v/>
      </c>
      <c r="AJ27" t="str">
        <f>IF(Tabela1[[#This Row],[11]]&lt;&gt;"",IF(ISNUMBER(FIND(",",Tabela1[[#This Row],[11]])),LEN(Tabela1[[#This Row],[11]])-LEN(SUBSTITUTE(Tabela1[[#This Row],[11]],",",""))+1,1),"")</f>
        <v/>
      </c>
      <c r="AK27" t="str">
        <f>IF(Tabela1[[#This Row],[12]]&lt;&gt;"",IF(ISNUMBER(FIND(",",Tabela1[[#This Row],[12]])),LEN(Tabela1[[#This Row],[12]])-LEN(SUBSTITUTE(Tabela1[[#This Row],[12]],",",""))+1,1),"")</f>
        <v/>
      </c>
      <c r="AL27" t="str">
        <f>IF(Tabela1[[#This Row],[13]]&lt;&gt;"",IF(ISNUMBER(FIND(",",Tabela1[[#This Row],[13]])),LEN(Tabela1[[#This Row],[13]])-LEN(SUBSTITUTE(Tabela1[[#This Row],[13]],",",""))+1,1),"")</f>
        <v/>
      </c>
      <c r="AM27" t="str">
        <f>IF(Tabela1[[#This Row],[14]]&lt;&gt;"",IF(ISNUMBER(FIND(",",Tabela1[[#This Row],[14]])),LEN(Tabela1[[#This Row],[14]])-LEN(SUBSTITUTE(Tabela1[[#This Row],[14]],",",""))+1,1),"")</f>
        <v/>
      </c>
      <c r="AN27" t="str">
        <f>IF(Tabela1[[#This Row],[15]]&lt;&gt;"",IF(ISNUMBER(FIND(",",Tabela1[[#This Row],[15]])),LEN(Tabela1[[#This Row],[15]])-LEN(SUBSTITUTE(Tabela1[[#This Row],[15]],",",""))+1,1),"")</f>
        <v/>
      </c>
      <c r="AO27" t="str">
        <f>IF(Tabela1[[#This Row],[16]]&lt;&gt;"",IF(ISNUMBER(FIND(",",Tabela1[[#This Row],[16]])),LEN(Tabela1[[#This Row],[16]])-LEN(SUBSTITUTE(Tabela1[[#This Row],[16]],",",""))+1,1),"")</f>
        <v/>
      </c>
      <c r="AP27" t="str">
        <f>IF(Tabela1[[#This Row],[17]]&lt;&gt;"",IF(ISNUMBER(FIND(",",Tabela1[[#This Row],[17]])),LEN(Tabela1[[#This Row],[17]])-LEN(SUBSTITUTE(Tabela1[[#This Row],[17]],",",""))+1,1),"")</f>
        <v/>
      </c>
      <c r="AQ27">
        <f>IF(Tabela1[[#This Row],[18]]&lt;&gt;"",IF(ISNUMBER(FIND(",",Tabela1[[#This Row],[18]])),LEN(Tabela1[[#This Row],[18]])-LEN(SUBSTITUTE(Tabela1[[#This Row],[18]],",",""))+1,1),"")</f>
        <v>1</v>
      </c>
      <c r="AR27" s="13" t="str">
        <f>IF(Tabela1[[#This Row],[19_LENGTH]]&lt;&gt;"",IF(ISNUMBER(FIND(",",Tabela1[[#This Row],[19_LENGTH]])),LEN(Tabela1[[#This Row],[19_LENGTH]])-LEN(SUBSTITUTE(Tabela1[[#This Row],[19_LENGTH]],",",""))+1,1),"")</f>
        <v/>
      </c>
      <c r="AS27">
        <f>SUM(Tabela1[[#This Row],[1_]:[19_]])</f>
        <v>1</v>
      </c>
    </row>
    <row r="28" spans="1:45" x14ac:dyDescent="0.25">
      <c r="A28" s="27" t="s">
        <v>1316</v>
      </c>
      <c r="B28" s="19" t="s">
        <v>309</v>
      </c>
      <c r="C28" s="19">
        <v>202</v>
      </c>
      <c r="D28" s="19" t="s">
        <v>1299</v>
      </c>
      <c r="E28" s="20">
        <v>43440</v>
      </c>
      <c r="F28" s="19"/>
      <c r="G28" s="19"/>
      <c r="H28" s="19"/>
      <c r="I28" s="19">
        <v>9</v>
      </c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t="str">
        <f>IF(Tabela1[[#This Row],[1]]&lt;&gt;"",IF(ISNUMBER(FIND(",",Tabela1[[#This Row],[1]])),LEN(Tabela1[[#This Row],[1]])-LEN(SUBSTITUTE(Tabela1[[#This Row],[1]],",",""))+1,1),"")</f>
        <v/>
      </c>
      <c r="AA28" t="str">
        <f>IF(Tabela1[[#This Row],[2]]&lt;&gt;"",IF(ISNUMBER(FIND(",",Tabela1[[#This Row],[2]])),LEN(Tabela1[[#This Row],[2]])-LEN(SUBSTITUTE(Tabela1[[#This Row],[2]],",",""))+1,1),"")</f>
        <v/>
      </c>
      <c r="AB28" t="str">
        <f>IF(Tabela1[[#This Row],[3]]&lt;&gt;"",IF(ISNUMBER(FIND(",",Tabela1[[#This Row],[3]])),LEN(Tabela1[[#This Row],[3]])-LEN(SUBSTITUTE(Tabela1[[#This Row],[3]],",",""))+1,1),"")</f>
        <v/>
      </c>
      <c r="AC28">
        <f>IF(Tabela1[[#This Row],[4]]&lt;&gt;"",IF(ISNUMBER(FIND(",",Tabela1[[#This Row],[4]])),LEN(Tabela1[[#This Row],[4]])-LEN(SUBSTITUTE(Tabela1[[#This Row],[4]],",",""))+1,1),"")</f>
        <v>1</v>
      </c>
      <c r="AD28" t="str">
        <f>IF(Tabela1[[#This Row],[5]]&lt;&gt;"",IF(ISNUMBER(FIND(",",Tabela1[[#This Row],[5]])),LEN(Tabela1[[#This Row],[5]])-LEN(SUBSTITUTE(Tabela1[[#This Row],[5]],",",""))+1,1),"")</f>
        <v/>
      </c>
      <c r="AE28" t="str">
        <f>IF(Tabela1[[#This Row],[6]]&lt;&gt;"",IF(ISNUMBER(FIND(",",Tabela1[[#This Row],[6]])),LEN(Tabela1[[#This Row],[6]])-LEN(SUBSTITUTE(Tabela1[[#This Row],[6]],",",""))+1,1),"")</f>
        <v/>
      </c>
      <c r="AF28" t="str">
        <f>IF(Tabela1[[#This Row],[7]]&lt;&gt;"",IF(ISNUMBER(FIND(",",Tabela1[[#This Row],[7]])),LEN(Tabela1[[#This Row],[7]])-LEN(SUBSTITUTE(Tabela1[[#This Row],[7]],",",""))+1,1),"")</f>
        <v/>
      </c>
      <c r="AG28" t="str">
        <f>IF(Tabela1[[#This Row],[8]]&lt;&gt;"",IF(ISNUMBER(FIND(",",Tabela1[[#This Row],[8]])),LEN(Tabela1[[#This Row],[8]])-LEN(SUBSTITUTE(Tabela1[[#This Row],[8]],",",""))+1,1),"")</f>
        <v/>
      </c>
      <c r="AH28" t="str">
        <f>IF(Tabela1[[#This Row],[9]]&lt;&gt;"",IF(ISNUMBER(FIND(",",Tabela1[[#This Row],[9]])),LEN(Tabela1[[#This Row],[9]])-LEN(SUBSTITUTE(Tabela1[[#This Row],[9]],",",""))+1,1),"")</f>
        <v/>
      </c>
      <c r="AI28" t="str">
        <f>IF(Tabela1[[#This Row],[10]]&lt;&gt;"",IF(ISNUMBER(FIND(",",Tabela1[[#This Row],[10]])),LEN(Tabela1[[#This Row],[10]])-LEN(SUBSTITUTE(Tabela1[[#This Row],[10]],",",""))+1,1),"")</f>
        <v/>
      </c>
      <c r="AJ28" t="str">
        <f>IF(Tabela1[[#This Row],[11]]&lt;&gt;"",IF(ISNUMBER(FIND(",",Tabela1[[#This Row],[11]])),LEN(Tabela1[[#This Row],[11]])-LEN(SUBSTITUTE(Tabela1[[#This Row],[11]],",",""))+1,1),"")</f>
        <v/>
      </c>
      <c r="AK28" t="str">
        <f>IF(Tabela1[[#This Row],[12]]&lt;&gt;"",IF(ISNUMBER(FIND(",",Tabela1[[#This Row],[12]])),LEN(Tabela1[[#This Row],[12]])-LEN(SUBSTITUTE(Tabela1[[#This Row],[12]],",",""))+1,1),"")</f>
        <v/>
      </c>
      <c r="AL28" t="str">
        <f>IF(Tabela1[[#This Row],[13]]&lt;&gt;"",IF(ISNUMBER(FIND(",",Tabela1[[#This Row],[13]])),LEN(Tabela1[[#This Row],[13]])-LEN(SUBSTITUTE(Tabela1[[#This Row],[13]],",",""))+1,1),"")</f>
        <v/>
      </c>
      <c r="AM28" t="str">
        <f>IF(Tabela1[[#This Row],[14]]&lt;&gt;"",IF(ISNUMBER(FIND(",",Tabela1[[#This Row],[14]])),LEN(Tabela1[[#This Row],[14]])-LEN(SUBSTITUTE(Tabela1[[#This Row],[14]],",",""))+1,1),"")</f>
        <v/>
      </c>
      <c r="AN28" t="str">
        <f>IF(Tabela1[[#This Row],[15]]&lt;&gt;"",IF(ISNUMBER(FIND(",",Tabela1[[#This Row],[15]])),LEN(Tabela1[[#This Row],[15]])-LEN(SUBSTITUTE(Tabela1[[#This Row],[15]],",",""))+1,1),"")</f>
        <v/>
      </c>
      <c r="AO28" t="str">
        <f>IF(Tabela1[[#This Row],[16]]&lt;&gt;"",IF(ISNUMBER(FIND(",",Tabela1[[#This Row],[16]])),LEN(Tabela1[[#This Row],[16]])-LEN(SUBSTITUTE(Tabela1[[#This Row],[16]],",",""))+1,1),"")</f>
        <v/>
      </c>
      <c r="AP28" t="str">
        <f>IF(Tabela1[[#This Row],[17]]&lt;&gt;"",IF(ISNUMBER(FIND(",",Tabela1[[#This Row],[17]])),LEN(Tabela1[[#This Row],[17]])-LEN(SUBSTITUTE(Tabela1[[#This Row],[17]],",",""))+1,1),"")</f>
        <v/>
      </c>
      <c r="AQ28" t="str">
        <f>IF(Tabela1[[#This Row],[18]]&lt;&gt;"",IF(ISNUMBER(FIND(",",Tabela1[[#This Row],[18]])),LEN(Tabela1[[#This Row],[18]])-LEN(SUBSTITUTE(Tabela1[[#This Row],[18]],",",""))+1,1),"")</f>
        <v/>
      </c>
      <c r="AR28" s="13" t="str">
        <f>IF(Tabela1[[#This Row],[19_LENGTH]]&lt;&gt;"",IF(ISNUMBER(FIND(",",Tabela1[[#This Row],[19_LENGTH]])),LEN(Tabela1[[#This Row],[19_LENGTH]])-LEN(SUBSTITUTE(Tabela1[[#This Row],[19_LENGTH]],",",""))+1,1),"")</f>
        <v/>
      </c>
      <c r="AS28">
        <f>SUM(Tabela1[[#This Row],[1_]:[19_]])</f>
        <v>1</v>
      </c>
    </row>
    <row r="29" spans="1:45" x14ac:dyDescent="0.25">
      <c r="A29" s="27" t="s">
        <v>1316</v>
      </c>
      <c r="B29" s="19" t="s">
        <v>310</v>
      </c>
      <c r="C29" s="19">
        <v>202</v>
      </c>
      <c r="D29" s="19" t="s">
        <v>1292</v>
      </c>
      <c r="E29" s="20">
        <v>43440</v>
      </c>
      <c r="F29" s="19"/>
      <c r="G29" s="19"/>
      <c r="H29" s="19" t="s">
        <v>13</v>
      </c>
      <c r="I29" s="19"/>
      <c r="J29" s="19">
        <v>17</v>
      </c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t="str">
        <f>IF(Tabela1[[#This Row],[1]]&lt;&gt;"",IF(ISNUMBER(FIND(",",Tabela1[[#This Row],[1]])),LEN(Tabela1[[#This Row],[1]])-LEN(SUBSTITUTE(Tabela1[[#This Row],[1]],",",""))+1,1),"")</f>
        <v/>
      </c>
      <c r="AA29" t="str">
        <f>IF(Tabela1[[#This Row],[2]]&lt;&gt;"",IF(ISNUMBER(FIND(",",Tabela1[[#This Row],[2]])),LEN(Tabela1[[#This Row],[2]])-LEN(SUBSTITUTE(Tabela1[[#This Row],[2]],",",""))+1,1),"")</f>
        <v/>
      </c>
      <c r="AB29">
        <f>IF(Tabela1[[#This Row],[3]]&lt;&gt;"",IF(ISNUMBER(FIND(",",Tabela1[[#This Row],[3]])),LEN(Tabela1[[#This Row],[3]])-LEN(SUBSTITUTE(Tabela1[[#This Row],[3]],",",""))+1,1),"")</f>
        <v>1</v>
      </c>
      <c r="AC29" t="str">
        <f>IF(Tabela1[[#This Row],[4]]&lt;&gt;"",IF(ISNUMBER(FIND(",",Tabela1[[#This Row],[4]])),LEN(Tabela1[[#This Row],[4]])-LEN(SUBSTITUTE(Tabela1[[#This Row],[4]],",",""))+1,1),"")</f>
        <v/>
      </c>
      <c r="AD29">
        <f>IF(Tabela1[[#This Row],[5]]&lt;&gt;"",IF(ISNUMBER(FIND(",",Tabela1[[#This Row],[5]])),LEN(Tabela1[[#This Row],[5]])-LEN(SUBSTITUTE(Tabela1[[#This Row],[5]],",",""))+1,1),"")</f>
        <v>1</v>
      </c>
      <c r="AE29" t="str">
        <f>IF(Tabela1[[#This Row],[6]]&lt;&gt;"",IF(ISNUMBER(FIND(",",Tabela1[[#This Row],[6]])),LEN(Tabela1[[#This Row],[6]])-LEN(SUBSTITUTE(Tabela1[[#This Row],[6]],",",""))+1,1),"")</f>
        <v/>
      </c>
      <c r="AF29" t="str">
        <f>IF(Tabela1[[#This Row],[7]]&lt;&gt;"",IF(ISNUMBER(FIND(",",Tabela1[[#This Row],[7]])),LEN(Tabela1[[#This Row],[7]])-LEN(SUBSTITUTE(Tabela1[[#This Row],[7]],",",""))+1,1),"")</f>
        <v/>
      </c>
      <c r="AG29" t="str">
        <f>IF(Tabela1[[#This Row],[8]]&lt;&gt;"",IF(ISNUMBER(FIND(",",Tabela1[[#This Row],[8]])),LEN(Tabela1[[#This Row],[8]])-LEN(SUBSTITUTE(Tabela1[[#This Row],[8]],",",""))+1,1),"")</f>
        <v/>
      </c>
      <c r="AH29" t="str">
        <f>IF(Tabela1[[#This Row],[9]]&lt;&gt;"",IF(ISNUMBER(FIND(",",Tabela1[[#This Row],[9]])),LEN(Tabela1[[#This Row],[9]])-LEN(SUBSTITUTE(Tabela1[[#This Row],[9]],",",""))+1,1),"")</f>
        <v/>
      </c>
      <c r="AI29" t="str">
        <f>IF(Tabela1[[#This Row],[10]]&lt;&gt;"",IF(ISNUMBER(FIND(",",Tabela1[[#This Row],[10]])),LEN(Tabela1[[#This Row],[10]])-LEN(SUBSTITUTE(Tabela1[[#This Row],[10]],",",""))+1,1),"")</f>
        <v/>
      </c>
      <c r="AJ29" t="str">
        <f>IF(Tabela1[[#This Row],[11]]&lt;&gt;"",IF(ISNUMBER(FIND(",",Tabela1[[#This Row],[11]])),LEN(Tabela1[[#This Row],[11]])-LEN(SUBSTITUTE(Tabela1[[#This Row],[11]],",",""))+1,1),"")</f>
        <v/>
      </c>
      <c r="AK29" t="str">
        <f>IF(Tabela1[[#This Row],[12]]&lt;&gt;"",IF(ISNUMBER(FIND(",",Tabela1[[#This Row],[12]])),LEN(Tabela1[[#This Row],[12]])-LEN(SUBSTITUTE(Tabela1[[#This Row],[12]],",",""))+1,1),"")</f>
        <v/>
      </c>
      <c r="AL29" t="str">
        <f>IF(Tabela1[[#This Row],[13]]&lt;&gt;"",IF(ISNUMBER(FIND(",",Tabela1[[#This Row],[13]])),LEN(Tabela1[[#This Row],[13]])-LEN(SUBSTITUTE(Tabela1[[#This Row],[13]],",",""))+1,1),"")</f>
        <v/>
      </c>
      <c r="AM29" t="str">
        <f>IF(Tabela1[[#This Row],[14]]&lt;&gt;"",IF(ISNUMBER(FIND(",",Tabela1[[#This Row],[14]])),LEN(Tabela1[[#This Row],[14]])-LEN(SUBSTITUTE(Tabela1[[#This Row],[14]],",",""))+1,1),"")</f>
        <v/>
      </c>
      <c r="AN29" t="str">
        <f>IF(Tabela1[[#This Row],[15]]&lt;&gt;"",IF(ISNUMBER(FIND(",",Tabela1[[#This Row],[15]])),LEN(Tabela1[[#This Row],[15]])-LEN(SUBSTITUTE(Tabela1[[#This Row],[15]],",",""))+1,1),"")</f>
        <v/>
      </c>
      <c r="AO29" t="str">
        <f>IF(Tabela1[[#This Row],[16]]&lt;&gt;"",IF(ISNUMBER(FIND(",",Tabela1[[#This Row],[16]])),LEN(Tabela1[[#This Row],[16]])-LEN(SUBSTITUTE(Tabela1[[#This Row],[16]],",",""))+1,1),"")</f>
        <v/>
      </c>
      <c r="AP29" t="str">
        <f>IF(Tabela1[[#This Row],[17]]&lt;&gt;"",IF(ISNUMBER(FIND(",",Tabela1[[#This Row],[17]])),LEN(Tabela1[[#This Row],[17]])-LEN(SUBSTITUTE(Tabela1[[#This Row],[17]],",",""))+1,1),"")</f>
        <v/>
      </c>
      <c r="AQ29" t="str">
        <f>IF(Tabela1[[#This Row],[18]]&lt;&gt;"",IF(ISNUMBER(FIND(",",Tabela1[[#This Row],[18]])),LEN(Tabela1[[#This Row],[18]])-LEN(SUBSTITUTE(Tabela1[[#This Row],[18]],",",""))+1,1),"")</f>
        <v/>
      </c>
      <c r="AR29" s="13" t="str">
        <f>IF(Tabela1[[#This Row],[19_LENGTH]]&lt;&gt;"",IF(ISNUMBER(FIND(",",Tabela1[[#This Row],[19_LENGTH]])),LEN(Tabela1[[#This Row],[19_LENGTH]])-LEN(SUBSTITUTE(Tabela1[[#This Row],[19_LENGTH]],",",""))+1,1),"")</f>
        <v/>
      </c>
      <c r="AS29">
        <f>SUM(Tabela1[[#This Row],[1_]:[19_]])</f>
        <v>2</v>
      </c>
    </row>
    <row r="30" spans="1:45" x14ac:dyDescent="0.25">
      <c r="A30" s="27" t="s">
        <v>1316</v>
      </c>
      <c r="B30" s="19" t="s">
        <v>311</v>
      </c>
      <c r="C30" s="19">
        <v>202</v>
      </c>
      <c r="D30" s="19" t="s">
        <v>1292</v>
      </c>
      <c r="E30" s="20">
        <v>43440</v>
      </c>
      <c r="F30" s="19"/>
      <c r="G30" s="19">
        <v>50</v>
      </c>
      <c r="H30" s="19"/>
      <c r="I30" s="19">
        <v>141</v>
      </c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t="str">
        <f>IF(Tabela1[[#This Row],[1]]&lt;&gt;"",IF(ISNUMBER(FIND(",",Tabela1[[#This Row],[1]])),LEN(Tabela1[[#This Row],[1]])-LEN(SUBSTITUTE(Tabela1[[#This Row],[1]],",",""))+1,1),"")</f>
        <v/>
      </c>
      <c r="AA30">
        <f>IF(Tabela1[[#This Row],[2]]&lt;&gt;"",IF(ISNUMBER(FIND(",",Tabela1[[#This Row],[2]])),LEN(Tabela1[[#This Row],[2]])-LEN(SUBSTITUTE(Tabela1[[#This Row],[2]],",",""))+1,1),"")</f>
        <v>1</v>
      </c>
      <c r="AB30" t="str">
        <f>IF(Tabela1[[#This Row],[3]]&lt;&gt;"",IF(ISNUMBER(FIND(",",Tabela1[[#This Row],[3]])),LEN(Tabela1[[#This Row],[3]])-LEN(SUBSTITUTE(Tabela1[[#This Row],[3]],",",""))+1,1),"")</f>
        <v/>
      </c>
      <c r="AC30">
        <f>IF(Tabela1[[#This Row],[4]]&lt;&gt;"",IF(ISNUMBER(FIND(",",Tabela1[[#This Row],[4]])),LEN(Tabela1[[#This Row],[4]])-LEN(SUBSTITUTE(Tabela1[[#This Row],[4]],",",""))+1,1),"")</f>
        <v>1</v>
      </c>
      <c r="AD30" t="str">
        <f>IF(Tabela1[[#This Row],[5]]&lt;&gt;"",IF(ISNUMBER(FIND(",",Tabela1[[#This Row],[5]])),LEN(Tabela1[[#This Row],[5]])-LEN(SUBSTITUTE(Tabela1[[#This Row],[5]],",",""))+1,1),"")</f>
        <v/>
      </c>
      <c r="AE30" t="str">
        <f>IF(Tabela1[[#This Row],[6]]&lt;&gt;"",IF(ISNUMBER(FIND(",",Tabela1[[#This Row],[6]])),LEN(Tabela1[[#This Row],[6]])-LEN(SUBSTITUTE(Tabela1[[#This Row],[6]],",",""))+1,1),"")</f>
        <v/>
      </c>
      <c r="AF30" t="str">
        <f>IF(Tabela1[[#This Row],[7]]&lt;&gt;"",IF(ISNUMBER(FIND(",",Tabela1[[#This Row],[7]])),LEN(Tabela1[[#This Row],[7]])-LEN(SUBSTITUTE(Tabela1[[#This Row],[7]],",",""))+1,1),"")</f>
        <v/>
      </c>
      <c r="AG30" t="str">
        <f>IF(Tabela1[[#This Row],[8]]&lt;&gt;"",IF(ISNUMBER(FIND(",",Tabela1[[#This Row],[8]])),LEN(Tabela1[[#This Row],[8]])-LEN(SUBSTITUTE(Tabela1[[#This Row],[8]],",",""))+1,1),"")</f>
        <v/>
      </c>
      <c r="AH30" t="str">
        <f>IF(Tabela1[[#This Row],[9]]&lt;&gt;"",IF(ISNUMBER(FIND(",",Tabela1[[#This Row],[9]])),LEN(Tabela1[[#This Row],[9]])-LEN(SUBSTITUTE(Tabela1[[#This Row],[9]],",",""))+1,1),"")</f>
        <v/>
      </c>
      <c r="AI30" t="str">
        <f>IF(Tabela1[[#This Row],[10]]&lt;&gt;"",IF(ISNUMBER(FIND(",",Tabela1[[#This Row],[10]])),LEN(Tabela1[[#This Row],[10]])-LEN(SUBSTITUTE(Tabela1[[#This Row],[10]],",",""))+1,1),"")</f>
        <v/>
      </c>
      <c r="AJ30" t="str">
        <f>IF(Tabela1[[#This Row],[11]]&lt;&gt;"",IF(ISNUMBER(FIND(",",Tabela1[[#This Row],[11]])),LEN(Tabela1[[#This Row],[11]])-LEN(SUBSTITUTE(Tabela1[[#This Row],[11]],",",""))+1,1),"")</f>
        <v/>
      </c>
      <c r="AK30" t="str">
        <f>IF(Tabela1[[#This Row],[12]]&lt;&gt;"",IF(ISNUMBER(FIND(",",Tabela1[[#This Row],[12]])),LEN(Tabela1[[#This Row],[12]])-LEN(SUBSTITUTE(Tabela1[[#This Row],[12]],",",""))+1,1),"")</f>
        <v/>
      </c>
      <c r="AL30" t="str">
        <f>IF(Tabela1[[#This Row],[13]]&lt;&gt;"",IF(ISNUMBER(FIND(",",Tabela1[[#This Row],[13]])),LEN(Tabela1[[#This Row],[13]])-LEN(SUBSTITUTE(Tabela1[[#This Row],[13]],",",""))+1,1),"")</f>
        <v/>
      </c>
      <c r="AM30" t="str">
        <f>IF(Tabela1[[#This Row],[14]]&lt;&gt;"",IF(ISNUMBER(FIND(",",Tabela1[[#This Row],[14]])),LEN(Tabela1[[#This Row],[14]])-LEN(SUBSTITUTE(Tabela1[[#This Row],[14]],",",""))+1,1),"")</f>
        <v/>
      </c>
      <c r="AN30" t="str">
        <f>IF(Tabela1[[#This Row],[15]]&lt;&gt;"",IF(ISNUMBER(FIND(",",Tabela1[[#This Row],[15]])),LEN(Tabela1[[#This Row],[15]])-LEN(SUBSTITUTE(Tabela1[[#This Row],[15]],",",""))+1,1),"")</f>
        <v/>
      </c>
      <c r="AO30" t="str">
        <f>IF(Tabela1[[#This Row],[16]]&lt;&gt;"",IF(ISNUMBER(FIND(",",Tabela1[[#This Row],[16]])),LEN(Tabela1[[#This Row],[16]])-LEN(SUBSTITUTE(Tabela1[[#This Row],[16]],",",""))+1,1),"")</f>
        <v/>
      </c>
      <c r="AP30" t="str">
        <f>IF(Tabela1[[#This Row],[17]]&lt;&gt;"",IF(ISNUMBER(FIND(",",Tabela1[[#This Row],[17]])),LEN(Tabela1[[#This Row],[17]])-LEN(SUBSTITUTE(Tabela1[[#This Row],[17]],",",""))+1,1),"")</f>
        <v/>
      </c>
      <c r="AQ30" t="str">
        <f>IF(Tabela1[[#This Row],[18]]&lt;&gt;"",IF(ISNUMBER(FIND(",",Tabela1[[#This Row],[18]])),LEN(Tabela1[[#This Row],[18]])-LEN(SUBSTITUTE(Tabela1[[#This Row],[18]],",",""))+1,1),"")</f>
        <v/>
      </c>
      <c r="AR30" s="13" t="str">
        <f>IF(Tabela1[[#This Row],[19_LENGTH]]&lt;&gt;"",IF(ISNUMBER(FIND(",",Tabela1[[#This Row],[19_LENGTH]])),LEN(Tabela1[[#This Row],[19_LENGTH]])-LEN(SUBSTITUTE(Tabela1[[#This Row],[19_LENGTH]],",",""))+1,1),"")</f>
        <v/>
      </c>
      <c r="AS30">
        <f>SUM(Tabela1[[#This Row],[1_]:[19_]])</f>
        <v>2</v>
      </c>
    </row>
    <row r="31" spans="1:45" x14ac:dyDescent="0.25">
      <c r="A31" s="27" t="s">
        <v>1316</v>
      </c>
      <c r="B31" s="19" t="s">
        <v>312</v>
      </c>
      <c r="C31" s="19">
        <v>202</v>
      </c>
      <c r="D31" s="19" t="s">
        <v>1292</v>
      </c>
      <c r="E31" s="20">
        <v>43440</v>
      </c>
      <c r="F31" s="19"/>
      <c r="G31" s="19"/>
      <c r="H31" s="19"/>
      <c r="I31" s="19"/>
      <c r="J31" s="19">
        <v>34</v>
      </c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t="str">
        <f>IF(Tabela1[[#This Row],[1]]&lt;&gt;"",IF(ISNUMBER(FIND(",",Tabela1[[#This Row],[1]])),LEN(Tabela1[[#This Row],[1]])-LEN(SUBSTITUTE(Tabela1[[#This Row],[1]],",",""))+1,1),"")</f>
        <v/>
      </c>
      <c r="AA31" t="str">
        <f>IF(Tabela1[[#This Row],[2]]&lt;&gt;"",IF(ISNUMBER(FIND(",",Tabela1[[#This Row],[2]])),LEN(Tabela1[[#This Row],[2]])-LEN(SUBSTITUTE(Tabela1[[#This Row],[2]],",",""))+1,1),"")</f>
        <v/>
      </c>
      <c r="AB31" t="str">
        <f>IF(Tabela1[[#This Row],[3]]&lt;&gt;"",IF(ISNUMBER(FIND(",",Tabela1[[#This Row],[3]])),LEN(Tabela1[[#This Row],[3]])-LEN(SUBSTITUTE(Tabela1[[#This Row],[3]],",",""))+1,1),"")</f>
        <v/>
      </c>
      <c r="AC31" t="str">
        <f>IF(Tabela1[[#This Row],[4]]&lt;&gt;"",IF(ISNUMBER(FIND(",",Tabela1[[#This Row],[4]])),LEN(Tabela1[[#This Row],[4]])-LEN(SUBSTITUTE(Tabela1[[#This Row],[4]],",",""))+1,1),"")</f>
        <v/>
      </c>
      <c r="AD31">
        <f>IF(Tabela1[[#This Row],[5]]&lt;&gt;"",IF(ISNUMBER(FIND(",",Tabela1[[#This Row],[5]])),LEN(Tabela1[[#This Row],[5]])-LEN(SUBSTITUTE(Tabela1[[#This Row],[5]],",",""))+1,1),"")</f>
        <v>1</v>
      </c>
      <c r="AE31" t="str">
        <f>IF(Tabela1[[#This Row],[6]]&lt;&gt;"",IF(ISNUMBER(FIND(",",Tabela1[[#This Row],[6]])),LEN(Tabela1[[#This Row],[6]])-LEN(SUBSTITUTE(Tabela1[[#This Row],[6]],",",""))+1,1),"")</f>
        <v/>
      </c>
      <c r="AF31" t="str">
        <f>IF(Tabela1[[#This Row],[7]]&lt;&gt;"",IF(ISNUMBER(FIND(",",Tabela1[[#This Row],[7]])),LEN(Tabela1[[#This Row],[7]])-LEN(SUBSTITUTE(Tabela1[[#This Row],[7]],",",""))+1,1),"")</f>
        <v/>
      </c>
      <c r="AG31" t="str">
        <f>IF(Tabela1[[#This Row],[8]]&lt;&gt;"",IF(ISNUMBER(FIND(",",Tabela1[[#This Row],[8]])),LEN(Tabela1[[#This Row],[8]])-LEN(SUBSTITUTE(Tabela1[[#This Row],[8]],",",""))+1,1),"")</f>
        <v/>
      </c>
      <c r="AH31" t="str">
        <f>IF(Tabela1[[#This Row],[9]]&lt;&gt;"",IF(ISNUMBER(FIND(",",Tabela1[[#This Row],[9]])),LEN(Tabela1[[#This Row],[9]])-LEN(SUBSTITUTE(Tabela1[[#This Row],[9]],",",""))+1,1),"")</f>
        <v/>
      </c>
      <c r="AI31" t="str">
        <f>IF(Tabela1[[#This Row],[10]]&lt;&gt;"",IF(ISNUMBER(FIND(",",Tabela1[[#This Row],[10]])),LEN(Tabela1[[#This Row],[10]])-LEN(SUBSTITUTE(Tabela1[[#This Row],[10]],",",""))+1,1),"")</f>
        <v/>
      </c>
      <c r="AJ31" t="str">
        <f>IF(Tabela1[[#This Row],[11]]&lt;&gt;"",IF(ISNUMBER(FIND(",",Tabela1[[#This Row],[11]])),LEN(Tabela1[[#This Row],[11]])-LEN(SUBSTITUTE(Tabela1[[#This Row],[11]],",",""))+1,1),"")</f>
        <v/>
      </c>
      <c r="AK31" t="str">
        <f>IF(Tabela1[[#This Row],[12]]&lt;&gt;"",IF(ISNUMBER(FIND(",",Tabela1[[#This Row],[12]])),LEN(Tabela1[[#This Row],[12]])-LEN(SUBSTITUTE(Tabela1[[#This Row],[12]],",",""))+1,1),"")</f>
        <v/>
      </c>
      <c r="AL31" t="str">
        <f>IF(Tabela1[[#This Row],[13]]&lt;&gt;"",IF(ISNUMBER(FIND(",",Tabela1[[#This Row],[13]])),LEN(Tabela1[[#This Row],[13]])-LEN(SUBSTITUTE(Tabela1[[#This Row],[13]],",",""))+1,1),"")</f>
        <v/>
      </c>
      <c r="AM31" t="str">
        <f>IF(Tabela1[[#This Row],[14]]&lt;&gt;"",IF(ISNUMBER(FIND(",",Tabela1[[#This Row],[14]])),LEN(Tabela1[[#This Row],[14]])-LEN(SUBSTITUTE(Tabela1[[#This Row],[14]],",",""))+1,1),"")</f>
        <v/>
      </c>
      <c r="AN31" t="str">
        <f>IF(Tabela1[[#This Row],[15]]&lt;&gt;"",IF(ISNUMBER(FIND(",",Tabela1[[#This Row],[15]])),LEN(Tabela1[[#This Row],[15]])-LEN(SUBSTITUTE(Tabela1[[#This Row],[15]],",",""))+1,1),"")</f>
        <v/>
      </c>
      <c r="AO31" t="str">
        <f>IF(Tabela1[[#This Row],[16]]&lt;&gt;"",IF(ISNUMBER(FIND(",",Tabela1[[#This Row],[16]])),LEN(Tabela1[[#This Row],[16]])-LEN(SUBSTITUTE(Tabela1[[#This Row],[16]],",",""))+1,1),"")</f>
        <v/>
      </c>
      <c r="AP31" t="str">
        <f>IF(Tabela1[[#This Row],[17]]&lt;&gt;"",IF(ISNUMBER(FIND(",",Tabela1[[#This Row],[17]])),LEN(Tabela1[[#This Row],[17]])-LEN(SUBSTITUTE(Tabela1[[#This Row],[17]],",",""))+1,1),"")</f>
        <v/>
      </c>
      <c r="AQ31" t="str">
        <f>IF(Tabela1[[#This Row],[18]]&lt;&gt;"",IF(ISNUMBER(FIND(",",Tabela1[[#This Row],[18]])),LEN(Tabela1[[#This Row],[18]])-LEN(SUBSTITUTE(Tabela1[[#This Row],[18]],",",""))+1,1),"")</f>
        <v/>
      </c>
      <c r="AR31" s="13" t="str">
        <f>IF(Tabela1[[#This Row],[19_LENGTH]]&lt;&gt;"",IF(ISNUMBER(FIND(",",Tabela1[[#This Row],[19_LENGTH]])),LEN(Tabela1[[#This Row],[19_LENGTH]])-LEN(SUBSTITUTE(Tabela1[[#This Row],[19_LENGTH]],",",""))+1,1),"")</f>
        <v/>
      </c>
      <c r="AS31">
        <f>SUM(Tabela1[[#This Row],[1_]:[19_]])</f>
        <v>1</v>
      </c>
    </row>
    <row r="32" spans="1:45" x14ac:dyDescent="0.25">
      <c r="A32" s="27" t="s">
        <v>1316</v>
      </c>
      <c r="B32" s="19" t="s">
        <v>677</v>
      </c>
      <c r="C32" s="19">
        <v>202</v>
      </c>
      <c r="D32" s="19" t="s">
        <v>1304</v>
      </c>
      <c r="E32" s="20">
        <v>43441</v>
      </c>
      <c r="F32" s="19"/>
      <c r="G32" s="19">
        <v>58</v>
      </c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t="str">
        <f>IF(Tabela1[[#This Row],[1]]&lt;&gt;"",IF(ISNUMBER(FIND(",",Tabela1[[#This Row],[1]])),LEN(Tabela1[[#This Row],[1]])-LEN(SUBSTITUTE(Tabela1[[#This Row],[1]],",",""))+1,1),"")</f>
        <v/>
      </c>
      <c r="AA32">
        <f>IF(Tabela1[[#This Row],[2]]&lt;&gt;"",IF(ISNUMBER(FIND(",",Tabela1[[#This Row],[2]])),LEN(Tabela1[[#This Row],[2]])-LEN(SUBSTITUTE(Tabela1[[#This Row],[2]],",",""))+1,1),"")</f>
        <v>1</v>
      </c>
      <c r="AB32" t="str">
        <f>IF(Tabela1[[#This Row],[3]]&lt;&gt;"",IF(ISNUMBER(FIND(",",Tabela1[[#This Row],[3]])),LEN(Tabela1[[#This Row],[3]])-LEN(SUBSTITUTE(Tabela1[[#This Row],[3]],",",""))+1,1),"")</f>
        <v/>
      </c>
      <c r="AC32" t="str">
        <f>IF(Tabela1[[#This Row],[4]]&lt;&gt;"",IF(ISNUMBER(FIND(",",Tabela1[[#This Row],[4]])),LEN(Tabela1[[#This Row],[4]])-LEN(SUBSTITUTE(Tabela1[[#This Row],[4]],",",""))+1,1),"")</f>
        <v/>
      </c>
      <c r="AD32" t="str">
        <f>IF(Tabela1[[#This Row],[5]]&lt;&gt;"",IF(ISNUMBER(FIND(",",Tabela1[[#This Row],[5]])),LEN(Tabela1[[#This Row],[5]])-LEN(SUBSTITUTE(Tabela1[[#This Row],[5]],",",""))+1,1),"")</f>
        <v/>
      </c>
      <c r="AE32" t="str">
        <f>IF(Tabela1[[#This Row],[6]]&lt;&gt;"",IF(ISNUMBER(FIND(",",Tabela1[[#This Row],[6]])),LEN(Tabela1[[#This Row],[6]])-LEN(SUBSTITUTE(Tabela1[[#This Row],[6]],",",""))+1,1),"")</f>
        <v/>
      </c>
      <c r="AF32" t="str">
        <f>IF(Tabela1[[#This Row],[7]]&lt;&gt;"",IF(ISNUMBER(FIND(",",Tabela1[[#This Row],[7]])),LEN(Tabela1[[#This Row],[7]])-LEN(SUBSTITUTE(Tabela1[[#This Row],[7]],",",""))+1,1),"")</f>
        <v/>
      </c>
      <c r="AG32" t="str">
        <f>IF(Tabela1[[#This Row],[8]]&lt;&gt;"",IF(ISNUMBER(FIND(",",Tabela1[[#This Row],[8]])),LEN(Tabela1[[#This Row],[8]])-LEN(SUBSTITUTE(Tabela1[[#This Row],[8]],",",""))+1,1),"")</f>
        <v/>
      </c>
      <c r="AH32" t="str">
        <f>IF(Tabela1[[#This Row],[9]]&lt;&gt;"",IF(ISNUMBER(FIND(",",Tabela1[[#This Row],[9]])),LEN(Tabela1[[#This Row],[9]])-LEN(SUBSTITUTE(Tabela1[[#This Row],[9]],",",""))+1,1),"")</f>
        <v/>
      </c>
      <c r="AI32" t="str">
        <f>IF(Tabela1[[#This Row],[10]]&lt;&gt;"",IF(ISNUMBER(FIND(",",Tabela1[[#This Row],[10]])),LEN(Tabela1[[#This Row],[10]])-LEN(SUBSTITUTE(Tabela1[[#This Row],[10]],",",""))+1,1),"")</f>
        <v/>
      </c>
      <c r="AJ32" t="str">
        <f>IF(Tabela1[[#This Row],[11]]&lt;&gt;"",IF(ISNUMBER(FIND(",",Tabela1[[#This Row],[11]])),LEN(Tabela1[[#This Row],[11]])-LEN(SUBSTITUTE(Tabela1[[#This Row],[11]],",",""))+1,1),"")</f>
        <v/>
      </c>
      <c r="AK32" t="str">
        <f>IF(Tabela1[[#This Row],[12]]&lt;&gt;"",IF(ISNUMBER(FIND(",",Tabela1[[#This Row],[12]])),LEN(Tabela1[[#This Row],[12]])-LEN(SUBSTITUTE(Tabela1[[#This Row],[12]],",",""))+1,1),"")</f>
        <v/>
      </c>
      <c r="AL32" t="str">
        <f>IF(Tabela1[[#This Row],[13]]&lt;&gt;"",IF(ISNUMBER(FIND(",",Tabela1[[#This Row],[13]])),LEN(Tabela1[[#This Row],[13]])-LEN(SUBSTITUTE(Tabela1[[#This Row],[13]],",",""))+1,1),"")</f>
        <v/>
      </c>
      <c r="AM32" t="str">
        <f>IF(Tabela1[[#This Row],[14]]&lt;&gt;"",IF(ISNUMBER(FIND(",",Tabela1[[#This Row],[14]])),LEN(Tabela1[[#This Row],[14]])-LEN(SUBSTITUTE(Tabela1[[#This Row],[14]],",",""))+1,1),"")</f>
        <v/>
      </c>
      <c r="AN32" t="str">
        <f>IF(Tabela1[[#This Row],[15]]&lt;&gt;"",IF(ISNUMBER(FIND(",",Tabela1[[#This Row],[15]])),LEN(Tabela1[[#This Row],[15]])-LEN(SUBSTITUTE(Tabela1[[#This Row],[15]],",",""))+1,1),"")</f>
        <v/>
      </c>
      <c r="AO32" t="str">
        <f>IF(Tabela1[[#This Row],[16]]&lt;&gt;"",IF(ISNUMBER(FIND(",",Tabela1[[#This Row],[16]])),LEN(Tabela1[[#This Row],[16]])-LEN(SUBSTITUTE(Tabela1[[#This Row],[16]],",",""))+1,1),"")</f>
        <v/>
      </c>
      <c r="AP32" t="str">
        <f>IF(Tabela1[[#This Row],[17]]&lt;&gt;"",IF(ISNUMBER(FIND(",",Tabela1[[#This Row],[17]])),LEN(Tabela1[[#This Row],[17]])-LEN(SUBSTITUTE(Tabela1[[#This Row],[17]],",",""))+1,1),"")</f>
        <v/>
      </c>
      <c r="AQ32" t="str">
        <f>IF(Tabela1[[#This Row],[18]]&lt;&gt;"",IF(ISNUMBER(FIND(",",Tabela1[[#This Row],[18]])),LEN(Tabela1[[#This Row],[18]])-LEN(SUBSTITUTE(Tabela1[[#This Row],[18]],",",""))+1,1),"")</f>
        <v/>
      </c>
      <c r="AR32" s="13" t="str">
        <f>IF(Tabela1[[#This Row],[19_LENGTH]]&lt;&gt;"",IF(ISNUMBER(FIND(",",Tabela1[[#This Row],[19_LENGTH]])),LEN(Tabela1[[#This Row],[19_LENGTH]])-LEN(SUBSTITUTE(Tabela1[[#This Row],[19_LENGTH]],",",""))+1,1),"")</f>
        <v/>
      </c>
      <c r="AS32">
        <f>SUM(Tabela1[[#This Row],[1_]:[19_]])</f>
        <v>1</v>
      </c>
    </row>
    <row r="33" spans="1:45" x14ac:dyDescent="0.25">
      <c r="A33" s="27" t="s">
        <v>1316</v>
      </c>
      <c r="B33" s="19" t="s">
        <v>313</v>
      </c>
      <c r="C33" s="19">
        <v>222</v>
      </c>
      <c r="D33" s="19" t="s">
        <v>1304</v>
      </c>
      <c r="E33" s="20">
        <v>43441</v>
      </c>
      <c r="F33" s="19"/>
      <c r="G33" s="19">
        <v>153</v>
      </c>
      <c r="H33" s="19" t="s">
        <v>14</v>
      </c>
      <c r="I33" s="19"/>
      <c r="J33" s="19"/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t="str">
        <f>IF(Tabela1[[#This Row],[1]]&lt;&gt;"",IF(ISNUMBER(FIND(",",Tabela1[[#This Row],[1]])),LEN(Tabela1[[#This Row],[1]])-LEN(SUBSTITUTE(Tabela1[[#This Row],[1]],",",""))+1,1),"")</f>
        <v/>
      </c>
      <c r="AA33">
        <f>IF(Tabela1[[#This Row],[2]]&lt;&gt;"",IF(ISNUMBER(FIND(",",Tabela1[[#This Row],[2]])),LEN(Tabela1[[#This Row],[2]])-LEN(SUBSTITUTE(Tabela1[[#This Row],[2]],",",""))+1,1),"")</f>
        <v>1</v>
      </c>
      <c r="AB33">
        <f>IF(Tabela1[[#This Row],[3]]&lt;&gt;"",IF(ISNUMBER(FIND(",",Tabela1[[#This Row],[3]])),LEN(Tabela1[[#This Row],[3]])-LEN(SUBSTITUTE(Tabela1[[#This Row],[3]],",",""))+1,1),"")</f>
        <v>1</v>
      </c>
      <c r="AC33" t="str">
        <f>IF(Tabela1[[#This Row],[4]]&lt;&gt;"",IF(ISNUMBER(FIND(",",Tabela1[[#This Row],[4]])),LEN(Tabela1[[#This Row],[4]])-LEN(SUBSTITUTE(Tabela1[[#This Row],[4]],",",""))+1,1),"")</f>
        <v/>
      </c>
      <c r="AD33" t="str">
        <f>IF(Tabela1[[#This Row],[5]]&lt;&gt;"",IF(ISNUMBER(FIND(",",Tabela1[[#This Row],[5]])),LEN(Tabela1[[#This Row],[5]])-LEN(SUBSTITUTE(Tabela1[[#This Row],[5]],",",""))+1,1),"")</f>
        <v/>
      </c>
      <c r="AE33" t="str">
        <f>IF(Tabela1[[#This Row],[6]]&lt;&gt;"",IF(ISNUMBER(FIND(",",Tabela1[[#This Row],[6]])),LEN(Tabela1[[#This Row],[6]])-LEN(SUBSTITUTE(Tabela1[[#This Row],[6]],",",""))+1,1),"")</f>
        <v/>
      </c>
      <c r="AF33" t="str">
        <f>IF(Tabela1[[#This Row],[7]]&lt;&gt;"",IF(ISNUMBER(FIND(",",Tabela1[[#This Row],[7]])),LEN(Tabela1[[#This Row],[7]])-LEN(SUBSTITUTE(Tabela1[[#This Row],[7]],",",""))+1,1),"")</f>
        <v/>
      </c>
      <c r="AG33" t="str">
        <f>IF(Tabela1[[#This Row],[8]]&lt;&gt;"",IF(ISNUMBER(FIND(",",Tabela1[[#This Row],[8]])),LEN(Tabela1[[#This Row],[8]])-LEN(SUBSTITUTE(Tabela1[[#This Row],[8]],",",""))+1,1),"")</f>
        <v/>
      </c>
      <c r="AH33" t="str">
        <f>IF(Tabela1[[#This Row],[9]]&lt;&gt;"",IF(ISNUMBER(FIND(",",Tabela1[[#This Row],[9]])),LEN(Tabela1[[#This Row],[9]])-LEN(SUBSTITUTE(Tabela1[[#This Row],[9]],",",""))+1,1),"")</f>
        <v/>
      </c>
      <c r="AI33" t="str">
        <f>IF(Tabela1[[#This Row],[10]]&lt;&gt;"",IF(ISNUMBER(FIND(",",Tabela1[[#This Row],[10]])),LEN(Tabela1[[#This Row],[10]])-LEN(SUBSTITUTE(Tabela1[[#This Row],[10]],",",""))+1,1),"")</f>
        <v/>
      </c>
      <c r="AJ33" t="str">
        <f>IF(Tabela1[[#This Row],[11]]&lt;&gt;"",IF(ISNUMBER(FIND(",",Tabela1[[#This Row],[11]])),LEN(Tabela1[[#This Row],[11]])-LEN(SUBSTITUTE(Tabela1[[#This Row],[11]],",",""))+1,1),"")</f>
        <v/>
      </c>
      <c r="AK33" t="str">
        <f>IF(Tabela1[[#This Row],[12]]&lt;&gt;"",IF(ISNUMBER(FIND(",",Tabela1[[#This Row],[12]])),LEN(Tabela1[[#This Row],[12]])-LEN(SUBSTITUTE(Tabela1[[#This Row],[12]],",",""))+1,1),"")</f>
        <v/>
      </c>
      <c r="AL33" t="str">
        <f>IF(Tabela1[[#This Row],[13]]&lt;&gt;"",IF(ISNUMBER(FIND(",",Tabela1[[#This Row],[13]])),LEN(Tabela1[[#This Row],[13]])-LEN(SUBSTITUTE(Tabela1[[#This Row],[13]],",",""))+1,1),"")</f>
        <v/>
      </c>
      <c r="AM33" t="str">
        <f>IF(Tabela1[[#This Row],[14]]&lt;&gt;"",IF(ISNUMBER(FIND(",",Tabela1[[#This Row],[14]])),LEN(Tabela1[[#This Row],[14]])-LEN(SUBSTITUTE(Tabela1[[#This Row],[14]],",",""))+1,1),"")</f>
        <v/>
      </c>
      <c r="AN33" t="str">
        <f>IF(Tabela1[[#This Row],[15]]&lt;&gt;"",IF(ISNUMBER(FIND(",",Tabela1[[#This Row],[15]])),LEN(Tabela1[[#This Row],[15]])-LEN(SUBSTITUTE(Tabela1[[#This Row],[15]],",",""))+1,1),"")</f>
        <v/>
      </c>
      <c r="AO33" t="str">
        <f>IF(Tabela1[[#This Row],[16]]&lt;&gt;"",IF(ISNUMBER(FIND(",",Tabela1[[#This Row],[16]])),LEN(Tabela1[[#This Row],[16]])-LEN(SUBSTITUTE(Tabela1[[#This Row],[16]],",",""))+1,1),"")</f>
        <v/>
      </c>
      <c r="AP33" t="str">
        <f>IF(Tabela1[[#This Row],[17]]&lt;&gt;"",IF(ISNUMBER(FIND(",",Tabela1[[#This Row],[17]])),LEN(Tabela1[[#This Row],[17]])-LEN(SUBSTITUTE(Tabela1[[#This Row],[17]],",",""))+1,1),"")</f>
        <v/>
      </c>
      <c r="AQ33" t="str">
        <f>IF(Tabela1[[#This Row],[18]]&lt;&gt;"",IF(ISNUMBER(FIND(",",Tabela1[[#This Row],[18]])),LEN(Tabela1[[#This Row],[18]])-LEN(SUBSTITUTE(Tabela1[[#This Row],[18]],",",""))+1,1),"")</f>
        <v/>
      </c>
      <c r="AR33" s="13" t="str">
        <f>IF(Tabela1[[#This Row],[19_LENGTH]]&lt;&gt;"",IF(ISNUMBER(FIND(",",Tabela1[[#This Row],[19_LENGTH]])),LEN(Tabela1[[#This Row],[19_LENGTH]])-LEN(SUBSTITUTE(Tabela1[[#This Row],[19_LENGTH]],",",""))+1,1),"")</f>
        <v/>
      </c>
      <c r="AS33">
        <f>SUM(Tabela1[[#This Row],[1_]:[19_]])</f>
        <v>2</v>
      </c>
    </row>
    <row r="34" spans="1:45" x14ac:dyDescent="0.25">
      <c r="A34" s="27" t="s">
        <v>1316</v>
      </c>
      <c r="B34" s="19" t="s">
        <v>314</v>
      </c>
      <c r="C34" s="19">
        <v>202</v>
      </c>
      <c r="D34" s="19" t="s">
        <v>1304</v>
      </c>
      <c r="E34" s="20">
        <v>43441</v>
      </c>
      <c r="F34" s="19"/>
      <c r="G34" s="19"/>
      <c r="H34" s="19"/>
      <c r="I34" s="19"/>
      <c r="J34" s="19"/>
      <c r="K34" s="19"/>
      <c r="L34" s="19"/>
      <c r="M34" s="19">
        <v>192</v>
      </c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t="str">
        <f>IF(Tabela1[[#This Row],[1]]&lt;&gt;"",IF(ISNUMBER(FIND(",",Tabela1[[#This Row],[1]])),LEN(Tabela1[[#This Row],[1]])-LEN(SUBSTITUTE(Tabela1[[#This Row],[1]],",",""))+1,1),"")</f>
        <v/>
      </c>
      <c r="AA34" t="str">
        <f>IF(Tabela1[[#This Row],[2]]&lt;&gt;"",IF(ISNUMBER(FIND(",",Tabela1[[#This Row],[2]])),LEN(Tabela1[[#This Row],[2]])-LEN(SUBSTITUTE(Tabela1[[#This Row],[2]],",",""))+1,1),"")</f>
        <v/>
      </c>
      <c r="AB34" t="str">
        <f>IF(Tabela1[[#This Row],[3]]&lt;&gt;"",IF(ISNUMBER(FIND(",",Tabela1[[#This Row],[3]])),LEN(Tabela1[[#This Row],[3]])-LEN(SUBSTITUTE(Tabela1[[#This Row],[3]],",",""))+1,1),"")</f>
        <v/>
      </c>
      <c r="AC34" t="str">
        <f>IF(Tabela1[[#This Row],[4]]&lt;&gt;"",IF(ISNUMBER(FIND(",",Tabela1[[#This Row],[4]])),LEN(Tabela1[[#This Row],[4]])-LEN(SUBSTITUTE(Tabela1[[#This Row],[4]],",",""))+1,1),"")</f>
        <v/>
      </c>
      <c r="AD34" t="str">
        <f>IF(Tabela1[[#This Row],[5]]&lt;&gt;"",IF(ISNUMBER(FIND(",",Tabela1[[#This Row],[5]])),LEN(Tabela1[[#This Row],[5]])-LEN(SUBSTITUTE(Tabela1[[#This Row],[5]],",",""))+1,1),"")</f>
        <v/>
      </c>
      <c r="AE34" t="str">
        <f>IF(Tabela1[[#This Row],[6]]&lt;&gt;"",IF(ISNUMBER(FIND(",",Tabela1[[#This Row],[6]])),LEN(Tabela1[[#This Row],[6]])-LEN(SUBSTITUTE(Tabela1[[#This Row],[6]],",",""))+1,1),"")</f>
        <v/>
      </c>
      <c r="AF34" t="str">
        <f>IF(Tabela1[[#This Row],[7]]&lt;&gt;"",IF(ISNUMBER(FIND(",",Tabela1[[#This Row],[7]])),LEN(Tabela1[[#This Row],[7]])-LEN(SUBSTITUTE(Tabela1[[#This Row],[7]],",",""))+1,1),"")</f>
        <v/>
      </c>
      <c r="AG34">
        <f>IF(Tabela1[[#This Row],[8]]&lt;&gt;"",IF(ISNUMBER(FIND(",",Tabela1[[#This Row],[8]])),LEN(Tabela1[[#This Row],[8]])-LEN(SUBSTITUTE(Tabela1[[#This Row],[8]],",",""))+1,1),"")</f>
        <v>1</v>
      </c>
      <c r="AH34" t="str">
        <f>IF(Tabela1[[#This Row],[9]]&lt;&gt;"",IF(ISNUMBER(FIND(",",Tabela1[[#This Row],[9]])),LEN(Tabela1[[#This Row],[9]])-LEN(SUBSTITUTE(Tabela1[[#This Row],[9]],",",""))+1,1),"")</f>
        <v/>
      </c>
      <c r="AI34" t="str">
        <f>IF(Tabela1[[#This Row],[10]]&lt;&gt;"",IF(ISNUMBER(FIND(",",Tabela1[[#This Row],[10]])),LEN(Tabela1[[#This Row],[10]])-LEN(SUBSTITUTE(Tabela1[[#This Row],[10]],",",""))+1,1),"")</f>
        <v/>
      </c>
      <c r="AJ34" t="str">
        <f>IF(Tabela1[[#This Row],[11]]&lt;&gt;"",IF(ISNUMBER(FIND(",",Tabela1[[#This Row],[11]])),LEN(Tabela1[[#This Row],[11]])-LEN(SUBSTITUTE(Tabela1[[#This Row],[11]],",",""))+1,1),"")</f>
        <v/>
      </c>
      <c r="AK34" t="str">
        <f>IF(Tabela1[[#This Row],[12]]&lt;&gt;"",IF(ISNUMBER(FIND(",",Tabela1[[#This Row],[12]])),LEN(Tabela1[[#This Row],[12]])-LEN(SUBSTITUTE(Tabela1[[#This Row],[12]],",",""))+1,1),"")</f>
        <v/>
      </c>
      <c r="AL34" t="str">
        <f>IF(Tabela1[[#This Row],[13]]&lt;&gt;"",IF(ISNUMBER(FIND(",",Tabela1[[#This Row],[13]])),LEN(Tabela1[[#This Row],[13]])-LEN(SUBSTITUTE(Tabela1[[#This Row],[13]],",",""))+1,1),"")</f>
        <v/>
      </c>
      <c r="AM34" t="str">
        <f>IF(Tabela1[[#This Row],[14]]&lt;&gt;"",IF(ISNUMBER(FIND(",",Tabela1[[#This Row],[14]])),LEN(Tabela1[[#This Row],[14]])-LEN(SUBSTITUTE(Tabela1[[#This Row],[14]],",",""))+1,1),"")</f>
        <v/>
      </c>
      <c r="AN34" t="str">
        <f>IF(Tabela1[[#This Row],[15]]&lt;&gt;"",IF(ISNUMBER(FIND(",",Tabela1[[#This Row],[15]])),LEN(Tabela1[[#This Row],[15]])-LEN(SUBSTITUTE(Tabela1[[#This Row],[15]],",",""))+1,1),"")</f>
        <v/>
      </c>
      <c r="AO34" t="str">
        <f>IF(Tabela1[[#This Row],[16]]&lt;&gt;"",IF(ISNUMBER(FIND(",",Tabela1[[#This Row],[16]])),LEN(Tabela1[[#This Row],[16]])-LEN(SUBSTITUTE(Tabela1[[#This Row],[16]],",",""))+1,1),"")</f>
        <v/>
      </c>
      <c r="AP34" t="str">
        <f>IF(Tabela1[[#This Row],[17]]&lt;&gt;"",IF(ISNUMBER(FIND(",",Tabela1[[#This Row],[17]])),LEN(Tabela1[[#This Row],[17]])-LEN(SUBSTITUTE(Tabela1[[#This Row],[17]],",",""))+1,1),"")</f>
        <v/>
      </c>
      <c r="AQ34" t="str">
        <f>IF(Tabela1[[#This Row],[18]]&lt;&gt;"",IF(ISNUMBER(FIND(",",Tabela1[[#This Row],[18]])),LEN(Tabela1[[#This Row],[18]])-LEN(SUBSTITUTE(Tabela1[[#This Row],[18]],",",""))+1,1),"")</f>
        <v/>
      </c>
      <c r="AR34" s="13" t="str">
        <f>IF(Tabela1[[#This Row],[19_LENGTH]]&lt;&gt;"",IF(ISNUMBER(FIND(",",Tabela1[[#This Row],[19_LENGTH]])),LEN(Tabela1[[#This Row],[19_LENGTH]])-LEN(SUBSTITUTE(Tabela1[[#This Row],[19_LENGTH]],",",""))+1,1),"")</f>
        <v/>
      </c>
      <c r="AS34">
        <f>SUM(Tabela1[[#This Row],[1_]:[19_]])</f>
        <v>1</v>
      </c>
    </row>
    <row r="35" spans="1:45" x14ac:dyDescent="0.25">
      <c r="A35" s="27" t="s">
        <v>1316</v>
      </c>
      <c r="B35" s="19" t="s">
        <v>315</v>
      </c>
      <c r="C35" s="19">
        <v>202</v>
      </c>
      <c r="D35" s="19" t="s">
        <v>1296</v>
      </c>
      <c r="E35" s="20">
        <v>43441</v>
      </c>
      <c r="F35" s="19"/>
      <c r="G35" s="19"/>
      <c r="H35" s="19"/>
      <c r="I35" s="19"/>
      <c r="J35" s="19"/>
      <c r="K35" s="19"/>
      <c r="L35" s="19"/>
      <c r="M35" s="19"/>
      <c r="N35" s="19"/>
      <c r="O35" s="19">
        <v>12</v>
      </c>
      <c r="P35" s="19"/>
      <c r="Q35" s="19"/>
      <c r="R35" s="19"/>
      <c r="S35" s="19"/>
      <c r="T35" s="19"/>
      <c r="U35" s="19"/>
      <c r="V35" s="19"/>
      <c r="W35" s="19"/>
      <c r="X35" s="19"/>
      <c r="Y35" s="19"/>
      <c r="Z35" t="str">
        <f>IF(Tabela1[[#This Row],[1]]&lt;&gt;"",IF(ISNUMBER(FIND(",",Tabela1[[#This Row],[1]])),LEN(Tabela1[[#This Row],[1]])-LEN(SUBSTITUTE(Tabela1[[#This Row],[1]],",",""))+1,1),"")</f>
        <v/>
      </c>
      <c r="AA35" t="str">
        <f>IF(Tabela1[[#This Row],[2]]&lt;&gt;"",IF(ISNUMBER(FIND(",",Tabela1[[#This Row],[2]])),LEN(Tabela1[[#This Row],[2]])-LEN(SUBSTITUTE(Tabela1[[#This Row],[2]],",",""))+1,1),"")</f>
        <v/>
      </c>
      <c r="AB35" t="str">
        <f>IF(Tabela1[[#This Row],[3]]&lt;&gt;"",IF(ISNUMBER(FIND(",",Tabela1[[#This Row],[3]])),LEN(Tabela1[[#This Row],[3]])-LEN(SUBSTITUTE(Tabela1[[#This Row],[3]],",",""))+1,1),"")</f>
        <v/>
      </c>
      <c r="AC35" t="str">
        <f>IF(Tabela1[[#This Row],[4]]&lt;&gt;"",IF(ISNUMBER(FIND(",",Tabela1[[#This Row],[4]])),LEN(Tabela1[[#This Row],[4]])-LEN(SUBSTITUTE(Tabela1[[#This Row],[4]],",",""))+1,1),"")</f>
        <v/>
      </c>
      <c r="AD35" t="str">
        <f>IF(Tabela1[[#This Row],[5]]&lt;&gt;"",IF(ISNUMBER(FIND(",",Tabela1[[#This Row],[5]])),LEN(Tabela1[[#This Row],[5]])-LEN(SUBSTITUTE(Tabela1[[#This Row],[5]],",",""))+1,1),"")</f>
        <v/>
      </c>
      <c r="AE35" t="str">
        <f>IF(Tabela1[[#This Row],[6]]&lt;&gt;"",IF(ISNUMBER(FIND(",",Tabela1[[#This Row],[6]])),LEN(Tabela1[[#This Row],[6]])-LEN(SUBSTITUTE(Tabela1[[#This Row],[6]],",",""))+1,1),"")</f>
        <v/>
      </c>
      <c r="AF35" t="str">
        <f>IF(Tabela1[[#This Row],[7]]&lt;&gt;"",IF(ISNUMBER(FIND(",",Tabela1[[#This Row],[7]])),LEN(Tabela1[[#This Row],[7]])-LEN(SUBSTITUTE(Tabela1[[#This Row],[7]],",",""))+1,1),"")</f>
        <v/>
      </c>
      <c r="AG35" t="str">
        <f>IF(Tabela1[[#This Row],[8]]&lt;&gt;"",IF(ISNUMBER(FIND(",",Tabela1[[#This Row],[8]])),LEN(Tabela1[[#This Row],[8]])-LEN(SUBSTITUTE(Tabela1[[#This Row],[8]],",",""))+1,1),"")</f>
        <v/>
      </c>
      <c r="AH35" t="str">
        <f>IF(Tabela1[[#This Row],[9]]&lt;&gt;"",IF(ISNUMBER(FIND(",",Tabela1[[#This Row],[9]])),LEN(Tabela1[[#This Row],[9]])-LEN(SUBSTITUTE(Tabela1[[#This Row],[9]],",",""))+1,1),"")</f>
        <v/>
      </c>
      <c r="AI35">
        <f>IF(Tabela1[[#This Row],[10]]&lt;&gt;"",IF(ISNUMBER(FIND(",",Tabela1[[#This Row],[10]])),LEN(Tabela1[[#This Row],[10]])-LEN(SUBSTITUTE(Tabela1[[#This Row],[10]],",",""))+1,1),"")</f>
        <v>1</v>
      </c>
      <c r="AJ35" t="str">
        <f>IF(Tabela1[[#This Row],[11]]&lt;&gt;"",IF(ISNUMBER(FIND(",",Tabela1[[#This Row],[11]])),LEN(Tabela1[[#This Row],[11]])-LEN(SUBSTITUTE(Tabela1[[#This Row],[11]],",",""))+1,1),"")</f>
        <v/>
      </c>
      <c r="AK35" t="str">
        <f>IF(Tabela1[[#This Row],[12]]&lt;&gt;"",IF(ISNUMBER(FIND(",",Tabela1[[#This Row],[12]])),LEN(Tabela1[[#This Row],[12]])-LEN(SUBSTITUTE(Tabela1[[#This Row],[12]],",",""))+1,1),"")</f>
        <v/>
      </c>
      <c r="AL35" t="str">
        <f>IF(Tabela1[[#This Row],[13]]&lt;&gt;"",IF(ISNUMBER(FIND(",",Tabela1[[#This Row],[13]])),LEN(Tabela1[[#This Row],[13]])-LEN(SUBSTITUTE(Tabela1[[#This Row],[13]],",",""))+1,1),"")</f>
        <v/>
      </c>
      <c r="AM35" t="str">
        <f>IF(Tabela1[[#This Row],[14]]&lt;&gt;"",IF(ISNUMBER(FIND(",",Tabela1[[#This Row],[14]])),LEN(Tabela1[[#This Row],[14]])-LEN(SUBSTITUTE(Tabela1[[#This Row],[14]],",",""))+1,1),"")</f>
        <v/>
      </c>
      <c r="AN35" t="str">
        <f>IF(Tabela1[[#This Row],[15]]&lt;&gt;"",IF(ISNUMBER(FIND(",",Tabela1[[#This Row],[15]])),LEN(Tabela1[[#This Row],[15]])-LEN(SUBSTITUTE(Tabela1[[#This Row],[15]],",",""))+1,1),"")</f>
        <v/>
      </c>
      <c r="AO35" t="str">
        <f>IF(Tabela1[[#This Row],[16]]&lt;&gt;"",IF(ISNUMBER(FIND(",",Tabela1[[#This Row],[16]])),LEN(Tabela1[[#This Row],[16]])-LEN(SUBSTITUTE(Tabela1[[#This Row],[16]],",",""))+1,1),"")</f>
        <v/>
      </c>
      <c r="AP35" t="str">
        <f>IF(Tabela1[[#This Row],[17]]&lt;&gt;"",IF(ISNUMBER(FIND(",",Tabela1[[#This Row],[17]])),LEN(Tabela1[[#This Row],[17]])-LEN(SUBSTITUTE(Tabela1[[#This Row],[17]],",",""))+1,1),"")</f>
        <v/>
      </c>
      <c r="AQ35" t="str">
        <f>IF(Tabela1[[#This Row],[18]]&lt;&gt;"",IF(ISNUMBER(FIND(",",Tabela1[[#This Row],[18]])),LEN(Tabela1[[#This Row],[18]])-LEN(SUBSTITUTE(Tabela1[[#This Row],[18]],",",""))+1,1),"")</f>
        <v/>
      </c>
      <c r="AR35" s="13" t="str">
        <f>IF(Tabela1[[#This Row],[19_LENGTH]]&lt;&gt;"",IF(ISNUMBER(FIND(",",Tabela1[[#This Row],[19_LENGTH]])),LEN(Tabela1[[#This Row],[19_LENGTH]])-LEN(SUBSTITUTE(Tabela1[[#This Row],[19_LENGTH]],",",""))+1,1),"")</f>
        <v/>
      </c>
      <c r="AS35">
        <f>SUM(Tabela1[[#This Row],[1_]:[19_]])</f>
        <v>1</v>
      </c>
    </row>
    <row r="36" spans="1:45" x14ac:dyDescent="0.25">
      <c r="A36" s="27" t="s">
        <v>1316</v>
      </c>
      <c r="B36" s="19" t="s">
        <v>316</v>
      </c>
      <c r="C36" s="19">
        <v>202</v>
      </c>
      <c r="D36" s="19" t="s">
        <v>1315</v>
      </c>
      <c r="E36" s="20">
        <v>43442</v>
      </c>
      <c r="F36" s="19"/>
      <c r="G36" s="19">
        <v>6</v>
      </c>
      <c r="H36" s="19" t="s">
        <v>15</v>
      </c>
      <c r="I36" s="19">
        <v>143</v>
      </c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19" t="s">
        <v>16</v>
      </c>
      <c r="V36" s="19">
        <v>116</v>
      </c>
      <c r="W36" s="19"/>
      <c r="X36" s="19"/>
      <c r="Y36" s="19"/>
      <c r="Z36" t="str">
        <f>IF(Tabela1[[#This Row],[1]]&lt;&gt;"",IF(ISNUMBER(FIND(",",Tabela1[[#This Row],[1]])),LEN(Tabela1[[#This Row],[1]])-LEN(SUBSTITUTE(Tabela1[[#This Row],[1]],",",""))+1,1),"")</f>
        <v/>
      </c>
      <c r="AA36">
        <f>IF(Tabela1[[#This Row],[2]]&lt;&gt;"",IF(ISNUMBER(FIND(",",Tabela1[[#This Row],[2]])),LEN(Tabela1[[#This Row],[2]])-LEN(SUBSTITUTE(Tabela1[[#This Row],[2]],",",""))+1,1),"")</f>
        <v>1</v>
      </c>
      <c r="AB36">
        <f>IF(Tabela1[[#This Row],[3]]&lt;&gt;"",IF(ISNUMBER(FIND(",",Tabela1[[#This Row],[3]])),LEN(Tabela1[[#This Row],[3]])-LEN(SUBSTITUTE(Tabela1[[#This Row],[3]],",",""))+1,1),"")</f>
        <v>1</v>
      </c>
      <c r="AC36">
        <f>IF(Tabela1[[#This Row],[4]]&lt;&gt;"",IF(ISNUMBER(FIND(",",Tabela1[[#This Row],[4]])),LEN(Tabela1[[#This Row],[4]])-LEN(SUBSTITUTE(Tabela1[[#This Row],[4]],",",""))+1,1),"")</f>
        <v>1</v>
      </c>
      <c r="AD36" t="str">
        <f>IF(Tabela1[[#This Row],[5]]&lt;&gt;"",IF(ISNUMBER(FIND(",",Tabela1[[#This Row],[5]])),LEN(Tabela1[[#This Row],[5]])-LEN(SUBSTITUTE(Tabela1[[#This Row],[5]],",",""))+1,1),"")</f>
        <v/>
      </c>
      <c r="AE36" t="str">
        <f>IF(Tabela1[[#This Row],[6]]&lt;&gt;"",IF(ISNUMBER(FIND(",",Tabela1[[#This Row],[6]])),LEN(Tabela1[[#This Row],[6]])-LEN(SUBSTITUTE(Tabela1[[#This Row],[6]],",",""))+1,1),"")</f>
        <v/>
      </c>
      <c r="AF36" t="str">
        <f>IF(Tabela1[[#This Row],[7]]&lt;&gt;"",IF(ISNUMBER(FIND(",",Tabela1[[#This Row],[7]])),LEN(Tabela1[[#This Row],[7]])-LEN(SUBSTITUTE(Tabela1[[#This Row],[7]],",",""))+1,1),"")</f>
        <v/>
      </c>
      <c r="AG36" t="str">
        <f>IF(Tabela1[[#This Row],[8]]&lt;&gt;"",IF(ISNUMBER(FIND(",",Tabela1[[#This Row],[8]])),LEN(Tabela1[[#This Row],[8]])-LEN(SUBSTITUTE(Tabela1[[#This Row],[8]],",",""))+1,1),"")</f>
        <v/>
      </c>
      <c r="AH36" t="str">
        <f>IF(Tabela1[[#This Row],[9]]&lt;&gt;"",IF(ISNUMBER(FIND(",",Tabela1[[#This Row],[9]])),LEN(Tabela1[[#This Row],[9]])-LEN(SUBSTITUTE(Tabela1[[#This Row],[9]],",",""))+1,1),"")</f>
        <v/>
      </c>
      <c r="AI36" t="str">
        <f>IF(Tabela1[[#This Row],[10]]&lt;&gt;"",IF(ISNUMBER(FIND(",",Tabela1[[#This Row],[10]])),LEN(Tabela1[[#This Row],[10]])-LEN(SUBSTITUTE(Tabela1[[#This Row],[10]],",",""))+1,1),"")</f>
        <v/>
      </c>
      <c r="AJ36" t="str">
        <f>IF(Tabela1[[#This Row],[11]]&lt;&gt;"",IF(ISNUMBER(FIND(",",Tabela1[[#This Row],[11]])),LEN(Tabela1[[#This Row],[11]])-LEN(SUBSTITUTE(Tabela1[[#This Row],[11]],",",""))+1,1),"")</f>
        <v/>
      </c>
      <c r="AK36" t="str">
        <f>IF(Tabela1[[#This Row],[12]]&lt;&gt;"",IF(ISNUMBER(FIND(",",Tabela1[[#This Row],[12]])),LEN(Tabela1[[#This Row],[12]])-LEN(SUBSTITUTE(Tabela1[[#This Row],[12]],",",""))+1,1),"")</f>
        <v/>
      </c>
      <c r="AL36" t="str">
        <f>IF(Tabela1[[#This Row],[13]]&lt;&gt;"",IF(ISNUMBER(FIND(",",Tabela1[[#This Row],[13]])),LEN(Tabela1[[#This Row],[13]])-LEN(SUBSTITUTE(Tabela1[[#This Row],[13]],",",""))+1,1),"")</f>
        <v/>
      </c>
      <c r="AM36" t="str">
        <f>IF(Tabela1[[#This Row],[14]]&lt;&gt;"",IF(ISNUMBER(FIND(",",Tabela1[[#This Row],[14]])),LEN(Tabela1[[#This Row],[14]])-LEN(SUBSTITUTE(Tabela1[[#This Row],[14]],",",""))+1,1),"")</f>
        <v/>
      </c>
      <c r="AN36" t="str">
        <f>IF(Tabela1[[#This Row],[15]]&lt;&gt;"",IF(ISNUMBER(FIND(",",Tabela1[[#This Row],[15]])),LEN(Tabela1[[#This Row],[15]])-LEN(SUBSTITUTE(Tabela1[[#This Row],[15]],",",""))+1,1),"")</f>
        <v/>
      </c>
      <c r="AO36">
        <f>IF(Tabela1[[#This Row],[16]]&lt;&gt;"",IF(ISNUMBER(FIND(",",Tabela1[[#This Row],[16]])),LEN(Tabela1[[#This Row],[16]])-LEN(SUBSTITUTE(Tabela1[[#This Row],[16]],",",""))+1,1),"")</f>
        <v>2</v>
      </c>
      <c r="AP36">
        <f>IF(Tabela1[[#This Row],[17]]&lt;&gt;"",IF(ISNUMBER(FIND(",",Tabela1[[#This Row],[17]])),LEN(Tabela1[[#This Row],[17]])-LEN(SUBSTITUTE(Tabela1[[#This Row],[17]],",",""))+1,1),"")</f>
        <v>1</v>
      </c>
      <c r="AQ36" t="str">
        <f>IF(Tabela1[[#This Row],[18]]&lt;&gt;"",IF(ISNUMBER(FIND(",",Tabela1[[#This Row],[18]])),LEN(Tabela1[[#This Row],[18]])-LEN(SUBSTITUTE(Tabela1[[#This Row],[18]],",",""))+1,1),"")</f>
        <v/>
      </c>
      <c r="AR36" s="13" t="str">
        <f>IF(Tabela1[[#This Row],[19_LENGTH]]&lt;&gt;"",IF(ISNUMBER(FIND(",",Tabela1[[#This Row],[19_LENGTH]])),LEN(Tabela1[[#This Row],[19_LENGTH]])-LEN(SUBSTITUTE(Tabela1[[#This Row],[19_LENGTH]],",",""))+1,1),"")</f>
        <v/>
      </c>
      <c r="AS36">
        <f>SUM(Tabela1[[#This Row],[1_]:[19_]])</f>
        <v>6</v>
      </c>
    </row>
    <row r="37" spans="1:45" x14ac:dyDescent="0.25">
      <c r="A37" s="27" t="s">
        <v>1316</v>
      </c>
      <c r="B37" s="19" t="s">
        <v>317</v>
      </c>
      <c r="C37" s="19">
        <v>202</v>
      </c>
      <c r="D37" s="19" t="s">
        <v>1315</v>
      </c>
      <c r="E37" s="20">
        <v>43442</v>
      </c>
      <c r="F37" s="19"/>
      <c r="G37" s="19"/>
      <c r="H37" s="19" t="s">
        <v>17</v>
      </c>
      <c r="I37" s="19" t="s">
        <v>18</v>
      </c>
      <c r="J37" s="19"/>
      <c r="K37" s="19"/>
      <c r="L37" s="19"/>
      <c r="M37" s="19"/>
      <c r="N37" s="19"/>
      <c r="O37" s="19"/>
      <c r="P37" s="19"/>
      <c r="Q37" s="19"/>
      <c r="R37" s="19"/>
      <c r="S37" s="19"/>
      <c r="T37" s="19"/>
      <c r="U37" s="19"/>
      <c r="V37" s="19">
        <v>198</v>
      </c>
      <c r="W37" s="19"/>
      <c r="X37" s="19"/>
      <c r="Y37" s="19"/>
      <c r="Z37" t="str">
        <f>IF(Tabela1[[#This Row],[1]]&lt;&gt;"",IF(ISNUMBER(FIND(",",Tabela1[[#This Row],[1]])),LEN(Tabela1[[#This Row],[1]])-LEN(SUBSTITUTE(Tabela1[[#This Row],[1]],",",""))+1,1),"")</f>
        <v/>
      </c>
      <c r="AA37" t="str">
        <f>IF(Tabela1[[#This Row],[2]]&lt;&gt;"",IF(ISNUMBER(FIND(",",Tabela1[[#This Row],[2]])),LEN(Tabela1[[#This Row],[2]])-LEN(SUBSTITUTE(Tabela1[[#This Row],[2]],",",""))+1,1),"")</f>
        <v/>
      </c>
      <c r="AB37">
        <f>IF(Tabela1[[#This Row],[3]]&lt;&gt;"",IF(ISNUMBER(FIND(",",Tabela1[[#This Row],[3]])),LEN(Tabela1[[#This Row],[3]])-LEN(SUBSTITUTE(Tabela1[[#This Row],[3]],",",""))+1,1),"")</f>
        <v>1</v>
      </c>
      <c r="AC37">
        <f>IF(Tabela1[[#This Row],[4]]&lt;&gt;"",IF(ISNUMBER(FIND(",",Tabela1[[#This Row],[4]])),LEN(Tabela1[[#This Row],[4]])-LEN(SUBSTITUTE(Tabela1[[#This Row],[4]],",",""))+1,1),"")</f>
        <v>1</v>
      </c>
      <c r="AD37" t="str">
        <f>IF(Tabela1[[#This Row],[5]]&lt;&gt;"",IF(ISNUMBER(FIND(",",Tabela1[[#This Row],[5]])),LEN(Tabela1[[#This Row],[5]])-LEN(SUBSTITUTE(Tabela1[[#This Row],[5]],",",""))+1,1),"")</f>
        <v/>
      </c>
      <c r="AE37" t="str">
        <f>IF(Tabela1[[#This Row],[6]]&lt;&gt;"",IF(ISNUMBER(FIND(",",Tabela1[[#This Row],[6]])),LEN(Tabela1[[#This Row],[6]])-LEN(SUBSTITUTE(Tabela1[[#This Row],[6]],",",""))+1,1),"")</f>
        <v/>
      </c>
      <c r="AF37" t="str">
        <f>IF(Tabela1[[#This Row],[7]]&lt;&gt;"",IF(ISNUMBER(FIND(",",Tabela1[[#This Row],[7]])),LEN(Tabela1[[#This Row],[7]])-LEN(SUBSTITUTE(Tabela1[[#This Row],[7]],",",""))+1,1),"")</f>
        <v/>
      </c>
      <c r="AG37" t="str">
        <f>IF(Tabela1[[#This Row],[8]]&lt;&gt;"",IF(ISNUMBER(FIND(",",Tabela1[[#This Row],[8]])),LEN(Tabela1[[#This Row],[8]])-LEN(SUBSTITUTE(Tabela1[[#This Row],[8]],",",""))+1,1),"")</f>
        <v/>
      </c>
      <c r="AH37" t="str">
        <f>IF(Tabela1[[#This Row],[9]]&lt;&gt;"",IF(ISNUMBER(FIND(",",Tabela1[[#This Row],[9]])),LEN(Tabela1[[#This Row],[9]])-LEN(SUBSTITUTE(Tabela1[[#This Row],[9]],",",""))+1,1),"")</f>
        <v/>
      </c>
      <c r="AI37" t="str">
        <f>IF(Tabela1[[#This Row],[10]]&lt;&gt;"",IF(ISNUMBER(FIND(",",Tabela1[[#This Row],[10]])),LEN(Tabela1[[#This Row],[10]])-LEN(SUBSTITUTE(Tabela1[[#This Row],[10]],",",""))+1,1),"")</f>
        <v/>
      </c>
      <c r="AJ37" t="str">
        <f>IF(Tabela1[[#This Row],[11]]&lt;&gt;"",IF(ISNUMBER(FIND(",",Tabela1[[#This Row],[11]])),LEN(Tabela1[[#This Row],[11]])-LEN(SUBSTITUTE(Tabela1[[#This Row],[11]],",",""))+1,1),"")</f>
        <v/>
      </c>
      <c r="AK37" t="str">
        <f>IF(Tabela1[[#This Row],[12]]&lt;&gt;"",IF(ISNUMBER(FIND(",",Tabela1[[#This Row],[12]])),LEN(Tabela1[[#This Row],[12]])-LEN(SUBSTITUTE(Tabela1[[#This Row],[12]],",",""))+1,1),"")</f>
        <v/>
      </c>
      <c r="AL37" t="str">
        <f>IF(Tabela1[[#This Row],[13]]&lt;&gt;"",IF(ISNUMBER(FIND(",",Tabela1[[#This Row],[13]])),LEN(Tabela1[[#This Row],[13]])-LEN(SUBSTITUTE(Tabela1[[#This Row],[13]],",",""))+1,1),"")</f>
        <v/>
      </c>
      <c r="AM37" t="str">
        <f>IF(Tabela1[[#This Row],[14]]&lt;&gt;"",IF(ISNUMBER(FIND(",",Tabela1[[#This Row],[14]])),LEN(Tabela1[[#This Row],[14]])-LEN(SUBSTITUTE(Tabela1[[#This Row],[14]],",",""))+1,1),"")</f>
        <v/>
      </c>
      <c r="AN37" t="str">
        <f>IF(Tabela1[[#This Row],[15]]&lt;&gt;"",IF(ISNUMBER(FIND(",",Tabela1[[#This Row],[15]])),LEN(Tabela1[[#This Row],[15]])-LEN(SUBSTITUTE(Tabela1[[#This Row],[15]],",",""))+1,1),"")</f>
        <v/>
      </c>
      <c r="AO37" t="str">
        <f>IF(Tabela1[[#This Row],[16]]&lt;&gt;"",IF(ISNUMBER(FIND(",",Tabela1[[#This Row],[16]])),LEN(Tabela1[[#This Row],[16]])-LEN(SUBSTITUTE(Tabela1[[#This Row],[16]],",",""))+1,1),"")</f>
        <v/>
      </c>
      <c r="AP37">
        <f>IF(Tabela1[[#This Row],[17]]&lt;&gt;"",IF(ISNUMBER(FIND(",",Tabela1[[#This Row],[17]])),LEN(Tabela1[[#This Row],[17]])-LEN(SUBSTITUTE(Tabela1[[#This Row],[17]],",",""))+1,1),"")</f>
        <v>1</v>
      </c>
      <c r="AQ37" t="str">
        <f>IF(Tabela1[[#This Row],[18]]&lt;&gt;"",IF(ISNUMBER(FIND(",",Tabela1[[#This Row],[18]])),LEN(Tabela1[[#This Row],[18]])-LEN(SUBSTITUTE(Tabela1[[#This Row],[18]],",",""))+1,1),"")</f>
        <v/>
      </c>
      <c r="AR37" s="13" t="str">
        <f>IF(Tabela1[[#This Row],[19_LENGTH]]&lt;&gt;"",IF(ISNUMBER(FIND(",",Tabela1[[#This Row],[19_LENGTH]])),LEN(Tabela1[[#This Row],[19_LENGTH]])-LEN(SUBSTITUTE(Tabela1[[#This Row],[19_LENGTH]],",",""))+1,1),"")</f>
        <v/>
      </c>
      <c r="AS37">
        <f>SUM(Tabela1[[#This Row],[1_]:[19_]])</f>
        <v>3</v>
      </c>
    </row>
    <row r="38" spans="1:45" x14ac:dyDescent="0.25">
      <c r="A38" s="27" t="s">
        <v>1316</v>
      </c>
      <c r="B38" s="19" t="s">
        <v>953</v>
      </c>
      <c r="C38" s="19">
        <v>202</v>
      </c>
      <c r="D38" s="19" t="s">
        <v>1314</v>
      </c>
      <c r="E38" s="20">
        <v>43442</v>
      </c>
      <c r="F38" s="19"/>
      <c r="G38" s="19"/>
      <c r="H38" s="19">
        <v>130</v>
      </c>
      <c r="I38" s="19">
        <v>7</v>
      </c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t="str">
        <f>IF(Tabela1[[#This Row],[1]]&lt;&gt;"",IF(ISNUMBER(FIND(",",Tabela1[[#This Row],[1]])),LEN(Tabela1[[#This Row],[1]])-LEN(SUBSTITUTE(Tabela1[[#This Row],[1]],",",""))+1,1),"")</f>
        <v/>
      </c>
      <c r="AA38" t="str">
        <f>IF(Tabela1[[#This Row],[2]]&lt;&gt;"",IF(ISNUMBER(FIND(",",Tabela1[[#This Row],[2]])),LEN(Tabela1[[#This Row],[2]])-LEN(SUBSTITUTE(Tabela1[[#This Row],[2]],",",""))+1,1),"")</f>
        <v/>
      </c>
      <c r="AB38">
        <f>IF(Tabela1[[#This Row],[3]]&lt;&gt;"",IF(ISNUMBER(FIND(",",Tabela1[[#This Row],[3]])),LEN(Tabela1[[#This Row],[3]])-LEN(SUBSTITUTE(Tabela1[[#This Row],[3]],",",""))+1,1),"")</f>
        <v>1</v>
      </c>
      <c r="AC38">
        <f>IF(Tabela1[[#This Row],[4]]&lt;&gt;"",IF(ISNUMBER(FIND(",",Tabela1[[#This Row],[4]])),LEN(Tabela1[[#This Row],[4]])-LEN(SUBSTITUTE(Tabela1[[#This Row],[4]],",",""))+1,1),"")</f>
        <v>1</v>
      </c>
      <c r="AD38" t="str">
        <f>IF(Tabela1[[#This Row],[5]]&lt;&gt;"",IF(ISNUMBER(FIND(",",Tabela1[[#This Row],[5]])),LEN(Tabela1[[#This Row],[5]])-LEN(SUBSTITUTE(Tabela1[[#This Row],[5]],",",""))+1,1),"")</f>
        <v/>
      </c>
      <c r="AE38" t="str">
        <f>IF(Tabela1[[#This Row],[6]]&lt;&gt;"",IF(ISNUMBER(FIND(",",Tabela1[[#This Row],[6]])),LEN(Tabela1[[#This Row],[6]])-LEN(SUBSTITUTE(Tabela1[[#This Row],[6]],",",""))+1,1),"")</f>
        <v/>
      </c>
      <c r="AF38" t="str">
        <f>IF(Tabela1[[#This Row],[7]]&lt;&gt;"",IF(ISNUMBER(FIND(",",Tabela1[[#This Row],[7]])),LEN(Tabela1[[#This Row],[7]])-LEN(SUBSTITUTE(Tabela1[[#This Row],[7]],",",""))+1,1),"")</f>
        <v/>
      </c>
      <c r="AG38" t="str">
        <f>IF(Tabela1[[#This Row],[8]]&lt;&gt;"",IF(ISNUMBER(FIND(",",Tabela1[[#This Row],[8]])),LEN(Tabela1[[#This Row],[8]])-LEN(SUBSTITUTE(Tabela1[[#This Row],[8]],",",""))+1,1),"")</f>
        <v/>
      </c>
      <c r="AH38" t="str">
        <f>IF(Tabela1[[#This Row],[9]]&lt;&gt;"",IF(ISNUMBER(FIND(",",Tabela1[[#This Row],[9]])),LEN(Tabela1[[#This Row],[9]])-LEN(SUBSTITUTE(Tabela1[[#This Row],[9]],",",""))+1,1),"")</f>
        <v/>
      </c>
      <c r="AI38" t="str">
        <f>IF(Tabela1[[#This Row],[10]]&lt;&gt;"",IF(ISNUMBER(FIND(",",Tabela1[[#This Row],[10]])),LEN(Tabela1[[#This Row],[10]])-LEN(SUBSTITUTE(Tabela1[[#This Row],[10]],",",""))+1,1),"")</f>
        <v/>
      </c>
      <c r="AJ38" t="str">
        <f>IF(Tabela1[[#This Row],[11]]&lt;&gt;"",IF(ISNUMBER(FIND(",",Tabela1[[#This Row],[11]])),LEN(Tabela1[[#This Row],[11]])-LEN(SUBSTITUTE(Tabela1[[#This Row],[11]],",",""))+1,1),"")</f>
        <v/>
      </c>
      <c r="AK38" t="str">
        <f>IF(Tabela1[[#This Row],[12]]&lt;&gt;"",IF(ISNUMBER(FIND(",",Tabela1[[#This Row],[12]])),LEN(Tabela1[[#This Row],[12]])-LEN(SUBSTITUTE(Tabela1[[#This Row],[12]],",",""))+1,1),"")</f>
        <v/>
      </c>
      <c r="AL38" t="str">
        <f>IF(Tabela1[[#This Row],[13]]&lt;&gt;"",IF(ISNUMBER(FIND(",",Tabela1[[#This Row],[13]])),LEN(Tabela1[[#This Row],[13]])-LEN(SUBSTITUTE(Tabela1[[#This Row],[13]],",",""))+1,1),"")</f>
        <v/>
      </c>
      <c r="AM38" t="str">
        <f>IF(Tabela1[[#This Row],[14]]&lt;&gt;"",IF(ISNUMBER(FIND(",",Tabela1[[#This Row],[14]])),LEN(Tabela1[[#This Row],[14]])-LEN(SUBSTITUTE(Tabela1[[#This Row],[14]],",",""))+1,1),"")</f>
        <v/>
      </c>
      <c r="AN38" t="str">
        <f>IF(Tabela1[[#This Row],[15]]&lt;&gt;"",IF(ISNUMBER(FIND(",",Tabela1[[#This Row],[15]])),LEN(Tabela1[[#This Row],[15]])-LEN(SUBSTITUTE(Tabela1[[#This Row],[15]],",",""))+1,1),"")</f>
        <v/>
      </c>
      <c r="AO38" t="str">
        <f>IF(Tabela1[[#This Row],[16]]&lt;&gt;"",IF(ISNUMBER(FIND(",",Tabela1[[#This Row],[16]])),LEN(Tabela1[[#This Row],[16]])-LEN(SUBSTITUTE(Tabela1[[#This Row],[16]],",",""))+1,1),"")</f>
        <v/>
      </c>
      <c r="AP38" t="str">
        <f>IF(Tabela1[[#This Row],[17]]&lt;&gt;"",IF(ISNUMBER(FIND(",",Tabela1[[#This Row],[17]])),LEN(Tabela1[[#This Row],[17]])-LEN(SUBSTITUTE(Tabela1[[#This Row],[17]],",",""))+1,1),"")</f>
        <v/>
      </c>
      <c r="AQ38" t="str">
        <f>IF(Tabela1[[#This Row],[18]]&lt;&gt;"",IF(ISNUMBER(FIND(",",Tabela1[[#This Row],[18]])),LEN(Tabela1[[#This Row],[18]])-LEN(SUBSTITUTE(Tabela1[[#This Row],[18]],",",""))+1,1),"")</f>
        <v/>
      </c>
      <c r="AR38" s="13" t="str">
        <f>IF(Tabela1[[#This Row],[19_LENGTH]]&lt;&gt;"",IF(ISNUMBER(FIND(",",Tabela1[[#This Row],[19_LENGTH]])),LEN(Tabela1[[#This Row],[19_LENGTH]])-LEN(SUBSTITUTE(Tabela1[[#This Row],[19_LENGTH]],",",""))+1,1),"")</f>
        <v/>
      </c>
      <c r="AS38">
        <f>SUM(Tabela1[[#This Row],[1_]:[19_]])</f>
        <v>2</v>
      </c>
    </row>
    <row r="39" spans="1:45" x14ac:dyDescent="0.25">
      <c r="A39" s="27" t="s">
        <v>1316</v>
      </c>
      <c r="B39" s="19" t="s">
        <v>318</v>
      </c>
      <c r="C39" s="19">
        <v>110</v>
      </c>
      <c r="D39" s="19" t="s">
        <v>1314</v>
      </c>
      <c r="E39" s="20">
        <v>43442</v>
      </c>
      <c r="F39" s="19"/>
      <c r="G39" s="19"/>
      <c r="H39" s="19"/>
      <c r="I39" s="19" t="s">
        <v>19</v>
      </c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t="str">
        <f>IF(Tabela1[[#This Row],[1]]&lt;&gt;"",IF(ISNUMBER(FIND(",",Tabela1[[#This Row],[1]])),LEN(Tabela1[[#This Row],[1]])-LEN(SUBSTITUTE(Tabela1[[#This Row],[1]],",",""))+1,1),"")</f>
        <v/>
      </c>
      <c r="AA39" t="str">
        <f>IF(Tabela1[[#This Row],[2]]&lt;&gt;"",IF(ISNUMBER(FIND(",",Tabela1[[#This Row],[2]])),LEN(Tabela1[[#This Row],[2]])-LEN(SUBSTITUTE(Tabela1[[#This Row],[2]],",",""))+1,1),"")</f>
        <v/>
      </c>
      <c r="AB39" t="str">
        <f>IF(Tabela1[[#This Row],[3]]&lt;&gt;"",IF(ISNUMBER(FIND(",",Tabela1[[#This Row],[3]])),LEN(Tabela1[[#This Row],[3]])-LEN(SUBSTITUTE(Tabela1[[#This Row],[3]],",",""))+1,1),"")</f>
        <v/>
      </c>
      <c r="AC39">
        <f>IF(Tabela1[[#This Row],[4]]&lt;&gt;"",IF(ISNUMBER(FIND(",",Tabela1[[#This Row],[4]])),LEN(Tabela1[[#This Row],[4]])-LEN(SUBSTITUTE(Tabela1[[#This Row],[4]],",",""))+1,1),"")</f>
        <v>3</v>
      </c>
      <c r="AD39" t="str">
        <f>IF(Tabela1[[#This Row],[5]]&lt;&gt;"",IF(ISNUMBER(FIND(",",Tabela1[[#This Row],[5]])),LEN(Tabela1[[#This Row],[5]])-LEN(SUBSTITUTE(Tabela1[[#This Row],[5]],",",""))+1,1),"")</f>
        <v/>
      </c>
      <c r="AE39" t="str">
        <f>IF(Tabela1[[#This Row],[6]]&lt;&gt;"",IF(ISNUMBER(FIND(",",Tabela1[[#This Row],[6]])),LEN(Tabela1[[#This Row],[6]])-LEN(SUBSTITUTE(Tabela1[[#This Row],[6]],",",""))+1,1),"")</f>
        <v/>
      </c>
      <c r="AF39" t="str">
        <f>IF(Tabela1[[#This Row],[7]]&lt;&gt;"",IF(ISNUMBER(FIND(",",Tabela1[[#This Row],[7]])),LEN(Tabela1[[#This Row],[7]])-LEN(SUBSTITUTE(Tabela1[[#This Row],[7]],",",""))+1,1),"")</f>
        <v/>
      </c>
      <c r="AG39" t="str">
        <f>IF(Tabela1[[#This Row],[8]]&lt;&gt;"",IF(ISNUMBER(FIND(",",Tabela1[[#This Row],[8]])),LEN(Tabela1[[#This Row],[8]])-LEN(SUBSTITUTE(Tabela1[[#This Row],[8]],",",""))+1,1),"")</f>
        <v/>
      </c>
      <c r="AH39" t="str">
        <f>IF(Tabela1[[#This Row],[9]]&lt;&gt;"",IF(ISNUMBER(FIND(",",Tabela1[[#This Row],[9]])),LEN(Tabela1[[#This Row],[9]])-LEN(SUBSTITUTE(Tabela1[[#This Row],[9]],",",""))+1,1),"")</f>
        <v/>
      </c>
      <c r="AI39" t="str">
        <f>IF(Tabela1[[#This Row],[10]]&lt;&gt;"",IF(ISNUMBER(FIND(",",Tabela1[[#This Row],[10]])),LEN(Tabela1[[#This Row],[10]])-LEN(SUBSTITUTE(Tabela1[[#This Row],[10]],",",""))+1,1),"")</f>
        <v/>
      </c>
      <c r="AJ39" t="str">
        <f>IF(Tabela1[[#This Row],[11]]&lt;&gt;"",IF(ISNUMBER(FIND(",",Tabela1[[#This Row],[11]])),LEN(Tabela1[[#This Row],[11]])-LEN(SUBSTITUTE(Tabela1[[#This Row],[11]],",",""))+1,1),"")</f>
        <v/>
      </c>
      <c r="AK39" t="str">
        <f>IF(Tabela1[[#This Row],[12]]&lt;&gt;"",IF(ISNUMBER(FIND(",",Tabela1[[#This Row],[12]])),LEN(Tabela1[[#This Row],[12]])-LEN(SUBSTITUTE(Tabela1[[#This Row],[12]],",",""))+1,1),"")</f>
        <v/>
      </c>
      <c r="AL39" t="str">
        <f>IF(Tabela1[[#This Row],[13]]&lt;&gt;"",IF(ISNUMBER(FIND(",",Tabela1[[#This Row],[13]])),LEN(Tabela1[[#This Row],[13]])-LEN(SUBSTITUTE(Tabela1[[#This Row],[13]],",",""))+1,1),"")</f>
        <v/>
      </c>
      <c r="AM39" t="str">
        <f>IF(Tabela1[[#This Row],[14]]&lt;&gt;"",IF(ISNUMBER(FIND(",",Tabela1[[#This Row],[14]])),LEN(Tabela1[[#This Row],[14]])-LEN(SUBSTITUTE(Tabela1[[#This Row],[14]],",",""))+1,1),"")</f>
        <v/>
      </c>
      <c r="AN39" t="str">
        <f>IF(Tabela1[[#This Row],[15]]&lt;&gt;"",IF(ISNUMBER(FIND(",",Tabela1[[#This Row],[15]])),LEN(Tabela1[[#This Row],[15]])-LEN(SUBSTITUTE(Tabela1[[#This Row],[15]],",",""))+1,1),"")</f>
        <v/>
      </c>
      <c r="AO39" t="str">
        <f>IF(Tabela1[[#This Row],[16]]&lt;&gt;"",IF(ISNUMBER(FIND(",",Tabela1[[#This Row],[16]])),LEN(Tabela1[[#This Row],[16]])-LEN(SUBSTITUTE(Tabela1[[#This Row],[16]],",",""))+1,1),"")</f>
        <v/>
      </c>
      <c r="AP39" t="str">
        <f>IF(Tabela1[[#This Row],[17]]&lt;&gt;"",IF(ISNUMBER(FIND(",",Tabela1[[#This Row],[17]])),LEN(Tabela1[[#This Row],[17]])-LEN(SUBSTITUTE(Tabela1[[#This Row],[17]],",",""))+1,1),"")</f>
        <v/>
      </c>
      <c r="AQ39" t="str">
        <f>IF(Tabela1[[#This Row],[18]]&lt;&gt;"",IF(ISNUMBER(FIND(",",Tabela1[[#This Row],[18]])),LEN(Tabela1[[#This Row],[18]])-LEN(SUBSTITUTE(Tabela1[[#This Row],[18]],",",""))+1,1),"")</f>
        <v/>
      </c>
      <c r="AR39" s="13" t="str">
        <f>IF(Tabela1[[#This Row],[19_LENGTH]]&lt;&gt;"",IF(ISNUMBER(FIND(",",Tabela1[[#This Row],[19_LENGTH]])),LEN(Tabela1[[#This Row],[19_LENGTH]])-LEN(SUBSTITUTE(Tabela1[[#This Row],[19_LENGTH]],",",""))+1,1),"")</f>
        <v/>
      </c>
      <c r="AS39">
        <f>SUM(Tabela1[[#This Row],[1_]:[19_]])</f>
        <v>3</v>
      </c>
    </row>
    <row r="40" spans="1:45" x14ac:dyDescent="0.25">
      <c r="A40" s="27" t="s">
        <v>1316</v>
      </c>
      <c r="B40" s="19" t="s">
        <v>319</v>
      </c>
      <c r="C40" s="19">
        <v>202</v>
      </c>
      <c r="D40" s="19" t="s">
        <v>1314</v>
      </c>
      <c r="E40" s="20">
        <v>43442</v>
      </c>
      <c r="F40" s="19"/>
      <c r="G40" s="19"/>
      <c r="H40" s="19" t="s">
        <v>20</v>
      </c>
      <c r="I40" s="19">
        <v>129</v>
      </c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t="str">
        <f>IF(Tabela1[[#This Row],[1]]&lt;&gt;"",IF(ISNUMBER(FIND(",",Tabela1[[#This Row],[1]])),LEN(Tabela1[[#This Row],[1]])-LEN(SUBSTITUTE(Tabela1[[#This Row],[1]],",",""))+1,1),"")</f>
        <v/>
      </c>
      <c r="AA40" t="str">
        <f>IF(Tabela1[[#This Row],[2]]&lt;&gt;"",IF(ISNUMBER(FIND(",",Tabela1[[#This Row],[2]])),LEN(Tabela1[[#This Row],[2]])-LEN(SUBSTITUTE(Tabela1[[#This Row],[2]],",",""))+1,1),"")</f>
        <v/>
      </c>
      <c r="AB40">
        <f>IF(Tabela1[[#This Row],[3]]&lt;&gt;"",IF(ISNUMBER(FIND(",",Tabela1[[#This Row],[3]])),LEN(Tabela1[[#This Row],[3]])-LEN(SUBSTITUTE(Tabela1[[#This Row],[3]],",",""))+1,1),"")</f>
        <v>1</v>
      </c>
      <c r="AC40">
        <f>IF(Tabela1[[#This Row],[4]]&lt;&gt;"",IF(ISNUMBER(FIND(",",Tabela1[[#This Row],[4]])),LEN(Tabela1[[#This Row],[4]])-LEN(SUBSTITUTE(Tabela1[[#This Row],[4]],",",""))+1,1),"")</f>
        <v>1</v>
      </c>
      <c r="AD40" t="str">
        <f>IF(Tabela1[[#This Row],[5]]&lt;&gt;"",IF(ISNUMBER(FIND(",",Tabela1[[#This Row],[5]])),LEN(Tabela1[[#This Row],[5]])-LEN(SUBSTITUTE(Tabela1[[#This Row],[5]],",",""))+1,1),"")</f>
        <v/>
      </c>
      <c r="AE40" t="str">
        <f>IF(Tabela1[[#This Row],[6]]&lt;&gt;"",IF(ISNUMBER(FIND(",",Tabela1[[#This Row],[6]])),LEN(Tabela1[[#This Row],[6]])-LEN(SUBSTITUTE(Tabela1[[#This Row],[6]],",",""))+1,1),"")</f>
        <v/>
      </c>
      <c r="AF40" t="str">
        <f>IF(Tabela1[[#This Row],[7]]&lt;&gt;"",IF(ISNUMBER(FIND(",",Tabela1[[#This Row],[7]])),LEN(Tabela1[[#This Row],[7]])-LEN(SUBSTITUTE(Tabela1[[#This Row],[7]],",",""))+1,1),"")</f>
        <v/>
      </c>
      <c r="AG40" t="str">
        <f>IF(Tabela1[[#This Row],[8]]&lt;&gt;"",IF(ISNUMBER(FIND(",",Tabela1[[#This Row],[8]])),LEN(Tabela1[[#This Row],[8]])-LEN(SUBSTITUTE(Tabela1[[#This Row],[8]],",",""))+1,1),"")</f>
        <v/>
      </c>
      <c r="AH40" t="str">
        <f>IF(Tabela1[[#This Row],[9]]&lt;&gt;"",IF(ISNUMBER(FIND(",",Tabela1[[#This Row],[9]])),LEN(Tabela1[[#This Row],[9]])-LEN(SUBSTITUTE(Tabela1[[#This Row],[9]],",",""))+1,1),"")</f>
        <v/>
      </c>
      <c r="AI40" t="str">
        <f>IF(Tabela1[[#This Row],[10]]&lt;&gt;"",IF(ISNUMBER(FIND(",",Tabela1[[#This Row],[10]])),LEN(Tabela1[[#This Row],[10]])-LEN(SUBSTITUTE(Tabela1[[#This Row],[10]],",",""))+1,1),"")</f>
        <v/>
      </c>
      <c r="AJ40" t="str">
        <f>IF(Tabela1[[#This Row],[11]]&lt;&gt;"",IF(ISNUMBER(FIND(",",Tabela1[[#This Row],[11]])),LEN(Tabela1[[#This Row],[11]])-LEN(SUBSTITUTE(Tabela1[[#This Row],[11]],",",""))+1,1),"")</f>
        <v/>
      </c>
      <c r="AK40" t="str">
        <f>IF(Tabela1[[#This Row],[12]]&lt;&gt;"",IF(ISNUMBER(FIND(",",Tabela1[[#This Row],[12]])),LEN(Tabela1[[#This Row],[12]])-LEN(SUBSTITUTE(Tabela1[[#This Row],[12]],",",""))+1,1),"")</f>
        <v/>
      </c>
      <c r="AL40" t="str">
        <f>IF(Tabela1[[#This Row],[13]]&lt;&gt;"",IF(ISNUMBER(FIND(",",Tabela1[[#This Row],[13]])),LEN(Tabela1[[#This Row],[13]])-LEN(SUBSTITUTE(Tabela1[[#This Row],[13]],",",""))+1,1),"")</f>
        <v/>
      </c>
      <c r="AM40" t="str">
        <f>IF(Tabela1[[#This Row],[14]]&lt;&gt;"",IF(ISNUMBER(FIND(",",Tabela1[[#This Row],[14]])),LEN(Tabela1[[#This Row],[14]])-LEN(SUBSTITUTE(Tabela1[[#This Row],[14]],",",""))+1,1),"")</f>
        <v/>
      </c>
      <c r="AN40" t="str">
        <f>IF(Tabela1[[#This Row],[15]]&lt;&gt;"",IF(ISNUMBER(FIND(",",Tabela1[[#This Row],[15]])),LEN(Tabela1[[#This Row],[15]])-LEN(SUBSTITUTE(Tabela1[[#This Row],[15]],",",""))+1,1),"")</f>
        <v/>
      </c>
      <c r="AO40" t="str">
        <f>IF(Tabela1[[#This Row],[16]]&lt;&gt;"",IF(ISNUMBER(FIND(",",Tabela1[[#This Row],[16]])),LEN(Tabela1[[#This Row],[16]])-LEN(SUBSTITUTE(Tabela1[[#This Row],[16]],",",""))+1,1),"")</f>
        <v/>
      </c>
      <c r="AP40" t="str">
        <f>IF(Tabela1[[#This Row],[17]]&lt;&gt;"",IF(ISNUMBER(FIND(",",Tabela1[[#This Row],[17]])),LEN(Tabela1[[#This Row],[17]])-LEN(SUBSTITUTE(Tabela1[[#This Row],[17]],",",""))+1,1),"")</f>
        <v/>
      </c>
      <c r="AQ40" t="str">
        <f>IF(Tabela1[[#This Row],[18]]&lt;&gt;"",IF(ISNUMBER(FIND(",",Tabela1[[#This Row],[18]])),LEN(Tabela1[[#This Row],[18]])-LEN(SUBSTITUTE(Tabela1[[#This Row],[18]],",",""))+1,1),"")</f>
        <v/>
      </c>
      <c r="AR40" s="13" t="str">
        <f>IF(Tabela1[[#This Row],[19_LENGTH]]&lt;&gt;"",IF(ISNUMBER(FIND(",",Tabela1[[#This Row],[19_LENGTH]])),LEN(Tabela1[[#This Row],[19_LENGTH]])-LEN(SUBSTITUTE(Tabela1[[#This Row],[19_LENGTH]],",",""))+1,1),"")</f>
        <v/>
      </c>
      <c r="AS40">
        <f>SUM(Tabela1[[#This Row],[1_]:[19_]])</f>
        <v>2</v>
      </c>
    </row>
    <row r="41" spans="1:45" x14ac:dyDescent="0.25">
      <c r="A41" s="27" t="s">
        <v>1316</v>
      </c>
      <c r="B41" s="19" t="s">
        <v>320</v>
      </c>
      <c r="C41" s="19">
        <v>202</v>
      </c>
      <c r="D41" s="19" t="s">
        <v>1314</v>
      </c>
      <c r="E41" s="20">
        <v>43442</v>
      </c>
      <c r="F41" s="19"/>
      <c r="G41" s="19"/>
      <c r="H41" s="19"/>
      <c r="I41" s="19">
        <v>188</v>
      </c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t="str">
        <f>IF(Tabela1[[#This Row],[1]]&lt;&gt;"",IF(ISNUMBER(FIND(",",Tabela1[[#This Row],[1]])),LEN(Tabela1[[#This Row],[1]])-LEN(SUBSTITUTE(Tabela1[[#This Row],[1]],",",""))+1,1),"")</f>
        <v/>
      </c>
      <c r="AA41" t="str">
        <f>IF(Tabela1[[#This Row],[2]]&lt;&gt;"",IF(ISNUMBER(FIND(",",Tabela1[[#This Row],[2]])),LEN(Tabela1[[#This Row],[2]])-LEN(SUBSTITUTE(Tabela1[[#This Row],[2]],",",""))+1,1),"")</f>
        <v/>
      </c>
      <c r="AB41" t="str">
        <f>IF(Tabela1[[#This Row],[3]]&lt;&gt;"",IF(ISNUMBER(FIND(",",Tabela1[[#This Row],[3]])),LEN(Tabela1[[#This Row],[3]])-LEN(SUBSTITUTE(Tabela1[[#This Row],[3]],",",""))+1,1),"")</f>
        <v/>
      </c>
      <c r="AC41">
        <f>IF(Tabela1[[#This Row],[4]]&lt;&gt;"",IF(ISNUMBER(FIND(",",Tabela1[[#This Row],[4]])),LEN(Tabela1[[#This Row],[4]])-LEN(SUBSTITUTE(Tabela1[[#This Row],[4]],",",""))+1,1),"")</f>
        <v>1</v>
      </c>
      <c r="AD41" t="str">
        <f>IF(Tabela1[[#This Row],[5]]&lt;&gt;"",IF(ISNUMBER(FIND(",",Tabela1[[#This Row],[5]])),LEN(Tabela1[[#This Row],[5]])-LEN(SUBSTITUTE(Tabela1[[#This Row],[5]],",",""))+1,1),"")</f>
        <v/>
      </c>
      <c r="AE41" t="str">
        <f>IF(Tabela1[[#This Row],[6]]&lt;&gt;"",IF(ISNUMBER(FIND(",",Tabela1[[#This Row],[6]])),LEN(Tabela1[[#This Row],[6]])-LEN(SUBSTITUTE(Tabela1[[#This Row],[6]],",",""))+1,1),"")</f>
        <v/>
      </c>
      <c r="AF41" t="str">
        <f>IF(Tabela1[[#This Row],[7]]&lt;&gt;"",IF(ISNUMBER(FIND(",",Tabela1[[#This Row],[7]])),LEN(Tabela1[[#This Row],[7]])-LEN(SUBSTITUTE(Tabela1[[#This Row],[7]],",",""))+1,1),"")</f>
        <v/>
      </c>
      <c r="AG41" t="str">
        <f>IF(Tabela1[[#This Row],[8]]&lt;&gt;"",IF(ISNUMBER(FIND(",",Tabela1[[#This Row],[8]])),LEN(Tabela1[[#This Row],[8]])-LEN(SUBSTITUTE(Tabela1[[#This Row],[8]],",",""))+1,1),"")</f>
        <v/>
      </c>
      <c r="AH41" t="str">
        <f>IF(Tabela1[[#This Row],[9]]&lt;&gt;"",IF(ISNUMBER(FIND(",",Tabela1[[#This Row],[9]])),LEN(Tabela1[[#This Row],[9]])-LEN(SUBSTITUTE(Tabela1[[#This Row],[9]],",",""))+1,1),"")</f>
        <v/>
      </c>
      <c r="AI41" t="str">
        <f>IF(Tabela1[[#This Row],[10]]&lt;&gt;"",IF(ISNUMBER(FIND(",",Tabela1[[#This Row],[10]])),LEN(Tabela1[[#This Row],[10]])-LEN(SUBSTITUTE(Tabela1[[#This Row],[10]],",",""))+1,1),"")</f>
        <v/>
      </c>
      <c r="AJ41" t="str">
        <f>IF(Tabela1[[#This Row],[11]]&lt;&gt;"",IF(ISNUMBER(FIND(",",Tabela1[[#This Row],[11]])),LEN(Tabela1[[#This Row],[11]])-LEN(SUBSTITUTE(Tabela1[[#This Row],[11]],",",""))+1,1),"")</f>
        <v/>
      </c>
      <c r="AK41" t="str">
        <f>IF(Tabela1[[#This Row],[12]]&lt;&gt;"",IF(ISNUMBER(FIND(",",Tabela1[[#This Row],[12]])),LEN(Tabela1[[#This Row],[12]])-LEN(SUBSTITUTE(Tabela1[[#This Row],[12]],",",""))+1,1),"")</f>
        <v/>
      </c>
      <c r="AL41" t="str">
        <f>IF(Tabela1[[#This Row],[13]]&lt;&gt;"",IF(ISNUMBER(FIND(",",Tabela1[[#This Row],[13]])),LEN(Tabela1[[#This Row],[13]])-LEN(SUBSTITUTE(Tabela1[[#This Row],[13]],",",""))+1,1),"")</f>
        <v/>
      </c>
      <c r="AM41" t="str">
        <f>IF(Tabela1[[#This Row],[14]]&lt;&gt;"",IF(ISNUMBER(FIND(",",Tabela1[[#This Row],[14]])),LEN(Tabela1[[#This Row],[14]])-LEN(SUBSTITUTE(Tabela1[[#This Row],[14]],",",""))+1,1),"")</f>
        <v/>
      </c>
      <c r="AN41" t="str">
        <f>IF(Tabela1[[#This Row],[15]]&lt;&gt;"",IF(ISNUMBER(FIND(",",Tabela1[[#This Row],[15]])),LEN(Tabela1[[#This Row],[15]])-LEN(SUBSTITUTE(Tabela1[[#This Row],[15]],",",""))+1,1),"")</f>
        <v/>
      </c>
      <c r="AO41" t="str">
        <f>IF(Tabela1[[#This Row],[16]]&lt;&gt;"",IF(ISNUMBER(FIND(",",Tabela1[[#This Row],[16]])),LEN(Tabela1[[#This Row],[16]])-LEN(SUBSTITUTE(Tabela1[[#This Row],[16]],",",""))+1,1),"")</f>
        <v/>
      </c>
      <c r="AP41" t="str">
        <f>IF(Tabela1[[#This Row],[17]]&lt;&gt;"",IF(ISNUMBER(FIND(",",Tabela1[[#This Row],[17]])),LEN(Tabela1[[#This Row],[17]])-LEN(SUBSTITUTE(Tabela1[[#This Row],[17]],",",""))+1,1),"")</f>
        <v/>
      </c>
      <c r="AQ41" t="str">
        <f>IF(Tabela1[[#This Row],[18]]&lt;&gt;"",IF(ISNUMBER(FIND(",",Tabela1[[#This Row],[18]])),LEN(Tabela1[[#This Row],[18]])-LEN(SUBSTITUTE(Tabela1[[#This Row],[18]],",",""))+1,1),"")</f>
        <v/>
      </c>
      <c r="AR41" s="13" t="str">
        <f>IF(Tabela1[[#This Row],[19_LENGTH]]&lt;&gt;"",IF(ISNUMBER(FIND(",",Tabela1[[#This Row],[19_LENGTH]])),LEN(Tabela1[[#This Row],[19_LENGTH]])-LEN(SUBSTITUTE(Tabela1[[#This Row],[19_LENGTH]],",",""))+1,1),"")</f>
        <v/>
      </c>
      <c r="AS41">
        <f>SUM(Tabela1[[#This Row],[1_]:[19_]])</f>
        <v>1</v>
      </c>
    </row>
    <row r="42" spans="1:45" x14ac:dyDescent="0.25">
      <c r="A42" s="27" t="s">
        <v>1316</v>
      </c>
      <c r="B42" s="19" t="s">
        <v>678</v>
      </c>
      <c r="C42" s="19">
        <v>202</v>
      </c>
      <c r="D42" s="19" t="s">
        <v>1298</v>
      </c>
      <c r="E42" s="20">
        <v>43442</v>
      </c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>
        <v>150</v>
      </c>
      <c r="V42" s="19"/>
      <c r="W42" s="19"/>
      <c r="X42" s="19"/>
      <c r="Y42" s="19"/>
      <c r="Z42" t="str">
        <f>IF(Tabela1[[#This Row],[1]]&lt;&gt;"",IF(ISNUMBER(FIND(",",Tabela1[[#This Row],[1]])),LEN(Tabela1[[#This Row],[1]])-LEN(SUBSTITUTE(Tabela1[[#This Row],[1]],",",""))+1,1),"")</f>
        <v/>
      </c>
      <c r="AA42" t="str">
        <f>IF(Tabela1[[#This Row],[2]]&lt;&gt;"",IF(ISNUMBER(FIND(",",Tabela1[[#This Row],[2]])),LEN(Tabela1[[#This Row],[2]])-LEN(SUBSTITUTE(Tabela1[[#This Row],[2]],",",""))+1,1),"")</f>
        <v/>
      </c>
      <c r="AB42" t="str">
        <f>IF(Tabela1[[#This Row],[3]]&lt;&gt;"",IF(ISNUMBER(FIND(",",Tabela1[[#This Row],[3]])),LEN(Tabela1[[#This Row],[3]])-LEN(SUBSTITUTE(Tabela1[[#This Row],[3]],",",""))+1,1),"")</f>
        <v/>
      </c>
      <c r="AC42" t="str">
        <f>IF(Tabela1[[#This Row],[4]]&lt;&gt;"",IF(ISNUMBER(FIND(",",Tabela1[[#This Row],[4]])),LEN(Tabela1[[#This Row],[4]])-LEN(SUBSTITUTE(Tabela1[[#This Row],[4]],",",""))+1,1),"")</f>
        <v/>
      </c>
      <c r="AD42" t="str">
        <f>IF(Tabela1[[#This Row],[5]]&lt;&gt;"",IF(ISNUMBER(FIND(",",Tabela1[[#This Row],[5]])),LEN(Tabela1[[#This Row],[5]])-LEN(SUBSTITUTE(Tabela1[[#This Row],[5]],",",""))+1,1),"")</f>
        <v/>
      </c>
      <c r="AE42" t="str">
        <f>IF(Tabela1[[#This Row],[6]]&lt;&gt;"",IF(ISNUMBER(FIND(",",Tabela1[[#This Row],[6]])),LEN(Tabela1[[#This Row],[6]])-LEN(SUBSTITUTE(Tabela1[[#This Row],[6]],",",""))+1,1),"")</f>
        <v/>
      </c>
      <c r="AF42" t="str">
        <f>IF(Tabela1[[#This Row],[7]]&lt;&gt;"",IF(ISNUMBER(FIND(",",Tabela1[[#This Row],[7]])),LEN(Tabela1[[#This Row],[7]])-LEN(SUBSTITUTE(Tabela1[[#This Row],[7]],",",""))+1,1),"")</f>
        <v/>
      </c>
      <c r="AG42" t="str">
        <f>IF(Tabela1[[#This Row],[8]]&lt;&gt;"",IF(ISNUMBER(FIND(",",Tabela1[[#This Row],[8]])),LEN(Tabela1[[#This Row],[8]])-LEN(SUBSTITUTE(Tabela1[[#This Row],[8]],",",""))+1,1),"")</f>
        <v/>
      </c>
      <c r="AH42" t="str">
        <f>IF(Tabela1[[#This Row],[9]]&lt;&gt;"",IF(ISNUMBER(FIND(",",Tabela1[[#This Row],[9]])),LEN(Tabela1[[#This Row],[9]])-LEN(SUBSTITUTE(Tabela1[[#This Row],[9]],",",""))+1,1),"")</f>
        <v/>
      </c>
      <c r="AI42" t="str">
        <f>IF(Tabela1[[#This Row],[10]]&lt;&gt;"",IF(ISNUMBER(FIND(",",Tabela1[[#This Row],[10]])),LEN(Tabela1[[#This Row],[10]])-LEN(SUBSTITUTE(Tabela1[[#This Row],[10]],",",""))+1,1),"")</f>
        <v/>
      </c>
      <c r="AJ42" t="str">
        <f>IF(Tabela1[[#This Row],[11]]&lt;&gt;"",IF(ISNUMBER(FIND(",",Tabela1[[#This Row],[11]])),LEN(Tabela1[[#This Row],[11]])-LEN(SUBSTITUTE(Tabela1[[#This Row],[11]],",",""))+1,1),"")</f>
        <v/>
      </c>
      <c r="AK42" t="str">
        <f>IF(Tabela1[[#This Row],[12]]&lt;&gt;"",IF(ISNUMBER(FIND(",",Tabela1[[#This Row],[12]])),LEN(Tabela1[[#This Row],[12]])-LEN(SUBSTITUTE(Tabela1[[#This Row],[12]],",",""))+1,1),"")</f>
        <v/>
      </c>
      <c r="AL42" t="str">
        <f>IF(Tabela1[[#This Row],[13]]&lt;&gt;"",IF(ISNUMBER(FIND(",",Tabela1[[#This Row],[13]])),LEN(Tabela1[[#This Row],[13]])-LEN(SUBSTITUTE(Tabela1[[#This Row],[13]],",",""))+1,1),"")</f>
        <v/>
      </c>
      <c r="AM42" t="str">
        <f>IF(Tabela1[[#This Row],[14]]&lt;&gt;"",IF(ISNUMBER(FIND(",",Tabela1[[#This Row],[14]])),LEN(Tabela1[[#This Row],[14]])-LEN(SUBSTITUTE(Tabela1[[#This Row],[14]],",",""))+1,1),"")</f>
        <v/>
      </c>
      <c r="AN42" t="str">
        <f>IF(Tabela1[[#This Row],[15]]&lt;&gt;"",IF(ISNUMBER(FIND(",",Tabela1[[#This Row],[15]])),LEN(Tabela1[[#This Row],[15]])-LEN(SUBSTITUTE(Tabela1[[#This Row],[15]],",",""))+1,1),"")</f>
        <v/>
      </c>
      <c r="AO42">
        <f>IF(Tabela1[[#This Row],[16]]&lt;&gt;"",IF(ISNUMBER(FIND(",",Tabela1[[#This Row],[16]])),LEN(Tabela1[[#This Row],[16]])-LEN(SUBSTITUTE(Tabela1[[#This Row],[16]],",",""))+1,1),"")</f>
        <v>1</v>
      </c>
      <c r="AP42" t="str">
        <f>IF(Tabela1[[#This Row],[17]]&lt;&gt;"",IF(ISNUMBER(FIND(",",Tabela1[[#This Row],[17]])),LEN(Tabela1[[#This Row],[17]])-LEN(SUBSTITUTE(Tabela1[[#This Row],[17]],",",""))+1,1),"")</f>
        <v/>
      </c>
      <c r="AQ42" t="str">
        <f>IF(Tabela1[[#This Row],[18]]&lt;&gt;"",IF(ISNUMBER(FIND(",",Tabela1[[#This Row],[18]])),LEN(Tabela1[[#This Row],[18]])-LEN(SUBSTITUTE(Tabela1[[#This Row],[18]],",",""))+1,1),"")</f>
        <v/>
      </c>
      <c r="AR42" s="13" t="str">
        <f>IF(Tabela1[[#This Row],[19_LENGTH]]&lt;&gt;"",IF(ISNUMBER(FIND(",",Tabela1[[#This Row],[19_LENGTH]])),LEN(Tabela1[[#This Row],[19_LENGTH]])-LEN(SUBSTITUTE(Tabela1[[#This Row],[19_LENGTH]],",",""))+1,1),"")</f>
        <v/>
      </c>
      <c r="AS42">
        <f>SUM(Tabela1[[#This Row],[1_]:[19_]])</f>
        <v>1</v>
      </c>
    </row>
    <row r="43" spans="1:45" x14ac:dyDescent="0.25">
      <c r="A43" s="27" t="s">
        <v>1316</v>
      </c>
      <c r="B43" s="19" t="s">
        <v>679</v>
      </c>
      <c r="C43" s="19">
        <v>202</v>
      </c>
      <c r="D43" s="19" t="s">
        <v>1300</v>
      </c>
      <c r="E43" s="20">
        <v>43442</v>
      </c>
      <c r="F43" s="19"/>
      <c r="G43" s="19"/>
      <c r="H43" s="19"/>
      <c r="I43" s="19">
        <v>159</v>
      </c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t="str">
        <f>IF(Tabela1[[#This Row],[1]]&lt;&gt;"",IF(ISNUMBER(FIND(",",Tabela1[[#This Row],[1]])),LEN(Tabela1[[#This Row],[1]])-LEN(SUBSTITUTE(Tabela1[[#This Row],[1]],",",""))+1,1),"")</f>
        <v/>
      </c>
      <c r="AA43" t="str">
        <f>IF(Tabela1[[#This Row],[2]]&lt;&gt;"",IF(ISNUMBER(FIND(",",Tabela1[[#This Row],[2]])),LEN(Tabela1[[#This Row],[2]])-LEN(SUBSTITUTE(Tabela1[[#This Row],[2]],",",""))+1,1),"")</f>
        <v/>
      </c>
      <c r="AB43" t="str">
        <f>IF(Tabela1[[#This Row],[3]]&lt;&gt;"",IF(ISNUMBER(FIND(",",Tabela1[[#This Row],[3]])),LEN(Tabela1[[#This Row],[3]])-LEN(SUBSTITUTE(Tabela1[[#This Row],[3]],",",""))+1,1),"")</f>
        <v/>
      </c>
      <c r="AC43">
        <f>IF(Tabela1[[#This Row],[4]]&lt;&gt;"",IF(ISNUMBER(FIND(",",Tabela1[[#This Row],[4]])),LEN(Tabela1[[#This Row],[4]])-LEN(SUBSTITUTE(Tabela1[[#This Row],[4]],",",""))+1,1),"")</f>
        <v>1</v>
      </c>
      <c r="AD43" t="str">
        <f>IF(Tabela1[[#This Row],[5]]&lt;&gt;"",IF(ISNUMBER(FIND(",",Tabela1[[#This Row],[5]])),LEN(Tabela1[[#This Row],[5]])-LEN(SUBSTITUTE(Tabela1[[#This Row],[5]],",",""))+1,1),"")</f>
        <v/>
      </c>
      <c r="AE43" t="str">
        <f>IF(Tabela1[[#This Row],[6]]&lt;&gt;"",IF(ISNUMBER(FIND(",",Tabela1[[#This Row],[6]])),LEN(Tabela1[[#This Row],[6]])-LEN(SUBSTITUTE(Tabela1[[#This Row],[6]],",",""))+1,1),"")</f>
        <v/>
      </c>
      <c r="AF43" t="str">
        <f>IF(Tabela1[[#This Row],[7]]&lt;&gt;"",IF(ISNUMBER(FIND(",",Tabela1[[#This Row],[7]])),LEN(Tabela1[[#This Row],[7]])-LEN(SUBSTITUTE(Tabela1[[#This Row],[7]],",",""))+1,1),"")</f>
        <v/>
      </c>
      <c r="AG43" t="str">
        <f>IF(Tabela1[[#This Row],[8]]&lt;&gt;"",IF(ISNUMBER(FIND(",",Tabela1[[#This Row],[8]])),LEN(Tabela1[[#This Row],[8]])-LEN(SUBSTITUTE(Tabela1[[#This Row],[8]],",",""))+1,1),"")</f>
        <v/>
      </c>
      <c r="AH43" t="str">
        <f>IF(Tabela1[[#This Row],[9]]&lt;&gt;"",IF(ISNUMBER(FIND(",",Tabela1[[#This Row],[9]])),LEN(Tabela1[[#This Row],[9]])-LEN(SUBSTITUTE(Tabela1[[#This Row],[9]],",",""))+1,1),"")</f>
        <v/>
      </c>
      <c r="AI43" t="str">
        <f>IF(Tabela1[[#This Row],[10]]&lt;&gt;"",IF(ISNUMBER(FIND(",",Tabela1[[#This Row],[10]])),LEN(Tabela1[[#This Row],[10]])-LEN(SUBSTITUTE(Tabela1[[#This Row],[10]],",",""))+1,1),"")</f>
        <v/>
      </c>
      <c r="AJ43" t="str">
        <f>IF(Tabela1[[#This Row],[11]]&lt;&gt;"",IF(ISNUMBER(FIND(",",Tabela1[[#This Row],[11]])),LEN(Tabela1[[#This Row],[11]])-LEN(SUBSTITUTE(Tabela1[[#This Row],[11]],",",""))+1,1),"")</f>
        <v/>
      </c>
      <c r="AK43" t="str">
        <f>IF(Tabela1[[#This Row],[12]]&lt;&gt;"",IF(ISNUMBER(FIND(",",Tabela1[[#This Row],[12]])),LEN(Tabela1[[#This Row],[12]])-LEN(SUBSTITUTE(Tabela1[[#This Row],[12]],",",""))+1,1),"")</f>
        <v/>
      </c>
      <c r="AL43" t="str">
        <f>IF(Tabela1[[#This Row],[13]]&lt;&gt;"",IF(ISNUMBER(FIND(",",Tabela1[[#This Row],[13]])),LEN(Tabela1[[#This Row],[13]])-LEN(SUBSTITUTE(Tabela1[[#This Row],[13]],",",""))+1,1),"")</f>
        <v/>
      </c>
      <c r="AM43" t="str">
        <f>IF(Tabela1[[#This Row],[14]]&lt;&gt;"",IF(ISNUMBER(FIND(",",Tabela1[[#This Row],[14]])),LEN(Tabela1[[#This Row],[14]])-LEN(SUBSTITUTE(Tabela1[[#This Row],[14]],",",""))+1,1),"")</f>
        <v/>
      </c>
      <c r="AN43" t="str">
        <f>IF(Tabela1[[#This Row],[15]]&lt;&gt;"",IF(ISNUMBER(FIND(",",Tabela1[[#This Row],[15]])),LEN(Tabela1[[#This Row],[15]])-LEN(SUBSTITUTE(Tabela1[[#This Row],[15]],",",""))+1,1),"")</f>
        <v/>
      </c>
      <c r="AO43" t="str">
        <f>IF(Tabela1[[#This Row],[16]]&lt;&gt;"",IF(ISNUMBER(FIND(",",Tabela1[[#This Row],[16]])),LEN(Tabela1[[#This Row],[16]])-LEN(SUBSTITUTE(Tabela1[[#This Row],[16]],",",""))+1,1),"")</f>
        <v/>
      </c>
      <c r="AP43" t="str">
        <f>IF(Tabela1[[#This Row],[17]]&lt;&gt;"",IF(ISNUMBER(FIND(",",Tabela1[[#This Row],[17]])),LEN(Tabela1[[#This Row],[17]])-LEN(SUBSTITUTE(Tabela1[[#This Row],[17]],",",""))+1,1),"")</f>
        <v/>
      </c>
      <c r="AQ43" t="str">
        <f>IF(Tabela1[[#This Row],[18]]&lt;&gt;"",IF(ISNUMBER(FIND(",",Tabela1[[#This Row],[18]])),LEN(Tabela1[[#This Row],[18]])-LEN(SUBSTITUTE(Tabela1[[#This Row],[18]],",",""))+1,1),"")</f>
        <v/>
      </c>
      <c r="AR43" s="13" t="str">
        <f>IF(Tabela1[[#This Row],[19_LENGTH]]&lt;&gt;"",IF(ISNUMBER(FIND(",",Tabela1[[#This Row],[19_LENGTH]])),LEN(Tabela1[[#This Row],[19_LENGTH]])-LEN(SUBSTITUTE(Tabela1[[#This Row],[19_LENGTH]],",",""))+1,1),"")</f>
        <v/>
      </c>
      <c r="AS43">
        <f>SUM(Tabela1[[#This Row],[1_]:[19_]])</f>
        <v>1</v>
      </c>
    </row>
    <row r="44" spans="1:45" x14ac:dyDescent="0.25">
      <c r="A44" s="27" t="s">
        <v>1316</v>
      </c>
      <c r="B44" s="19" t="s">
        <v>680</v>
      </c>
      <c r="C44" s="19">
        <v>202</v>
      </c>
      <c r="D44" s="19" t="s">
        <v>1300</v>
      </c>
      <c r="E44" s="20">
        <v>43442</v>
      </c>
      <c r="F44" s="19"/>
      <c r="G44" s="19"/>
      <c r="H44" s="19"/>
      <c r="I44" s="19" t="s">
        <v>21</v>
      </c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t="str">
        <f>IF(Tabela1[[#This Row],[1]]&lt;&gt;"",IF(ISNUMBER(FIND(",",Tabela1[[#This Row],[1]])),LEN(Tabela1[[#This Row],[1]])-LEN(SUBSTITUTE(Tabela1[[#This Row],[1]],",",""))+1,1),"")</f>
        <v/>
      </c>
      <c r="AA44" t="str">
        <f>IF(Tabela1[[#This Row],[2]]&lt;&gt;"",IF(ISNUMBER(FIND(",",Tabela1[[#This Row],[2]])),LEN(Tabela1[[#This Row],[2]])-LEN(SUBSTITUTE(Tabela1[[#This Row],[2]],",",""))+1,1),"")</f>
        <v/>
      </c>
      <c r="AB44" t="str">
        <f>IF(Tabela1[[#This Row],[3]]&lt;&gt;"",IF(ISNUMBER(FIND(",",Tabela1[[#This Row],[3]])),LEN(Tabela1[[#This Row],[3]])-LEN(SUBSTITUTE(Tabela1[[#This Row],[3]],",",""))+1,1),"")</f>
        <v/>
      </c>
      <c r="AC44">
        <f>IF(Tabela1[[#This Row],[4]]&lt;&gt;"",IF(ISNUMBER(FIND(",",Tabela1[[#This Row],[4]])),LEN(Tabela1[[#This Row],[4]])-LEN(SUBSTITUTE(Tabela1[[#This Row],[4]],",",""))+1,1),"")</f>
        <v>5</v>
      </c>
      <c r="AD44" t="str">
        <f>IF(Tabela1[[#This Row],[5]]&lt;&gt;"",IF(ISNUMBER(FIND(",",Tabela1[[#This Row],[5]])),LEN(Tabela1[[#This Row],[5]])-LEN(SUBSTITUTE(Tabela1[[#This Row],[5]],",",""))+1,1),"")</f>
        <v/>
      </c>
      <c r="AE44" t="str">
        <f>IF(Tabela1[[#This Row],[6]]&lt;&gt;"",IF(ISNUMBER(FIND(",",Tabela1[[#This Row],[6]])),LEN(Tabela1[[#This Row],[6]])-LEN(SUBSTITUTE(Tabela1[[#This Row],[6]],",",""))+1,1),"")</f>
        <v/>
      </c>
      <c r="AF44" t="str">
        <f>IF(Tabela1[[#This Row],[7]]&lt;&gt;"",IF(ISNUMBER(FIND(",",Tabela1[[#This Row],[7]])),LEN(Tabela1[[#This Row],[7]])-LEN(SUBSTITUTE(Tabela1[[#This Row],[7]],",",""))+1,1),"")</f>
        <v/>
      </c>
      <c r="AG44" t="str">
        <f>IF(Tabela1[[#This Row],[8]]&lt;&gt;"",IF(ISNUMBER(FIND(",",Tabela1[[#This Row],[8]])),LEN(Tabela1[[#This Row],[8]])-LEN(SUBSTITUTE(Tabela1[[#This Row],[8]],",",""))+1,1),"")</f>
        <v/>
      </c>
      <c r="AH44" t="str">
        <f>IF(Tabela1[[#This Row],[9]]&lt;&gt;"",IF(ISNUMBER(FIND(",",Tabela1[[#This Row],[9]])),LEN(Tabela1[[#This Row],[9]])-LEN(SUBSTITUTE(Tabela1[[#This Row],[9]],",",""))+1,1),"")</f>
        <v/>
      </c>
      <c r="AI44" t="str">
        <f>IF(Tabela1[[#This Row],[10]]&lt;&gt;"",IF(ISNUMBER(FIND(",",Tabela1[[#This Row],[10]])),LEN(Tabela1[[#This Row],[10]])-LEN(SUBSTITUTE(Tabela1[[#This Row],[10]],",",""))+1,1),"")</f>
        <v/>
      </c>
      <c r="AJ44" t="str">
        <f>IF(Tabela1[[#This Row],[11]]&lt;&gt;"",IF(ISNUMBER(FIND(",",Tabela1[[#This Row],[11]])),LEN(Tabela1[[#This Row],[11]])-LEN(SUBSTITUTE(Tabela1[[#This Row],[11]],",",""))+1,1),"")</f>
        <v/>
      </c>
      <c r="AK44" t="str">
        <f>IF(Tabela1[[#This Row],[12]]&lt;&gt;"",IF(ISNUMBER(FIND(",",Tabela1[[#This Row],[12]])),LEN(Tabela1[[#This Row],[12]])-LEN(SUBSTITUTE(Tabela1[[#This Row],[12]],",",""))+1,1),"")</f>
        <v/>
      </c>
      <c r="AL44" t="str">
        <f>IF(Tabela1[[#This Row],[13]]&lt;&gt;"",IF(ISNUMBER(FIND(",",Tabela1[[#This Row],[13]])),LEN(Tabela1[[#This Row],[13]])-LEN(SUBSTITUTE(Tabela1[[#This Row],[13]],",",""))+1,1),"")</f>
        <v/>
      </c>
      <c r="AM44" t="str">
        <f>IF(Tabela1[[#This Row],[14]]&lt;&gt;"",IF(ISNUMBER(FIND(",",Tabela1[[#This Row],[14]])),LEN(Tabela1[[#This Row],[14]])-LEN(SUBSTITUTE(Tabela1[[#This Row],[14]],",",""))+1,1),"")</f>
        <v/>
      </c>
      <c r="AN44" t="str">
        <f>IF(Tabela1[[#This Row],[15]]&lt;&gt;"",IF(ISNUMBER(FIND(",",Tabela1[[#This Row],[15]])),LEN(Tabela1[[#This Row],[15]])-LEN(SUBSTITUTE(Tabela1[[#This Row],[15]],",",""))+1,1),"")</f>
        <v/>
      </c>
      <c r="AO44" t="str">
        <f>IF(Tabela1[[#This Row],[16]]&lt;&gt;"",IF(ISNUMBER(FIND(",",Tabela1[[#This Row],[16]])),LEN(Tabela1[[#This Row],[16]])-LEN(SUBSTITUTE(Tabela1[[#This Row],[16]],",",""))+1,1),"")</f>
        <v/>
      </c>
      <c r="AP44" t="str">
        <f>IF(Tabela1[[#This Row],[17]]&lt;&gt;"",IF(ISNUMBER(FIND(",",Tabela1[[#This Row],[17]])),LEN(Tabela1[[#This Row],[17]])-LEN(SUBSTITUTE(Tabela1[[#This Row],[17]],",",""))+1,1),"")</f>
        <v/>
      </c>
      <c r="AQ44" t="str">
        <f>IF(Tabela1[[#This Row],[18]]&lt;&gt;"",IF(ISNUMBER(FIND(",",Tabela1[[#This Row],[18]])),LEN(Tabela1[[#This Row],[18]])-LEN(SUBSTITUTE(Tabela1[[#This Row],[18]],",",""))+1,1),"")</f>
        <v/>
      </c>
      <c r="AR44" s="13" t="str">
        <f>IF(Tabela1[[#This Row],[19_LENGTH]]&lt;&gt;"",IF(ISNUMBER(FIND(",",Tabela1[[#This Row],[19_LENGTH]])),LEN(Tabela1[[#This Row],[19_LENGTH]])-LEN(SUBSTITUTE(Tabela1[[#This Row],[19_LENGTH]],",",""))+1,1),"")</f>
        <v/>
      </c>
      <c r="AS44">
        <f>SUM(Tabela1[[#This Row],[1_]:[19_]])</f>
        <v>5</v>
      </c>
    </row>
    <row r="45" spans="1:45" x14ac:dyDescent="0.25">
      <c r="A45" s="27" t="s">
        <v>1316</v>
      </c>
      <c r="B45" s="19" t="s">
        <v>681</v>
      </c>
      <c r="C45" s="19">
        <v>202</v>
      </c>
      <c r="D45" s="19" t="s">
        <v>1297</v>
      </c>
      <c r="E45" s="20">
        <v>43441</v>
      </c>
      <c r="F45" s="19"/>
      <c r="G45" s="19"/>
      <c r="H45" s="19"/>
      <c r="I45" s="19"/>
      <c r="J45" s="19"/>
      <c r="K45" s="19">
        <v>31</v>
      </c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Z45" t="str">
        <f>IF(Tabela1[[#This Row],[1]]&lt;&gt;"",IF(ISNUMBER(FIND(",",Tabela1[[#This Row],[1]])),LEN(Tabela1[[#This Row],[1]])-LEN(SUBSTITUTE(Tabela1[[#This Row],[1]],",",""))+1,1),"")</f>
        <v/>
      </c>
      <c r="AA45" t="str">
        <f>IF(Tabela1[[#This Row],[2]]&lt;&gt;"",IF(ISNUMBER(FIND(",",Tabela1[[#This Row],[2]])),LEN(Tabela1[[#This Row],[2]])-LEN(SUBSTITUTE(Tabela1[[#This Row],[2]],",",""))+1,1),"")</f>
        <v/>
      </c>
      <c r="AB45" t="str">
        <f>IF(Tabela1[[#This Row],[3]]&lt;&gt;"",IF(ISNUMBER(FIND(",",Tabela1[[#This Row],[3]])),LEN(Tabela1[[#This Row],[3]])-LEN(SUBSTITUTE(Tabela1[[#This Row],[3]],",",""))+1,1),"")</f>
        <v/>
      </c>
      <c r="AC45" t="str">
        <f>IF(Tabela1[[#This Row],[4]]&lt;&gt;"",IF(ISNUMBER(FIND(",",Tabela1[[#This Row],[4]])),LEN(Tabela1[[#This Row],[4]])-LEN(SUBSTITUTE(Tabela1[[#This Row],[4]],",",""))+1,1),"")</f>
        <v/>
      </c>
      <c r="AD45" t="str">
        <f>IF(Tabela1[[#This Row],[5]]&lt;&gt;"",IF(ISNUMBER(FIND(",",Tabela1[[#This Row],[5]])),LEN(Tabela1[[#This Row],[5]])-LEN(SUBSTITUTE(Tabela1[[#This Row],[5]],",",""))+1,1),"")</f>
        <v/>
      </c>
      <c r="AE45">
        <f>IF(Tabela1[[#This Row],[6]]&lt;&gt;"",IF(ISNUMBER(FIND(",",Tabela1[[#This Row],[6]])),LEN(Tabela1[[#This Row],[6]])-LEN(SUBSTITUTE(Tabela1[[#This Row],[6]],",",""))+1,1),"")</f>
        <v>1</v>
      </c>
      <c r="AF45" t="str">
        <f>IF(Tabela1[[#This Row],[7]]&lt;&gt;"",IF(ISNUMBER(FIND(",",Tabela1[[#This Row],[7]])),LEN(Tabela1[[#This Row],[7]])-LEN(SUBSTITUTE(Tabela1[[#This Row],[7]],",",""))+1,1),"")</f>
        <v/>
      </c>
      <c r="AG45" t="str">
        <f>IF(Tabela1[[#This Row],[8]]&lt;&gt;"",IF(ISNUMBER(FIND(",",Tabela1[[#This Row],[8]])),LEN(Tabela1[[#This Row],[8]])-LEN(SUBSTITUTE(Tabela1[[#This Row],[8]],",",""))+1,1),"")</f>
        <v/>
      </c>
      <c r="AH45" t="str">
        <f>IF(Tabela1[[#This Row],[9]]&lt;&gt;"",IF(ISNUMBER(FIND(",",Tabela1[[#This Row],[9]])),LEN(Tabela1[[#This Row],[9]])-LEN(SUBSTITUTE(Tabela1[[#This Row],[9]],",",""))+1,1),"")</f>
        <v/>
      </c>
      <c r="AI45" t="str">
        <f>IF(Tabela1[[#This Row],[10]]&lt;&gt;"",IF(ISNUMBER(FIND(",",Tabela1[[#This Row],[10]])),LEN(Tabela1[[#This Row],[10]])-LEN(SUBSTITUTE(Tabela1[[#This Row],[10]],",",""))+1,1),"")</f>
        <v/>
      </c>
      <c r="AJ45" t="str">
        <f>IF(Tabela1[[#This Row],[11]]&lt;&gt;"",IF(ISNUMBER(FIND(",",Tabela1[[#This Row],[11]])),LEN(Tabela1[[#This Row],[11]])-LEN(SUBSTITUTE(Tabela1[[#This Row],[11]],",",""))+1,1),"")</f>
        <v/>
      </c>
      <c r="AK45" t="str">
        <f>IF(Tabela1[[#This Row],[12]]&lt;&gt;"",IF(ISNUMBER(FIND(",",Tabela1[[#This Row],[12]])),LEN(Tabela1[[#This Row],[12]])-LEN(SUBSTITUTE(Tabela1[[#This Row],[12]],",",""))+1,1),"")</f>
        <v/>
      </c>
      <c r="AL45" t="str">
        <f>IF(Tabela1[[#This Row],[13]]&lt;&gt;"",IF(ISNUMBER(FIND(",",Tabela1[[#This Row],[13]])),LEN(Tabela1[[#This Row],[13]])-LEN(SUBSTITUTE(Tabela1[[#This Row],[13]],",",""))+1,1),"")</f>
        <v/>
      </c>
      <c r="AM45" t="str">
        <f>IF(Tabela1[[#This Row],[14]]&lt;&gt;"",IF(ISNUMBER(FIND(",",Tabela1[[#This Row],[14]])),LEN(Tabela1[[#This Row],[14]])-LEN(SUBSTITUTE(Tabela1[[#This Row],[14]],",",""))+1,1),"")</f>
        <v/>
      </c>
      <c r="AN45" t="str">
        <f>IF(Tabela1[[#This Row],[15]]&lt;&gt;"",IF(ISNUMBER(FIND(",",Tabela1[[#This Row],[15]])),LEN(Tabela1[[#This Row],[15]])-LEN(SUBSTITUTE(Tabela1[[#This Row],[15]],",",""))+1,1),"")</f>
        <v/>
      </c>
      <c r="AO45" t="str">
        <f>IF(Tabela1[[#This Row],[16]]&lt;&gt;"",IF(ISNUMBER(FIND(",",Tabela1[[#This Row],[16]])),LEN(Tabela1[[#This Row],[16]])-LEN(SUBSTITUTE(Tabela1[[#This Row],[16]],",",""))+1,1),"")</f>
        <v/>
      </c>
      <c r="AP45" t="str">
        <f>IF(Tabela1[[#This Row],[17]]&lt;&gt;"",IF(ISNUMBER(FIND(",",Tabela1[[#This Row],[17]])),LEN(Tabela1[[#This Row],[17]])-LEN(SUBSTITUTE(Tabela1[[#This Row],[17]],",",""))+1,1),"")</f>
        <v/>
      </c>
      <c r="AQ45" t="str">
        <f>IF(Tabela1[[#This Row],[18]]&lt;&gt;"",IF(ISNUMBER(FIND(",",Tabela1[[#This Row],[18]])),LEN(Tabela1[[#This Row],[18]])-LEN(SUBSTITUTE(Tabela1[[#This Row],[18]],",",""))+1,1),"")</f>
        <v/>
      </c>
      <c r="AR45" s="13" t="str">
        <f>IF(Tabela1[[#This Row],[19_LENGTH]]&lt;&gt;"",IF(ISNUMBER(FIND(",",Tabela1[[#This Row],[19_LENGTH]])),LEN(Tabela1[[#This Row],[19_LENGTH]])-LEN(SUBSTITUTE(Tabela1[[#This Row],[19_LENGTH]],",",""))+1,1),"")</f>
        <v/>
      </c>
      <c r="AS45">
        <f>SUM(Tabela1[[#This Row],[1_]:[19_]])</f>
        <v>1</v>
      </c>
    </row>
    <row r="46" spans="1:45" x14ac:dyDescent="0.25">
      <c r="A46" s="27" t="s">
        <v>1316</v>
      </c>
      <c r="B46" s="19" t="s">
        <v>682</v>
      </c>
      <c r="C46" s="19">
        <v>214</v>
      </c>
      <c r="D46" s="19" t="s">
        <v>1297</v>
      </c>
      <c r="E46" s="20">
        <v>43442</v>
      </c>
      <c r="F46" s="19"/>
      <c r="G46" s="19"/>
      <c r="H46" s="19"/>
      <c r="I46" s="19"/>
      <c r="J46" s="19">
        <v>212</v>
      </c>
      <c r="K46" s="19"/>
      <c r="L46" s="19"/>
      <c r="M46" s="19"/>
      <c r="N46" s="19"/>
      <c r="O46" s="19"/>
      <c r="P46" s="19"/>
      <c r="Q46" s="19"/>
      <c r="R46" s="19"/>
      <c r="S46" s="19"/>
      <c r="T46" s="19"/>
      <c r="U46" s="19"/>
      <c r="V46" s="19"/>
      <c r="W46" s="19"/>
      <c r="X46" s="19"/>
      <c r="Y46" s="19"/>
      <c r="Z46" t="str">
        <f>IF(Tabela1[[#This Row],[1]]&lt;&gt;"",IF(ISNUMBER(FIND(",",Tabela1[[#This Row],[1]])),LEN(Tabela1[[#This Row],[1]])-LEN(SUBSTITUTE(Tabela1[[#This Row],[1]],",",""))+1,1),"")</f>
        <v/>
      </c>
      <c r="AA46" t="str">
        <f>IF(Tabela1[[#This Row],[2]]&lt;&gt;"",IF(ISNUMBER(FIND(",",Tabela1[[#This Row],[2]])),LEN(Tabela1[[#This Row],[2]])-LEN(SUBSTITUTE(Tabela1[[#This Row],[2]],",",""))+1,1),"")</f>
        <v/>
      </c>
      <c r="AB46" t="str">
        <f>IF(Tabela1[[#This Row],[3]]&lt;&gt;"",IF(ISNUMBER(FIND(",",Tabela1[[#This Row],[3]])),LEN(Tabela1[[#This Row],[3]])-LEN(SUBSTITUTE(Tabela1[[#This Row],[3]],",",""))+1,1),"")</f>
        <v/>
      </c>
      <c r="AC46" t="str">
        <f>IF(Tabela1[[#This Row],[4]]&lt;&gt;"",IF(ISNUMBER(FIND(",",Tabela1[[#This Row],[4]])),LEN(Tabela1[[#This Row],[4]])-LEN(SUBSTITUTE(Tabela1[[#This Row],[4]],",",""))+1,1),"")</f>
        <v/>
      </c>
      <c r="AD46">
        <f>IF(Tabela1[[#This Row],[5]]&lt;&gt;"",IF(ISNUMBER(FIND(",",Tabela1[[#This Row],[5]])),LEN(Tabela1[[#This Row],[5]])-LEN(SUBSTITUTE(Tabela1[[#This Row],[5]],",",""))+1,1),"")</f>
        <v>1</v>
      </c>
      <c r="AE46" t="str">
        <f>IF(Tabela1[[#This Row],[6]]&lt;&gt;"",IF(ISNUMBER(FIND(",",Tabela1[[#This Row],[6]])),LEN(Tabela1[[#This Row],[6]])-LEN(SUBSTITUTE(Tabela1[[#This Row],[6]],",",""))+1,1),"")</f>
        <v/>
      </c>
      <c r="AF46" t="str">
        <f>IF(Tabela1[[#This Row],[7]]&lt;&gt;"",IF(ISNUMBER(FIND(",",Tabela1[[#This Row],[7]])),LEN(Tabela1[[#This Row],[7]])-LEN(SUBSTITUTE(Tabela1[[#This Row],[7]],",",""))+1,1),"")</f>
        <v/>
      </c>
      <c r="AG46" t="str">
        <f>IF(Tabela1[[#This Row],[8]]&lt;&gt;"",IF(ISNUMBER(FIND(",",Tabela1[[#This Row],[8]])),LEN(Tabela1[[#This Row],[8]])-LEN(SUBSTITUTE(Tabela1[[#This Row],[8]],",",""))+1,1),"")</f>
        <v/>
      </c>
      <c r="AH46" t="str">
        <f>IF(Tabela1[[#This Row],[9]]&lt;&gt;"",IF(ISNUMBER(FIND(",",Tabela1[[#This Row],[9]])),LEN(Tabela1[[#This Row],[9]])-LEN(SUBSTITUTE(Tabela1[[#This Row],[9]],",",""))+1,1),"")</f>
        <v/>
      </c>
      <c r="AI46" t="str">
        <f>IF(Tabela1[[#This Row],[10]]&lt;&gt;"",IF(ISNUMBER(FIND(",",Tabela1[[#This Row],[10]])),LEN(Tabela1[[#This Row],[10]])-LEN(SUBSTITUTE(Tabela1[[#This Row],[10]],",",""))+1,1),"")</f>
        <v/>
      </c>
      <c r="AJ46" t="str">
        <f>IF(Tabela1[[#This Row],[11]]&lt;&gt;"",IF(ISNUMBER(FIND(",",Tabela1[[#This Row],[11]])),LEN(Tabela1[[#This Row],[11]])-LEN(SUBSTITUTE(Tabela1[[#This Row],[11]],",",""))+1,1),"")</f>
        <v/>
      </c>
      <c r="AK46" t="str">
        <f>IF(Tabela1[[#This Row],[12]]&lt;&gt;"",IF(ISNUMBER(FIND(",",Tabela1[[#This Row],[12]])),LEN(Tabela1[[#This Row],[12]])-LEN(SUBSTITUTE(Tabela1[[#This Row],[12]],",",""))+1,1),"")</f>
        <v/>
      </c>
      <c r="AL46" t="str">
        <f>IF(Tabela1[[#This Row],[13]]&lt;&gt;"",IF(ISNUMBER(FIND(",",Tabela1[[#This Row],[13]])),LEN(Tabela1[[#This Row],[13]])-LEN(SUBSTITUTE(Tabela1[[#This Row],[13]],",",""))+1,1),"")</f>
        <v/>
      </c>
      <c r="AM46" t="str">
        <f>IF(Tabela1[[#This Row],[14]]&lt;&gt;"",IF(ISNUMBER(FIND(",",Tabela1[[#This Row],[14]])),LEN(Tabela1[[#This Row],[14]])-LEN(SUBSTITUTE(Tabela1[[#This Row],[14]],",",""))+1,1),"")</f>
        <v/>
      </c>
      <c r="AN46" t="str">
        <f>IF(Tabela1[[#This Row],[15]]&lt;&gt;"",IF(ISNUMBER(FIND(",",Tabela1[[#This Row],[15]])),LEN(Tabela1[[#This Row],[15]])-LEN(SUBSTITUTE(Tabela1[[#This Row],[15]],",",""))+1,1),"")</f>
        <v/>
      </c>
      <c r="AO46" t="str">
        <f>IF(Tabela1[[#This Row],[16]]&lt;&gt;"",IF(ISNUMBER(FIND(",",Tabela1[[#This Row],[16]])),LEN(Tabela1[[#This Row],[16]])-LEN(SUBSTITUTE(Tabela1[[#This Row],[16]],",",""))+1,1),"")</f>
        <v/>
      </c>
      <c r="AP46" t="str">
        <f>IF(Tabela1[[#This Row],[17]]&lt;&gt;"",IF(ISNUMBER(FIND(",",Tabela1[[#This Row],[17]])),LEN(Tabela1[[#This Row],[17]])-LEN(SUBSTITUTE(Tabela1[[#This Row],[17]],",",""))+1,1),"")</f>
        <v/>
      </c>
      <c r="AQ46" t="str">
        <f>IF(Tabela1[[#This Row],[18]]&lt;&gt;"",IF(ISNUMBER(FIND(",",Tabela1[[#This Row],[18]])),LEN(Tabela1[[#This Row],[18]])-LEN(SUBSTITUTE(Tabela1[[#This Row],[18]],",",""))+1,1),"")</f>
        <v/>
      </c>
      <c r="AR46" s="13" t="str">
        <f>IF(Tabela1[[#This Row],[19_LENGTH]]&lt;&gt;"",IF(ISNUMBER(FIND(",",Tabela1[[#This Row],[19_LENGTH]])),LEN(Tabela1[[#This Row],[19_LENGTH]])-LEN(SUBSTITUTE(Tabela1[[#This Row],[19_LENGTH]],",",""))+1,1),"")</f>
        <v/>
      </c>
      <c r="AS46">
        <f>SUM(Tabela1[[#This Row],[1_]:[19_]])</f>
        <v>1</v>
      </c>
    </row>
    <row r="47" spans="1:45" x14ac:dyDescent="0.25">
      <c r="A47" s="27" t="s">
        <v>1316</v>
      </c>
      <c r="B47" s="19" t="s">
        <v>683</v>
      </c>
      <c r="C47" s="19">
        <v>202</v>
      </c>
      <c r="D47" s="19" t="s">
        <v>1297</v>
      </c>
      <c r="E47" s="20">
        <v>43442</v>
      </c>
      <c r="F47" s="19"/>
      <c r="G47" s="19"/>
      <c r="H47" s="19">
        <v>187</v>
      </c>
      <c r="I47" s="19"/>
      <c r="J47" s="19"/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19">
        <v>105</v>
      </c>
      <c r="V47" s="19"/>
      <c r="W47" s="19"/>
      <c r="X47" s="19"/>
      <c r="Y47" s="19"/>
      <c r="Z47" t="str">
        <f>IF(Tabela1[[#This Row],[1]]&lt;&gt;"",IF(ISNUMBER(FIND(",",Tabela1[[#This Row],[1]])),LEN(Tabela1[[#This Row],[1]])-LEN(SUBSTITUTE(Tabela1[[#This Row],[1]],",",""))+1,1),"")</f>
        <v/>
      </c>
      <c r="AA47" t="str">
        <f>IF(Tabela1[[#This Row],[2]]&lt;&gt;"",IF(ISNUMBER(FIND(",",Tabela1[[#This Row],[2]])),LEN(Tabela1[[#This Row],[2]])-LEN(SUBSTITUTE(Tabela1[[#This Row],[2]],",",""))+1,1),"")</f>
        <v/>
      </c>
      <c r="AB47">
        <f>IF(Tabela1[[#This Row],[3]]&lt;&gt;"",IF(ISNUMBER(FIND(",",Tabela1[[#This Row],[3]])),LEN(Tabela1[[#This Row],[3]])-LEN(SUBSTITUTE(Tabela1[[#This Row],[3]],",",""))+1,1),"")</f>
        <v>1</v>
      </c>
      <c r="AC47" t="str">
        <f>IF(Tabela1[[#This Row],[4]]&lt;&gt;"",IF(ISNUMBER(FIND(",",Tabela1[[#This Row],[4]])),LEN(Tabela1[[#This Row],[4]])-LEN(SUBSTITUTE(Tabela1[[#This Row],[4]],",",""))+1,1),"")</f>
        <v/>
      </c>
      <c r="AD47" t="str">
        <f>IF(Tabela1[[#This Row],[5]]&lt;&gt;"",IF(ISNUMBER(FIND(",",Tabela1[[#This Row],[5]])),LEN(Tabela1[[#This Row],[5]])-LEN(SUBSTITUTE(Tabela1[[#This Row],[5]],",",""))+1,1),"")</f>
        <v/>
      </c>
      <c r="AE47" t="str">
        <f>IF(Tabela1[[#This Row],[6]]&lt;&gt;"",IF(ISNUMBER(FIND(",",Tabela1[[#This Row],[6]])),LEN(Tabela1[[#This Row],[6]])-LEN(SUBSTITUTE(Tabela1[[#This Row],[6]],",",""))+1,1),"")</f>
        <v/>
      </c>
      <c r="AF47" t="str">
        <f>IF(Tabela1[[#This Row],[7]]&lt;&gt;"",IF(ISNUMBER(FIND(",",Tabela1[[#This Row],[7]])),LEN(Tabela1[[#This Row],[7]])-LEN(SUBSTITUTE(Tabela1[[#This Row],[7]],",",""))+1,1),"")</f>
        <v/>
      </c>
      <c r="AG47" t="str">
        <f>IF(Tabela1[[#This Row],[8]]&lt;&gt;"",IF(ISNUMBER(FIND(",",Tabela1[[#This Row],[8]])),LEN(Tabela1[[#This Row],[8]])-LEN(SUBSTITUTE(Tabela1[[#This Row],[8]],",",""))+1,1),"")</f>
        <v/>
      </c>
      <c r="AH47" t="str">
        <f>IF(Tabela1[[#This Row],[9]]&lt;&gt;"",IF(ISNUMBER(FIND(",",Tabela1[[#This Row],[9]])),LEN(Tabela1[[#This Row],[9]])-LEN(SUBSTITUTE(Tabela1[[#This Row],[9]],",",""))+1,1),"")</f>
        <v/>
      </c>
      <c r="AI47" t="str">
        <f>IF(Tabela1[[#This Row],[10]]&lt;&gt;"",IF(ISNUMBER(FIND(",",Tabela1[[#This Row],[10]])),LEN(Tabela1[[#This Row],[10]])-LEN(SUBSTITUTE(Tabela1[[#This Row],[10]],",",""))+1,1),"")</f>
        <v/>
      </c>
      <c r="AJ47" t="str">
        <f>IF(Tabela1[[#This Row],[11]]&lt;&gt;"",IF(ISNUMBER(FIND(",",Tabela1[[#This Row],[11]])),LEN(Tabela1[[#This Row],[11]])-LEN(SUBSTITUTE(Tabela1[[#This Row],[11]],",",""))+1,1),"")</f>
        <v/>
      </c>
      <c r="AK47" t="str">
        <f>IF(Tabela1[[#This Row],[12]]&lt;&gt;"",IF(ISNUMBER(FIND(",",Tabela1[[#This Row],[12]])),LEN(Tabela1[[#This Row],[12]])-LEN(SUBSTITUTE(Tabela1[[#This Row],[12]],",",""))+1,1),"")</f>
        <v/>
      </c>
      <c r="AL47" t="str">
        <f>IF(Tabela1[[#This Row],[13]]&lt;&gt;"",IF(ISNUMBER(FIND(",",Tabela1[[#This Row],[13]])),LEN(Tabela1[[#This Row],[13]])-LEN(SUBSTITUTE(Tabela1[[#This Row],[13]],",",""))+1,1),"")</f>
        <v/>
      </c>
      <c r="AM47" t="str">
        <f>IF(Tabela1[[#This Row],[14]]&lt;&gt;"",IF(ISNUMBER(FIND(",",Tabela1[[#This Row],[14]])),LEN(Tabela1[[#This Row],[14]])-LEN(SUBSTITUTE(Tabela1[[#This Row],[14]],",",""))+1,1),"")</f>
        <v/>
      </c>
      <c r="AN47" t="str">
        <f>IF(Tabela1[[#This Row],[15]]&lt;&gt;"",IF(ISNUMBER(FIND(",",Tabela1[[#This Row],[15]])),LEN(Tabela1[[#This Row],[15]])-LEN(SUBSTITUTE(Tabela1[[#This Row],[15]],",",""))+1,1),"")</f>
        <v/>
      </c>
      <c r="AO47">
        <f>IF(Tabela1[[#This Row],[16]]&lt;&gt;"",IF(ISNUMBER(FIND(",",Tabela1[[#This Row],[16]])),LEN(Tabela1[[#This Row],[16]])-LEN(SUBSTITUTE(Tabela1[[#This Row],[16]],",",""))+1,1),"")</f>
        <v>1</v>
      </c>
      <c r="AP47" t="str">
        <f>IF(Tabela1[[#This Row],[17]]&lt;&gt;"",IF(ISNUMBER(FIND(",",Tabela1[[#This Row],[17]])),LEN(Tabela1[[#This Row],[17]])-LEN(SUBSTITUTE(Tabela1[[#This Row],[17]],",",""))+1,1),"")</f>
        <v/>
      </c>
      <c r="AQ47" t="str">
        <f>IF(Tabela1[[#This Row],[18]]&lt;&gt;"",IF(ISNUMBER(FIND(",",Tabela1[[#This Row],[18]])),LEN(Tabela1[[#This Row],[18]])-LEN(SUBSTITUTE(Tabela1[[#This Row],[18]],",",""))+1,1),"")</f>
        <v/>
      </c>
      <c r="AR47" s="13" t="str">
        <f>IF(Tabela1[[#This Row],[19_LENGTH]]&lt;&gt;"",IF(ISNUMBER(FIND(",",Tabela1[[#This Row],[19_LENGTH]])),LEN(Tabela1[[#This Row],[19_LENGTH]])-LEN(SUBSTITUTE(Tabela1[[#This Row],[19_LENGTH]],",",""))+1,1),"")</f>
        <v/>
      </c>
      <c r="AS47">
        <f>SUM(Tabela1[[#This Row],[1_]:[19_]])</f>
        <v>2</v>
      </c>
    </row>
    <row r="48" spans="1:45" x14ac:dyDescent="0.25">
      <c r="A48" s="27" t="s">
        <v>1316</v>
      </c>
      <c r="B48" s="19" t="s">
        <v>954</v>
      </c>
      <c r="C48" s="19">
        <v>202</v>
      </c>
      <c r="D48" s="19" t="s">
        <v>1304</v>
      </c>
      <c r="E48" s="20">
        <v>43441</v>
      </c>
      <c r="F48" s="19"/>
      <c r="G48" s="19"/>
      <c r="H48" s="19"/>
      <c r="I48" s="19">
        <v>150</v>
      </c>
      <c r="J48" s="19"/>
      <c r="K48" s="19"/>
      <c r="L48" s="19"/>
      <c r="M48" s="19"/>
      <c r="N48" s="19"/>
      <c r="O48" s="19"/>
      <c r="P48" s="19"/>
      <c r="Q48" s="19"/>
      <c r="R48" s="19"/>
      <c r="S48" s="19"/>
      <c r="T48" s="19"/>
      <c r="U48" s="19"/>
      <c r="V48" s="19"/>
      <c r="W48" s="19"/>
      <c r="X48" s="19"/>
      <c r="Y48" s="19"/>
      <c r="Z48" t="str">
        <f>IF(Tabela1[[#This Row],[1]]&lt;&gt;"",IF(ISNUMBER(FIND(",",Tabela1[[#This Row],[1]])),LEN(Tabela1[[#This Row],[1]])-LEN(SUBSTITUTE(Tabela1[[#This Row],[1]],",",""))+1,1),"")</f>
        <v/>
      </c>
      <c r="AA48" t="str">
        <f>IF(Tabela1[[#This Row],[2]]&lt;&gt;"",IF(ISNUMBER(FIND(",",Tabela1[[#This Row],[2]])),LEN(Tabela1[[#This Row],[2]])-LEN(SUBSTITUTE(Tabela1[[#This Row],[2]],",",""))+1,1),"")</f>
        <v/>
      </c>
      <c r="AB48" t="str">
        <f>IF(Tabela1[[#This Row],[3]]&lt;&gt;"",IF(ISNUMBER(FIND(",",Tabela1[[#This Row],[3]])),LEN(Tabela1[[#This Row],[3]])-LEN(SUBSTITUTE(Tabela1[[#This Row],[3]],",",""))+1,1),"")</f>
        <v/>
      </c>
      <c r="AC48">
        <f>IF(Tabela1[[#This Row],[4]]&lt;&gt;"",IF(ISNUMBER(FIND(",",Tabela1[[#This Row],[4]])),LEN(Tabela1[[#This Row],[4]])-LEN(SUBSTITUTE(Tabela1[[#This Row],[4]],",",""))+1,1),"")</f>
        <v>1</v>
      </c>
      <c r="AD48" t="str">
        <f>IF(Tabela1[[#This Row],[5]]&lt;&gt;"",IF(ISNUMBER(FIND(",",Tabela1[[#This Row],[5]])),LEN(Tabela1[[#This Row],[5]])-LEN(SUBSTITUTE(Tabela1[[#This Row],[5]],",",""))+1,1),"")</f>
        <v/>
      </c>
      <c r="AE48" t="str">
        <f>IF(Tabela1[[#This Row],[6]]&lt;&gt;"",IF(ISNUMBER(FIND(",",Tabela1[[#This Row],[6]])),LEN(Tabela1[[#This Row],[6]])-LEN(SUBSTITUTE(Tabela1[[#This Row],[6]],",",""))+1,1),"")</f>
        <v/>
      </c>
      <c r="AF48" t="str">
        <f>IF(Tabela1[[#This Row],[7]]&lt;&gt;"",IF(ISNUMBER(FIND(",",Tabela1[[#This Row],[7]])),LEN(Tabela1[[#This Row],[7]])-LEN(SUBSTITUTE(Tabela1[[#This Row],[7]],",",""))+1,1),"")</f>
        <v/>
      </c>
      <c r="AG48" t="str">
        <f>IF(Tabela1[[#This Row],[8]]&lt;&gt;"",IF(ISNUMBER(FIND(",",Tabela1[[#This Row],[8]])),LEN(Tabela1[[#This Row],[8]])-LEN(SUBSTITUTE(Tabela1[[#This Row],[8]],",",""))+1,1),"")</f>
        <v/>
      </c>
      <c r="AH48" t="str">
        <f>IF(Tabela1[[#This Row],[9]]&lt;&gt;"",IF(ISNUMBER(FIND(",",Tabela1[[#This Row],[9]])),LEN(Tabela1[[#This Row],[9]])-LEN(SUBSTITUTE(Tabela1[[#This Row],[9]],",",""))+1,1),"")</f>
        <v/>
      </c>
      <c r="AI48" t="str">
        <f>IF(Tabela1[[#This Row],[10]]&lt;&gt;"",IF(ISNUMBER(FIND(",",Tabela1[[#This Row],[10]])),LEN(Tabela1[[#This Row],[10]])-LEN(SUBSTITUTE(Tabela1[[#This Row],[10]],",",""))+1,1),"")</f>
        <v/>
      </c>
      <c r="AJ48" t="str">
        <f>IF(Tabela1[[#This Row],[11]]&lt;&gt;"",IF(ISNUMBER(FIND(",",Tabela1[[#This Row],[11]])),LEN(Tabela1[[#This Row],[11]])-LEN(SUBSTITUTE(Tabela1[[#This Row],[11]],",",""))+1,1),"")</f>
        <v/>
      </c>
      <c r="AK48" t="str">
        <f>IF(Tabela1[[#This Row],[12]]&lt;&gt;"",IF(ISNUMBER(FIND(",",Tabela1[[#This Row],[12]])),LEN(Tabela1[[#This Row],[12]])-LEN(SUBSTITUTE(Tabela1[[#This Row],[12]],",",""))+1,1),"")</f>
        <v/>
      </c>
      <c r="AL48" t="str">
        <f>IF(Tabela1[[#This Row],[13]]&lt;&gt;"",IF(ISNUMBER(FIND(",",Tabela1[[#This Row],[13]])),LEN(Tabela1[[#This Row],[13]])-LEN(SUBSTITUTE(Tabela1[[#This Row],[13]],",",""))+1,1),"")</f>
        <v/>
      </c>
      <c r="AM48" t="str">
        <f>IF(Tabela1[[#This Row],[14]]&lt;&gt;"",IF(ISNUMBER(FIND(",",Tabela1[[#This Row],[14]])),LEN(Tabela1[[#This Row],[14]])-LEN(SUBSTITUTE(Tabela1[[#This Row],[14]],",",""))+1,1),"")</f>
        <v/>
      </c>
      <c r="AN48" t="str">
        <f>IF(Tabela1[[#This Row],[15]]&lt;&gt;"",IF(ISNUMBER(FIND(",",Tabela1[[#This Row],[15]])),LEN(Tabela1[[#This Row],[15]])-LEN(SUBSTITUTE(Tabela1[[#This Row],[15]],",",""))+1,1),"")</f>
        <v/>
      </c>
      <c r="AO48" t="str">
        <f>IF(Tabela1[[#This Row],[16]]&lt;&gt;"",IF(ISNUMBER(FIND(",",Tabela1[[#This Row],[16]])),LEN(Tabela1[[#This Row],[16]])-LEN(SUBSTITUTE(Tabela1[[#This Row],[16]],",",""))+1,1),"")</f>
        <v/>
      </c>
      <c r="AP48" t="str">
        <f>IF(Tabela1[[#This Row],[17]]&lt;&gt;"",IF(ISNUMBER(FIND(",",Tabela1[[#This Row],[17]])),LEN(Tabela1[[#This Row],[17]])-LEN(SUBSTITUTE(Tabela1[[#This Row],[17]],",",""))+1,1),"")</f>
        <v/>
      </c>
      <c r="AQ48" t="str">
        <f>IF(Tabela1[[#This Row],[18]]&lt;&gt;"",IF(ISNUMBER(FIND(",",Tabela1[[#This Row],[18]])),LEN(Tabela1[[#This Row],[18]])-LEN(SUBSTITUTE(Tabela1[[#This Row],[18]],",",""))+1,1),"")</f>
        <v/>
      </c>
      <c r="AR48" s="13" t="str">
        <f>IF(Tabela1[[#This Row],[19_LENGTH]]&lt;&gt;"",IF(ISNUMBER(FIND(",",Tabela1[[#This Row],[19_LENGTH]])),LEN(Tabela1[[#This Row],[19_LENGTH]])-LEN(SUBSTITUTE(Tabela1[[#This Row],[19_LENGTH]],",",""))+1,1),"")</f>
        <v/>
      </c>
      <c r="AS48">
        <f>SUM(Tabela1[[#This Row],[1_]:[19_]])</f>
        <v>1</v>
      </c>
    </row>
    <row r="49" spans="1:45" x14ac:dyDescent="0.25">
      <c r="A49" s="27" t="s">
        <v>1316</v>
      </c>
      <c r="B49" s="19" t="s">
        <v>955</v>
      </c>
      <c r="C49" s="19">
        <v>202</v>
      </c>
      <c r="D49" s="19" t="s">
        <v>1304</v>
      </c>
      <c r="E49" s="20">
        <v>43441</v>
      </c>
      <c r="F49" s="19"/>
      <c r="G49" s="19"/>
      <c r="H49" s="19"/>
      <c r="I49" s="19"/>
      <c r="J49" s="19">
        <v>71</v>
      </c>
      <c r="K49" s="19"/>
      <c r="L49" s="19"/>
      <c r="M49" s="19"/>
      <c r="N49" s="19"/>
      <c r="O49" s="19"/>
      <c r="P49" s="19"/>
      <c r="Q49" s="19"/>
      <c r="R49" s="19"/>
      <c r="S49" s="19"/>
      <c r="T49" s="19"/>
      <c r="U49" s="19"/>
      <c r="V49" s="19"/>
      <c r="W49" s="19"/>
      <c r="X49" s="19"/>
      <c r="Y49" s="19"/>
      <c r="Z49" t="str">
        <f>IF(Tabela1[[#This Row],[1]]&lt;&gt;"",IF(ISNUMBER(FIND(",",Tabela1[[#This Row],[1]])),LEN(Tabela1[[#This Row],[1]])-LEN(SUBSTITUTE(Tabela1[[#This Row],[1]],",",""))+1,1),"")</f>
        <v/>
      </c>
      <c r="AA49" t="str">
        <f>IF(Tabela1[[#This Row],[2]]&lt;&gt;"",IF(ISNUMBER(FIND(",",Tabela1[[#This Row],[2]])),LEN(Tabela1[[#This Row],[2]])-LEN(SUBSTITUTE(Tabela1[[#This Row],[2]],",",""))+1,1),"")</f>
        <v/>
      </c>
      <c r="AB49" t="str">
        <f>IF(Tabela1[[#This Row],[3]]&lt;&gt;"",IF(ISNUMBER(FIND(",",Tabela1[[#This Row],[3]])),LEN(Tabela1[[#This Row],[3]])-LEN(SUBSTITUTE(Tabela1[[#This Row],[3]],",",""))+1,1),"")</f>
        <v/>
      </c>
      <c r="AC49" t="str">
        <f>IF(Tabela1[[#This Row],[4]]&lt;&gt;"",IF(ISNUMBER(FIND(",",Tabela1[[#This Row],[4]])),LEN(Tabela1[[#This Row],[4]])-LEN(SUBSTITUTE(Tabela1[[#This Row],[4]],",",""))+1,1),"")</f>
        <v/>
      </c>
      <c r="AD49">
        <f>IF(Tabela1[[#This Row],[5]]&lt;&gt;"",IF(ISNUMBER(FIND(",",Tabela1[[#This Row],[5]])),LEN(Tabela1[[#This Row],[5]])-LEN(SUBSTITUTE(Tabela1[[#This Row],[5]],",",""))+1,1),"")</f>
        <v>1</v>
      </c>
      <c r="AE49" t="str">
        <f>IF(Tabela1[[#This Row],[6]]&lt;&gt;"",IF(ISNUMBER(FIND(",",Tabela1[[#This Row],[6]])),LEN(Tabela1[[#This Row],[6]])-LEN(SUBSTITUTE(Tabela1[[#This Row],[6]],",",""))+1,1),"")</f>
        <v/>
      </c>
      <c r="AF49" t="str">
        <f>IF(Tabela1[[#This Row],[7]]&lt;&gt;"",IF(ISNUMBER(FIND(",",Tabela1[[#This Row],[7]])),LEN(Tabela1[[#This Row],[7]])-LEN(SUBSTITUTE(Tabela1[[#This Row],[7]],",",""))+1,1),"")</f>
        <v/>
      </c>
      <c r="AG49" t="str">
        <f>IF(Tabela1[[#This Row],[8]]&lt;&gt;"",IF(ISNUMBER(FIND(",",Tabela1[[#This Row],[8]])),LEN(Tabela1[[#This Row],[8]])-LEN(SUBSTITUTE(Tabela1[[#This Row],[8]],",",""))+1,1),"")</f>
        <v/>
      </c>
      <c r="AH49" t="str">
        <f>IF(Tabela1[[#This Row],[9]]&lt;&gt;"",IF(ISNUMBER(FIND(",",Tabela1[[#This Row],[9]])),LEN(Tabela1[[#This Row],[9]])-LEN(SUBSTITUTE(Tabela1[[#This Row],[9]],",",""))+1,1),"")</f>
        <v/>
      </c>
      <c r="AI49" t="str">
        <f>IF(Tabela1[[#This Row],[10]]&lt;&gt;"",IF(ISNUMBER(FIND(",",Tabela1[[#This Row],[10]])),LEN(Tabela1[[#This Row],[10]])-LEN(SUBSTITUTE(Tabela1[[#This Row],[10]],",",""))+1,1),"")</f>
        <v/>
      </c>
      <c r="AJ49" t="str">
        <f>IF(Tabela1[[#This Row],[11]]&lt;&gt;"",IF(ISNUMBER(FIND(",",Tabela1[[#This Row],[11]])),LEN(Tabela1[[#This Row],[11]])-LEN(SUBSTITUTE(Tabela1[[#This Row],[11]],",",""))+1,1),"")</f>
        <v/>
      </c>
      <c r="AK49" t="str">
        <f>IF(Tabela1[[#This Row],[12]]&lt;&gt;"",IF(ISNUMBER(FIND(",",Tabela1[[#This Row],[12]])),LEN(Tabela1[[#This Row],[12]])-LEN(SUBSTITUTE(Tabela1[[#This Row],[12]],",",""))+1,1),"")</f>
        <v/>
      </c>
      <c r="AL49" t="str">
        <f>IF(Tabela1[[#This Row],[13]]&lt;&gt;"",IF(ISNUMBER(FIND(",",Tabela1[[#This Row],[13]])),LEN(Tabela1[[#This Row],[13]])-LEN(SUBSTITUTE(Tabela1[[#This Row],[13]],",",""))+1,1),"")</f>
        <v/>
      </c>
      <c r="AM49" t="str">
        <f>IF(Tabela1[[#This Row],[14]]&lt;&gt;"",IF(ISNUMBER(FIND(",",Tabela1[[#This Row],[14]])),LEN(Tabela1[[#This Row],[14]])-LEN(SUBSTITUTE(Tabela1[[#This Row],[14]],",",""))+1,1),"")</f>
        <v/>
      </c>
      <c r="AN49" t="str">
        <f>IF(Tabela1[[#This Row],[15]]&lt;&gt;"",IF(ISNUMBER(FIND(",",Tabela1[[#This Row],[15]])),LEN(Tabela1[[#This Row],[15]])-LEN(SUBSTITUTE(Tabela1[[#This Row],[15]],",",""))+1,1),"")</f>
        <v/>
      </c>
      <c r="AO49" t="str">
        <f>IF(Tabela1[[#This Row],[16]]&lt;&gt;"",IF(ISNUMBER(FIND(",",Tabela1[[#This Row],[16]])),LEN(Tabela1[[#This Row],[16]])-LEN(SUBSTITUTE(Tabela1[[#This Row],[16]],",",""))+1,1),"")</f>
        <v/>
      </c>
      <c r="AP49" t="str">
        <f>IF(Tabela1[[#This Row],[17]]&lt;&gt;"",IF(ISNUMBER(FIND(",",Tabela1[[#This Row],[17]])),LEN(Tabela1[[#This Row],[17]])-LEN(SUBSTITUTE(Tabela1[[#This Row],[17]],",",""))+1,1),"")</f>
        <v/>
      </c>
      <c r="AQ49" t="str">
        <f>IF(Tabela1[[#This Row],[18]]&lt;&gt;"",IF(ISNUMBER(FIND(",",Tabela1[[#This Row],[18]])),LEN(Tabela1[[#This Row],[18]])-LEN(SUBSTITUTE(Tabela1[[#This Row],[18]],",",""))+1,1),"")</f>
        <v/>
      </c>
      <c r="AR49" s="13" t="str">
        <f>IF(Tabela1[[#This Row],[19_LENGTH]]&lt;&gt;"",IF(ISNUMBER(FIND(",",Tabela1[[#This Row],[19_LENGTH]])),LEN(Tabela1[[#This Row],[19_LENGTH]])-LEN(SUBSTITUTE(Tabela1[[#This Row],[19_LENGTH]],",",""))+1,1),"")</f>
        <v/>
      </c>
      <c r="AS49">
        <f>SUM(Tabela1[[#This Row],[1_]:[19_]])</f>
        <v>1</v>
      </c>
    </row>
    <row r="50" spans="1:45" x14ac:dyDescent="0.25">
      <c r="A50" s="27" t="s">
        <v>1316</v>
      </c>
      <c r="B50" s="19" t="s">
        <v>956</v>
      </c>
      <c r="C50" s="19">
        <v>202</v>
      </c>
      <c r="D50" s="19" t="s">
        <v>1304</v>
      </c>
      <c r="E50" s="20">
        <v>43441</v>
      </c>
      <c r="F50" s="19"/>
      <c r="G50" s="19"/>
      <c r="H50" s="19"/>
      <c r="I50" s="19"/>
      <c r="J50" s="19">
        <v>167</v>
      </c>
      <c r="K50" s="19"/>
      <c r="L50" s="19"/>
      <c r="M50" s="19"/>
      <c r="N50" s="19"/>
      <c r="O50" s="19"/>
      <c r="P50" s="19"/>
      <c r="Q50" s="19"/>
      <c r="R50" s="19"/>
      <c r="S50" s="19"/>
      <c r="T50" s="19"/>
      <c r="U50" s="19"/>
      <c r="V50" s="19"/>
      <c r="W50" s="19"/>
      <c r="X50" s="19"/>
      <c r="Y50" s="19"/>
      <c r="Z50" t="str">
        <f>IF(Tabela1[[#This Row],[1]]&lt;&gt;"",IF(ISNUMBER(FIND(",",Tabela1[[#This Row],[1]])),LEN(Tabela1[[#This Row],[1]])-LEN(SUBSTITUTE(Tabela1[[#This Row],[1]],",",""))+1,1),"")</f>
        <v/>
      </c>
      <c r="AA50" t="str">
        <f>IF(Tabela1[[#This Row],[2]]&lt;&gt;"",IF(ISNUMBER(FIND(",",Tabela1[[#This Row],[2]])),LEN(Tabela1[[#This Row],[2]])-LEN(SUBSTITUTE(Tabela1[[#This Row],[2]],",",""))+1,1),"")</f>
        <v/>
      </c>
      <c r="AB50" t="str">
        <f>IF(Tabela1[[#This Row],[3]]&lt;&gt;"",IF(ISNUMBER(FIND(",",Tabela1[[#This Row],[3]])),LEN(Tabela1[[#This Row],[3]])-LEN(SUBSTITUTE(Tabela1[[#This Row],[3]],",",""))+1,1),"")</f>
        <v/>
      </c>
      <c r="AC50" t="str">
        <f>IF(Tabela1[[#This Row],[4]]&lt;&gt;"",IF(ISNUMBER(FIND(",",Tabela1[[#This Row],[4]])),LEN(Tabela1[[#This Row],[4]])-LEN(SUBSTITUTE(Tabela1[[#This Row],[4]],",",""))+1,1),"")</f>
        <v/>
      </c>
      <c r="AD50">
        <f>IF(Tabela1[[#This Row],[5]]&lt;&gt;"",IF(ISNUMBER(FIND(",",Tabela1[[#This Row],[5]])),LEN(Tabela1[[#This Row],[5]])-LEN(SUBSTITUTE(Tabela1[[#This Row],[5]],",",""))+1,1),"")</f>
        <v>1</v>
      </c>
      <c r="AE50" t="str">
        <f>IF(Tabela1[[#This Row],[6]]&lt;&gt;"",IF(ISNUMBER(FIND(",",Tabela1[[#This Row],[6]])),LEN(Tabela1[[#This Row],[6]])-LEN(SUBSTITUTE(Tabela1[[#This Row],[6]],",",""))+1,1),"")</f>
        <v/>
      </c>
      <c r="AF50" t="str">
        <f>IF(Tabela1[[#This Row],[7]]&lt;&gt;"",IF(ISNUMBER(FIND(",",Tabela1[[#This Row],[7]])),LEN(Tabela1[[#This Row],[7]])-LEN(SUBSTITUTE(Tabela1[[#This Row],[7]],",",""))+1,1),"")</f>
        <v/>
      </c>
      <c r="AG50" t="str">
        <f>IF(Tabela1[[#This Row],[8]]&lt;&gt;"",IF(ISNUMBER(FIND(",",Tabela1[[#This Row],[8]])),LEN(Tabela1[[#This Row],[8]])-LEN(SUBSTITUTE(Tabela1[[#This Row],[8]],",",""))+1,1),"")</f>
        <v/>
      </c>
      <c r="AH50" t="str">
        <f>IF(Tabela1[[#This Row],[9]]&lt;&gt;"",IF(ISNUMBER(FIND(",",Tabela1[[#This Row],[9]])),LEN(Tabela1[[#This Row],[9]])-LEN(SUBSTITUTE(Tabela1[[#This Row],[9]],",",""))+1,1),"")</f>
        <v/>
      </c>
      <c r="AI50" t="str">
        <f>IF(Tabela1[[#This Row],[10]]&lt;&gt;"",IF(ISNUMBER(FIND(",",Tabela1[[#This Row],[10]])),LEN(Tabela1[[#This Row],[10]])-LEN(SUBSTITUTE(Tabela1[[#This Row],[10]],",",""))+1,1),"")</f>
        <v/>
      </c>
      <c r="AJ50" t="str">
        <f>IF(Tabela1[[#This Row],[11]]&lt;&gt;"",IF(ISNUMBER(FIND(",",Tabela1[[#This Row],[11]])),LEN(Tabela1[[#This Row],[11]])-LEN(SUBSTITUTE(Tabela1[[#This Row],[11]],",",""))+1,1),"")</f>
        <v/>
      </c>
      <c r="AK50" t="str">
        <f>IF(Tabela1[[#This Row],[12]]&lt;&gt;"",IF(ISNUMBER(FIND(",",Tabela1[[#This Row],[12]])),LEN(Tabela1[[#This Row],[12]])-LEN(SUBSTITUTE(Tabela1[[#This Row],[12]],",",""))+1,1),"")</f>
        <v/>
      </c>
      <c r="AL50" t="str">
        <f>IF(Tabela1[[#This Row],[13]]&lt;&gt;"",IF(ISNUMBER(FIND(",",Tabela1[[#This Row],[13]])),LEN(Tabela1[[#This Row],[13]])-LEN(SUBSTITUTE(Tabela1[[#This Row],[13]],",",""))+1,1),"")</f>
        <v/>
      </c>
      <c r="AM50" t="str">
        <f>IF(Tabela1[[#This Row],[14]]&lt;&gt;"",IF(ISNUMBER(FIND(",",Tabela1[[#This Row],[14]])),LEN(Tabela1[[#This Row],[14]])-LEN(SUBSTITUTE(Tabela1[[#This Row],[14]],",",""))+1,1),"")</f>
        <v/>
      </c>
      <c r="AN50" t="str">
        <f>IF(Tabela1[[#This Row],[15]]&lt;&gt;"",IF(ISNUMBER(FIND(",",Tabela1[[#This Row],[15]])),LEN(Tabela1[[#This Row],[15]])-LEN(SUBSTITUTE(Tabela1[[#This Row],[15]],",",""))+1,1),"")</f>
        <v/>
      </c>
      <c r="AO50" t="str">
        <f>IF(Tabela1[[#This Row],[16]]&lt;&gt;"",IF(ISNUMBER(FIND(",",Tabela1[[#This Row],[16]])),LEN(Tabela1[[#This Row],[16]])-LEN(SUBSTITUTE(Tabela1[[#This Row],[16]],",",""))+1,1),"")</f>
        <v/>
      </c>
      <c r="AP50" t="str">
        <f>IF(Tabela1[[#This Row],[17]]&lt;&gt;"",IF(ISNUMBER(FIND(",",Tabela1[[#This Row],[17]])),LEN(Tabela1[[#This Row],[17]])-LEN(SUBSTITUTE(Tabela1[[#This Row],[17]],",",""))+1,1),"")</f>
        <v/>
      </c>
      <c r="AQ50" t="str">
        <f>IF(Tabela1[[#This Row],[18]]&lt;&gt;"",IF(ISNUMBER(FIND(",",Tabela1[[#This Row],[18]])),LEN(Tabela1[[#This Row],[18]])-LEN(SUBSTITUTE(Tabela1[[#This Row],[18]],",",""))+1,1),"")</f>
        <v/>
      </c>
      <c r="AR50" s="13" t="str">
        <f>IF(Tabela1[[#This Row],[19_LENGTH]]&lt;&gt;"",IF(ISNUMBER(FIND(",",Tabela1[[#This Row],[19_LENGTH]])),LEN(Tabela1[[#This Row],[19_LENGTH]])-LEN(SUBSTITUTE(Tabela1[[#This Row],[19_LENGTH]],",",""))+1,1),"")</f>
        <v/>
      </c>
      <c r="AS50">
        <f>SUM(Tabela1[[#This Row],[1_]:[19_]])</f>
        <v>1</v>
      </c>
    </row>
    <row r="51" spans="1:45" x14ac:dyDescent="0.25">
      <c r="A51" s="27" t="s">
        <v>1316</v>
      </c>
      <c r="B51" s="19" t="s">
        <v>321</v>
      </c>
      <c r="C51" s="19">
        <v>210</v>
      </c>
      <c r="D51" s="19" t="s">
        <v>1300</v>
      </c>
      <c r="E51" s="20">
        <v>43441</v>
      </c>
      <c r="F51" s="19"/>
      <c r="G51" s="19"/>
      <c r="H51" s="19"/>
      <c r="I51" s="19">
        <v>74</v>
      </c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Z51" t="str">
        <f>IF(Tabela1[[#This Row],[1]]&lt;&gt;"",IF(ISNUMBER(FIND(",",Tabela1[[#This Row],[1]])),LEN(Tabela1[[#This Row],[1]])-LEN(SUBSTITUTE(Tabela1[[#This Row],[1]],",",""))+1,1),"")</f>
        <v/>
      </c>
      <c r="AA51" t="str">
        <f>IF(Tabela1[[#This Row],[2]]&lt;&gt;"",IF(ISNUMBER(FIND(",",Tabela1[[#This Row],[2]])),LEN(Tabela1[[#This Row],[2]])-LEN(SUBSTITUTE(Tabela1[[#This Row],[2]],",",""))+1,1),"")</f>
        <v/>
      </c>
      <c r="AB51" t="str">
        <f>IF(Tabela1[[#This Row],[3]]&lt;&gt;"",IF(ISNUMBER(FIND(",",Tabela1[[#This Row],[3]])),LEN(Tabela1[[#This Row],[3]])-LEN(SUBSTITUTE(Tabela1[[#This Row],[3]],",",""))+1,1),"")</f>
        <v/>
      </c>
      <c r="AC51">
        <f>IF(Tabela1[[#This Row],[4]]&lt;&gt;"",IF(ISNUMBER(FIND(",",Tabela1[[#This Row],[4]])),LEN(Tabela1[[#This Row],[4]])-LEN(SUBSTITUTE(Tabela1[[#This Row],[4]],",",""))+1,1),"")</f>
        <v>1</v>
      </c>
      <c r="AD51" t="str">
        <f>IF(Tabela1[[#This Row],[5]]&lt;&gt;"",IF(ISNUMBER(FIND(",",Tabela1[[#This Row],[5]])),LEN(Tabela1[[#This Row],[5]])-LEN(SUBSTITUTE(Tabela1[[#This Row],[5]],",",""))+1,1),"")</f>
        <v/>
      </c>
      <c r="AE51" t="str">
        <f>IF(Tabela1[[#This Row],[6]]&lt;&gt;"",IF(ISNUMBER(FIND(",",Tabela1[[#This Row],[6]])),LEN(Tabela1[[#This Row],[6]])-LEN(SUBSTITUTE(Tabela1[[#This Row],[6]],",",""))+1,1),"")</f>
        <v/>
      </c>
      <c r="AF51" t="str">
        <f>IF(Tabela1[[#This Row],[7]]&lt;&gt;"",IF(ISNUMBER(FIND(",",Tabela1[[#This Row],[7]])),LEN(Tabela1[[#This Row],[7]])-LEN(SUBSTITUTE(Tabela1[[#This Row],[7]],",",""))+1,1),"")</f>
        <v/>
      </c>
      <c r="AG51" t="str">
        <f>IF(Tabela1[[#This Row],[8]]&lt;&gt;"",IF(ISNUMBER(FIND(",",Tabela1[[#This Row],[8]])),LEN(Tabela1[[#This Row],[8]])-LEN(SUBSTITUTE(Tabela1[[#This Row],[8]],",",""))+1,1),"")</f>
        <v/>
      </c>
      <c r="AH51" t="str">
        <f>IF(Tabela1[[#This Row],[9]]&lt;&gt;"",IF(ISNUMBER(FIND(",",Tabela1[[#This Row],[9]])),LEN(Tabela1[[#This Row],[9]])-LEN(SUBSTITUTE(Tabela1[[#This Row],[9]],",",""))+1,1),"")</f>
        <v/>
      </c>
      <c r="AI51" t="str">
        <f>IF(Tabela1[[#This Row],[10]]&lt;&gt;"",IF(ISNUMBER(FIND(",",Tabela1[[#This Row],[10]])),LEN(Tabela1[[#This Row],[10]])-LEN(SUBSTITUTE(Tabela1[[#This Row],[10]],",",""))+1,1),"")</f>
        <v/>
      </c>
      <c r="AJ51" t="str">
        <f>IF(Tabela1[[#This Row],[11]]&lt;&gt;"",IF(ISNUMBER(FIND(",",Tabela1[[#This Row],[11]])),LEN(Tabela1[[#This Row],[11]])-LEN(SUBSTITUTE(Tabela1[[#This Row],[11]],",",""))+1,1),"")</f>
        <v/>
      </c>
      <c r="AK51" t="str">
        <f>IF(Tabela1[[#This Row],[12]]&lt;&gt;"",IF(ISNUMBER(FIND(",",Tabela1[[#This Row],[12]])),LEN(Tabela1[[#This Row],[12]])-LEN(SUBSTITUTE(Tabela1[[#This Row],[12]],",",""))+1,1),"")</f>
        <v/>
      </c>
      <c r="AL51" t="str">
        <f>IF(Tabela1[[#This Row],[13]]&lt;&gt;"",IF(ISNUMBER(FIND(",",Tabela1[[#This Row],[13]])),LEN(Tabela1[[#This Row],[13]])-LEN(SUBSTITUTE(Tabela1[[#This Row],[13]],",",""))+1,1),"")</f>
        <v/>
      </c>
      <c r="AM51" t="str">
        <f>IF(Tabela1[[#This Row],[14]]&lt;&gt;"",IF(ISNUMBER(FIND(",",Tabela1[[#This Row],[14]])),LEN(Tabela1[[#This Row],[14]])-LEN(SUBSTITUTE(Tabela1[[#This Row],[14]],",",""))+1,1),"")</f>
        <v/>
      </c>
      <c r="AN51" t="str">
        <f>IF(Tabela1[[#This Row],[15]]&lt;&gt;"",IF(ISNUMBER(FIND(",",Tabela1[[#This Row],[15]])),LEN(Tabela1[[#This Row],[15]])-LEN(SUBSTITUTE(Tabela1[[#This Row],[15]],",",""))+1,1),"")</f>
        <v/>
      </c>
      <c r="AO51" t="str">
        <f>IF(Tabela1[[#This Row],[16]]&lt;&gt;"",IF(ISNUMBER(FIND(",",Tabela1[[#This Row],[16]])),LEN(Tabela1[[#This Row],[16]])-LEN(SUBSTITUTE(Tabela1[[#This Row],[16]],",",""))+1,1),"")</f>
        <v/>
      </c>
      <c r="AP51" t="str">
        <f>IF(Tabela1[[#This Row],[17]]&lt;&gt;"",IF(ISNUMBER(FIND(",",Tabela1[[#This Row],[17]])),LEN(Tabela1[[#This Row],[17]])-LEN(SUBSTITUTE(Tabela1[[#This Row],[17]],",",""))+1,1),"")</f>
        <v/>
      </c>
      <c r="AQ51" t="str">
        <f>IF(Tabela1[[#This Row],[18]]&lt;&gt;"",IF(ISNUMBER(FIND(",",Tabela1[[#This Row],[18]])),LEN(Tabela1[[#This Row],[18]])-LEN(SUBSTITUTE(Tabela1[[#This Row],[18]],",",""))+1,1),"")</f>
        <v/>
      </c>
      <c r="AR51" s="13" t="str">
        <f>IF(Tabela1[[#This Row],[19_LENGTH]]&lt;&gt;"",IF(ISNUMBER(FIND(",",Tabela1[[#This Row],[19_LENGTH]])),LEN(Tabela1[[#This Row],[19_LENGTH]])-LEN(SUBSTITUTE(Tabela1[[#This Row],[19_LENGTH]],",",""))+1,1),"")</f>
        <v/>
      </c>
      <c r="AS51">
        <f>SUM(Tabela1[[#This Row],[1_]:[19_]])</f>
        <v>1</v>
      </c>
    </row>
    <row r="52" spans="1:45" x14ac:dyDescent="0.25">
      <c r="A52" s="27" t="s">
        <v>1316</v>
      </c>
      <c r="B52" s="19" t="s">
        <v>298</v>
      </c>
      <c r="C52" s="19">
        <v>202</v>
      </c>
      <c r="D52" s="19" t="s">
        <v>1296</v>
      </c>
      <c r="E52" s="20">
        <v>43444</v>
      </c>
      <c r="F52" s="19"/>
      <c r="G52" s="19"/>
      <c r="H52" s="19"/>
      <c r="I52" s="19">
        <v>96</v>
      </c>
      <c r="J52" s="19"/>
      <c r="K52" s="19"/>
      <c r="L52" s="19"/>
      <c r="M52" s="19"/>
      <c r="N52" s="19"/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Z52" t="str">
        <f>IF(Tabela1[[#This Row],[1]]&lt;&gt;"",IF(ISNUMBER(FIND(",",Tabela1[[#This Row],[1]])),LEN(Tabela1[[#This Row],[1]])-LEN(SUBSTITUTE(Tabela1[[#This Row],[1]],",",""))+1,1),"")</f>
        <v/>
      </c>
      <c r="AA52" t="str">
        <f>IF(Tabela1[[#This Row],[2]]&lt;&gt;"",IF(ISNUMBER(FIND(",",Tabela1[[#This Row],[2]])),LEN(Tabela1[[#This Row],[2]])-LEN(SUBSTITUTE(Tabela1[[#This Row],[2]],",",""))+1,1),"")</f>
        <v/>
      </c>
      <c r="AB52" t="str">
        <f>IF(Tabela1[[#This Row],[3]]&lt;&gt;"",IF(ISNUMBER(FIND(",",Tabela1[[#This Row],[3]])),LEN(Tabela1[[#This Row],[3]])-LEN(SUBSTITUTE(Tabela1[[#This Row],[3]],",",""))+1,1),"")</f>
        <v/>
      </c>
      <c r="AC52">
        <f>IF(Tabela1[[#This Row],[4]]&lt;&gt;"",IF(ISNUMBER(FIND(",",Tabela1[[#This Row],[4]])),LEN(Tabela1[[#This Row],[4]])-LEN(SUBSTITUTE(Tabela1[[#This Row],[4]],",",""))+1,1),"")</f>
        <v>1</v>
      </c>
      <c r="AD52" t="str">
        <f>IF(Tabela1[[#This Row],[5]]&lt;&gt;"",IF(ISNUMBER(FIND(",",Tabela1[[#This Row],[5]])),LEN(Tabela1[[#This Row],[5]])-LEN(SUBSTITUTE(Tabela1[[#This Row],[5]],",",""))+1,1),"")</f>
        <v/>
      </c>
      <c r="AE52" t="str">
        <f>IF(Tabela1[[#This Row],[6]]&lt;&gt;"",IF(ISNUMBER(FIND(",",Tabela1[[#This Row],[6]])),LEN(Tabela1[[#This Row],[6]])-LEN(SUBSTITUTE(Tabela1[[#This Row],[6]],",",""))+1,1),"")</f>
        <v/>
      </c>
      <c r="AF52" t="str">
        <f>IF(Tabela1[[#This Row],[7]]&lt;&gt;"",IF(ISNUMBER(FIND(",",Tabela1[[#This Row],[7]])),LEN(Tabela1[[#This Row],[7]])-LEN(SUBSTITUTE(Tabela1[[#This Row],[7]],",",""))+1,1),"")</f>
        <v/>
      </c>
      <c r="AG52" t="str">
        <f>IF(Tabela1[[#This Row],[8]]&lt;&gt;"",IF(ISNUMBER(FIND(",",Tabela1[[#This Row],[8]])),LEN(Tabela1[[#This Row],[8]])-LEN(SUBSTITUTE(Tabela1[[#This Row],[8]],",",""))+1,1),"")</f>
        <v/>
      </c>
      <c r="AH52" t="str">
        <f>IF(Tabela1[[#This Row],[9]]&lt;&gt;"",IF(ISNUMBER(FIND(",",Tabela1[[#This Row],[9]])),LEN(Tabela1[[#This Row],[9]])-LEN(SUBSTITUTE(Tabela1[[#This Row],[9]],",",""))+1,1),"")</f>
        <v/>
      </c>
      <c r="AI52" t="str">
        <f>IF(Tabela1[[#This Row],[10]]&lt;&gt;"",IF(ISNUMBER(FIND(",",Tabela1[[#This Row],[10]])),LEN(Tabela1[[#This Row],[10]])-LEN(SUBSTITUTE(Tabela1[[#This Row],[10]],",",""))+1,1),"")</f>
        <v/>
      </c>
      <c r="AJ52" t="str">
        <f>IF(Tabela1[[#This Row],[11]]&lt;&gt;"",IF(ISNUMBER(FIND(",",Tabela1[[#This Row],[11]])),LEN(Tabela1[[#This Row],[11]])-LEN(SUBSTITUTE(Tabela1[[#This Row],[11]],",",""))+1,1),"")</f>
        <v/>
      </c>
      <c r="AK52" t="str">
        <f>IF(Tabela1[[#This Row],[12]]&lt;&gt;"",IF(ISNUMBER(FIND(",",Tabela1[[#This Row],[12]])),LEN(Tabela1[[#This Row],[12]])-LEN(SUBSTITUTE(Tabela1[[#This Row],[12]],",",""))+1,1),"")</f>
        <v/>
      </c>
      <c r="AL52" t="str">
        <f>IF(Tabela1[[#This Row],[13]]&lt;&gt;"",IF(ISNUMBER(FIND(",",Tabela1[[#This Row],[13]])),LEN(Tabela1[[#This Row],[13]])-LEN(SUBSTITUTE(Tabela1[[#This Row],[13]],",",""))+1,1),"")</f>
        <v/>
      </c>
      <c r="AM52" t="str">
        <f>IF(Tabela1[[#This Row],[14]]&lt;&gt;"",IF(ISNUMBER(FIND(",",Tabela1[[#This Row],[14]])),LEN(Tabela1[[#This Row],[14]])-LEN(SUBSTITUTE(Tabela1[[#This Row],[14]],",",""))+1,1),"")</f>
        <v/>
      </c>
      <c r="AN52" t="str">
        <f>IF(Tabela1[[#This Row],[15]]&lt;&gt;"",IF(ISNUMBER(FIND(",",Tabela1[[#This Row],[15]])),LEN(Tabela1[[#This Row],[15]])-LEN(SUBSTITUTE(Tabela1[[#This Row],[15]],",",""))+1,1),"")</f>
        <v/>
      </c>
      <c r="AO52" t="str">
        <f>IF(Tabela1[[#This Row],[16]]&lt;&gt;"",IF(ISNUMBER(FIND(",",Tabela1[[#This Row],[16]])),LEN(Tabela1[[#This Row],[16]])-LEN(SUBSTITUTE(Tabela1[[#This Row],[16]],",",""))+1,1),"")</f>
        <v/>
      </c>
      <c r="AP52" t="str">
        <f>IF(Tabela1[[#This Row],[17]]&lt;&gt;"",IF(ISNUMBER(FIND(",",Tabela1[[#This Row],[17]])),LEN(Tabela1[[#This Row],[17]])-LEN(SUBSTITUTE(Tabela1[[#This Row],[17]],",",""))+1,1),"")</f>
        <v/>
      </c>
      <c r="AQ52" t="str">
        <f>IF(Tabela1[[#This Row],[18]]&lt;&gt;"",IF(ISNUMBER(FIND(",",Tabela1[[#This Row],[18]])),LEN(Tabela1[[#This Row],[18]])-LEN(SUBSTITUTE(Tabela1[[#This Row],[18]],",",""))+1,1),"")</f>
        <v/>
      </c>
      <c r="AR52" s="13" t="str">
        <f>IF(Tabela1[[#This Row],[19_LENGTH]]&lt;&gt;"",IF(ISNUMBER(FIND(",",Tabela1[[#This Row],[19_LENGTH]])),LEN(Tabela1[[#This Row],[19_LENGTH]])-LEN(SUBSTITUTE(Tabela1[[#This Row],[19_LENGTH]],",",""))+1,1),"")</f>
        <v/>
      </c>
      <c r="AS52">
        <f>SUM(Tabela1[[#This Row],[1_]:[19_]])</f>
        <v>1</v>
      </c>
    </row>
    <row r="53" spans="1:45" x14ac:dyDescent="0.25">
      <c r="A53" s="27" t="s">
        <v>1316</v>
      </c>
      <c r="B53" s="19" t="s">
        <v>957</v>
      </c>
      <c r="C53" s="19">
        <v>96</v>
      </c>
      <c r="D53" s="19" t="s">
        <v>1314</v>
      </c>
      <c r="E53" s="20">
        <v>43444</v>
      </c>
      <c r="F53" s="19"/>
      <c r="G53" s="19"/>
      <c r="H53" s="19" t="s">
        <v>22</v>
      </c>
      <c r="I53" s="19"/>
      <c r="J53" s="19"/>
      <c r="K53" s="19"/>
      <c r="L53" s="19"/>
      <c r="M53" s="19"/>
      <c r="N53" s="19"/>
      <c r="O53" s="19"/>
      <c r="P53" s="19"/>
      <c r="Q53" s="19"/>
      <c r="R53" s="19"/>
      <c r="S53" s="19"/>
      <c r="T53" s="19"/>
      <c r="U53" s="19">
        <v>25</v>
      </c>
      <c r="V53" s="19"/>
      <c r="W53" s="19"/>
      <c r="X53" s="19"/>
      <c r="Y53" s="19"/>
      <c r="Z53" t="str">
        <f>IF(Tabela1[[#This Row],[1]]&lt;&gt;"",IF(ISNUMBER(FIND(",",Tabela1[[#This Row],[1]])),LEN(Tabela1[[#This Row],[1]])-LEN(SUBSTITUTE(Tabela1[[#This Row],[1]],",",""))+1,1),"")</f>
        <v/>
      </c>
      <c r="AA53" t="str">
        <f>IF(Tabela1[[#This Row],[2]]&lt;&gt;"",IF(ISNUMBER(FIND(",",Tabela1[[#This Row],[2]])),LEN(Tabela1[[#This Row],[2]])-LEN(SUBSTITUTE(Tabela1[[#This Row],[2]],",",""))+1,1),"")</f>
        <v/>
      </c>
      <c r="AB53">
        <f>IF(Tabela1[[#This Row],[3]]&lt;&gt;"",IF(ISNUMBER(FIND(",",Tabela1[[#This Row],[3]])),LEN(Tabela1[[#This Row],[3]])-LEN(SUBSTITUTE(Tabela1[[#This Row],[3]],",",""))+1,1),"")</f>
        <v>1</v>
      </c>
      <c r="AC53" t="str">
        <f>IF(Tabela1[[#This Row],[4]]&lt;&gt;"",IF(ISNUMBER(FIND(",",Tabela1[[#This Row],[4]])),LEN(Tabela1[[#This Row],[4]])-LEN(SUBSTITUTE(Tabela1[[#This Row],[4]],",",""))+1,1),"")</f>
        <v/>
      </c>
      <c r="AD53" t="str">
        <f>IF(Tabela1[[#This Row],[5]]&lt;&gt;"",IF(ISNUMBER(FIND(",",Tabela1[[#This Row],[5]])),LEN(Tabela1[[#This Row],[5]])-LEN(SUBSTITUTE(Tabela1[[#This Row],[5]],",",""))+1,1),"")</f>
        <v/>
      </c>
      <c r="AE53" t="str">
        <f>IF(Tabela1[[#This Row],[6]]&lt;&gt;"",IF(ISNUMBER(FIND(",",Tabela1[[#This Row],[6]])),LEN(Tabela1[[#This Row],[6]])-LEN(SUBSTITUTE(Tabela1[[#This Row],[6]],",",""))+1,1),"")</f>
        <v/>
      </c>
      <c r="AF53" t="str">
        <f>IF(Tabela1[[#This Row],[7]]&lt;&gt;"",IF(ISNUMBER(FIND(",",Tabela1[[#This Row],[7]])),LEN(Tabela1[[#This Row],[7]])-LEN(SUBSTITUTE(Tabela1[[#This Row],[7]],",",""))+1,1),"")</f>
        <v/>
      </c>
      <c r="AG53" t="str">
        <f>IF(Tabela1[[#This Row],[8]]&lt;&gt;"",IF(ISNUMBER(FIND(",",Tabela1[[#This Row],[8]])),LEN(Tabela1[[#This Row],[8]])-LEN(SUBSTITUTE(Tabela1[[#This Row],[8]],",",""))+1,1),"")</f>
        <v/>
      </c>
      <c r="AH53" t="str">
        <f>IF(Tabela1[[#This Row],[9]]&lt;&gt;"",IF(ISNUMBER(FIND(",",Tabela1[[#This Row],[9]])),LEN(Tabela1[[#This Row],[9]])-LEN(SUBSTITUTE(Tabela1[[#This Row],[9]],",",""))+1,1),"")</f>
        <v/>
      </c>
      <c r="AI53" t="str">
        <f>IF(Tabela1[[#This Row],[10]]&lt;&gt;"",IF(ISNUMBER(FIND(",",Tabela1[[#This Row],[10]])),LEN(Tabela1[[#This Row],[10]])-LEN(SUBSTITUTE(Tabela1[[#This Row],[10]],",",""))+1,1),"")</f>
        <v/>
      </c>
      <c r="AJ53" t="str">
        <f>IF(Tabela1[[#This Row],[11]]&lt;&gt;"",IF(ISNUMBER(FIND(",",Tabela1[[#This Row],[11]])),LEN(Tabela1[[#This Row],[11]])-LEN(SUBSTITUTE(Tabela1[[#This Row],[11]],",",""))+1,1),"")</f>
        <v/>
      </c>
      <c r="AK53" t="str">
        <f>IF(Tabela1[[#This Row],[12]]&lt;&gt;"",IF(ISNUMBER(FIND(",",Tabela1[[#This Row],[12]])),LEN(Tabela1[[#This Row],[12]])-LEN(SUBSTITUTE(Tabela1[[#This Row],[12]],",",""))+1,1),"")</f>
        <v/>
      </c>
      <c r="AL53" t="str">
        <f>IF(Tabela1[[#This Row],[13]]&lt;&gt;"",IF(ISNUMBER(FIND(",",Tabela1[[#This Row],[13]])),LEN(Tabela1[[#This Row],[13]])-LEN(SUBSTITUTE(Tabela1[[#This Row],[13]],",",""))+1,1),"")</f>
        <v/>
      </c>
      <c r="AM53" t="str">
        <f>IF(Tabela1[[#This Row],[14]]&lt;&gt;"",IF(ISNUMBER(FIND(",",Tabela1[[#This Row],[14]])),LEN(Tabela1[[#This Row],[14]])-LEN(SUBSTITUTE(Tabela1[[#This Row],[14]],",",""))+1,1),"")</f>
        <v/>
      </c>
      <c r="AN53" t="str">
        <f>IF(Tabela1[[#This Row],[15]]&lt;&gt;"",IF(ISNUMBER(FIND(",",Tabela1[[#This Row],[15]])),LEN(Tabela1[[#This Row],[15]])-LEN(SUBSTITUTE(Tabela1[[#This Row],[15]],",",""))+1,1),"")</f>
        <v/>
      </c>
      <c r="AO53">
        <f>IF(Tabela1[[#This Row],[16]]&lt;&gt;"",IF(ISNUMBER(FIND(",",Tabela1[[#This Row],[16]])),LEN(Tabela1[[#This Row],[16]])-LEN(SUBSTITUTE(Tabela1[[#This Row],[16]],",",""))+1,1),"")</f>
        <v>1</v>
      </c>
      <c r="AP53" t="str">
        <f>IF(Tabela1[[#This Row],[17]]&lt;&gt;"",IF(ISNUMBER(FIND(",",Tabela1[[#This Row],[17]])),LEN(Tabela1[[#This Row],[17]])-LEN(SUBSTITUTE(Tabela1[[#This Row],[17]],",",""))+1,1),"")</f>
        <v/>
      </c>
      <c r="AQ53" t="str">
        <f>IF(Tabela1[[#This Row],[18]]&lt;&gt;"",IF(ISNUMBER(FIND(",",Tabela1[[#This Row],[18]])),LEN(Tabela1[[#This Row],[18]])-LEN(SUBSTITUTE(Tabela1[[#This Row],[18]],",",""))+1,1),"")</f>
        <v/>
      </c>
      <c r="AR53" s="13" t="str">
        <f>IF(Tabela1[[#This Row],[19_LENGTH]]&lt;&gt;"",IF(ISNUMBER(FIND(",",Tabela1[[#This Row],[19_LENGTH]])),LEN(Tabela1[[#This Row],[19_LENGTH]])-LEN(SUBSTITUTE(Tabela1[[#This Row],[19_LENGTH]],",",""))+1,1),"")</f>
        <v/>
      </c>
      <c r="AS53">
        <f>SUM(Tabela1[[#This Row],[1_]:[19_]])</f>
        <v>2</v>
      </c>
    </row>
    <row r="54" spans="1:45" x14ac:dyDescent="0.25">
      <c r="A54" s="27" t="s">
        <v>1316</v>
      </c>
      <c r="B54" s="19" t="s">
        <v>684</v>
      </c>
      <c r="C54" s="19">
        <v>202</v>
      </c>
      <c r="D54" s="19" t="s">
        <v>1296</v>
      </c>
      <c r="E54" s="20">
        <v>43444</v>
      </c>
      <c r="F54" s="19"/>
      <c r="G54" s="19"/>
      <c r="H54" s="19"/>
      <c r="I54" s="19"/>
      <c r="J54" s="19">
        <v>127</v>
      </c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t="str">
        <f>IF(Tabela1[[#This Row],[1]]&lt;&gt;"",IF(ISNUMBER(FIND(",",Tabela1[[#This Row],[1]])),LEN(Tabela1[[#This Row],[1]])-LEN(SUBSTITUTE(Tabela1[[#This Row],[1]],",",""))+1,1),"")</f>
        <v/>
      </c>
      <c r="AA54" t="str">
        <f>IF(Tabela1[[#This Row],[2]]&lt;&gt;"",IF(ISNUMBER(FIND(",",Tabela1[[#This Row],[2]])),LEN(Tabela1[[#This Row],[2]])-LEN(SUBSTITUTE(Tabela1[[#This Row],[2]],",",""))+1,1),"")</f>
        <v/>
      </c>
      <c r="AB54" t="str">
        <f>IF(Tabela1[[#This Row],[3]]&lt;&gt;"",IF(ISNUMBER(FIND(",",Tabela1[[#This Row],[3]])),LEN(Tabela1[[#This Row],[3]])-LEN(SUBSTITUTE(Tabela1[[#This Row],[3]],",",""))+1,1),"")</f>
        <v/>
      </c>
      <c r="AC54" t="str">
        <f>IF(Tabela1[[#This Row],[4]]&lt;&gt;"",IF(ISNUMBER(FIND(",",Tabela1[[#This Row],[4]])),LEN(Tabela1[[#This Row],[4]])-LEN(SUBSTITUTE(Tabela1[[#This Row],[4]],",",""))+1,1),"")</f>
        <v/>
      </c>
      <c r="AD54">
        <f>IF(Tabela1[[#This Row],[5]]&lt;&gt;"",IF(ISNUMBER(FIND(",",Tabela1[[#This Row],[5]])),LEN(Tabela1[[#This Row],[5]])-LEN(SUBSTITUTE(Tabela1[[#This Row],[5]],",",""))+1,1),"")</f>
        <v>1</v>
      </c>
      <c r="AE54" t="str">
        <f>IF(Tabela1[[#This Row],[6]]&lt;&gt;"",IF(ISNUMBER(FIND(",",Tabela1[[#This Row],[6]])),LEN(Tabela1[[#This Row],[6]])-LEN(SUBSTITUTE(Tabela1[[#This Row],[6]],",",""))+1,1),"")</f>
        <v/>
      </c>
      <c r="AF54" t="str">
        <f>IF(Tabela1[[#This Row],[7]]&lt;&gt;"",IF(ISNUMBER(FIND(",",Tabela1[[#This Row],[7]])),LEN(Tabela1[[#This Row],[7]])-LEN(SUBSTITUTE(Tabela1[[#This Row],[7]],",",""))+1,1),"")</f>
        <v/>
      </c>
      <c r="AG54" t="str">
        <f>IF(Tabela1[[#This Row],[8]]&lt;&gt;"",IF(ISNUMBER(FIND(",",Tabela1[[#This Row],[8]])),LEN(Tabela1[[#This Row],[8]])-LEN(SUBSTITUTE(Tabela1[[#This Row],[8]],",",""))+1,1),"")</f>
        <v/>
      </c>
      <c r="AH54" t="str">
        <f>IF(Tabela1[[#This Row],[9]]&lt;&gt;"",IF(ISNUMBER(FIND(",",Tabela1[[#This Row],[9]])),LEN(Tabela1[[#This Row],[9]])-LEN(SUBSTITUTE(Tabela1[[#This Row],[9]],",",""))+1,1),"")</f>
        <v/>
      </c>
      <c r="AI54" t="str">
        <f>IF(Tabela1[[#This Row],[10]]&lt;&gt;"",IF(ISNUMBER(FIND(",",Tabela1[[#This Row],[10]])),LEN(Tabela1[[#This Row],[10]])-LEN(SUBSTITUTE(Tabela1[[#This Row],[10]],",",""))+1,1),"")</f>
        <v/>
      </c>
      <c r="AJ54" t="str">
        <f>IF(Tabela1[[#This Row],[11]]&lt;&gt;"",IF(ISNUMBER(FIND(",",Tabela1[[#This Row],[11]])),LEN(Tabela1[[#This Row],[11]])-LEN(SUBSTITUTE(Tabela1[[#This Row],[11]],",",""))+1,1),"")</f>
        <v/>
      </c>
      <c r="AK54" t="str">
        <f>IF(Tabela1[[#This Row],[12]]&lt;&gt;"",IF(ISNUMBER(FIND(",",Tabela1[[#This Row],[12]])),LEN(Tabela1[[#This Row],[12]])-LEN(SUBSTITUTE(Tabela1[[#This Row],[12]],",",""))+1,1),"")</f>
        <v/>
      </c>
      <c r="AL54" t="str">
        <f>IF(Tabela1[[#This Row],[13]]&lt;&gt;"",IF(ISNUMBER(FIND(",",Tabela1[[#This Row],[13]])),LEN(Tabela1[[#This Row],[13]])-LEN(SUBSTITUTE(Tabela1[[#This Row],[13]],",",""))+1,1),"")</f>
        <v/>
      </c>
      <c r="AM54" t="str">
        <f>IF(Tabela1[[#This Row],[14]]&lt;&gt;"",IF(ISNUMBER(FIND(",",Tabela1[[#This Row],[14]])),LEN(Tabela1[[#This Row],[14]])-LEN(SUBSTITUTE(Tabela1[[#This Row],[14]],",",""))+1,1),"")</f>
        <v/>
      </c>
      <c r="AN54" t="str">
        <f>IF(Tabela1[[#This Row],[15]]&lt;&gt;"",IF(ISNUMBER(FIND(",",Tabela1[[#This Row],[15]])),LEN(Tabela1[[#This Row],[15]])-LEN(SUBSTITUTE(Tabela1[[#This Row],[15]],",",""))+1,1),"")</f>
        <v/>
      </c>
      <c r="AO54" t="str">
        <f>IF(Tabela1[[#This Row],[16]]&lt;&gt;"",IF(ISNUMBER(FIND(",",Tabela1[[#This Row],[16]])),LEN(Tabela1[[#This Row],[16]])-LEN(SUBSTITUTE(Tabela1[[#This Row],[16]],",",""))+1,1),"")</f>
        <v/>
      </c>
      <c r="AP54" t="str">
        <f>IF(Tabela1[[#This Row],[17]]&lt;&gt;"",IF(ISNUMBER(FIND(",",Tabela1[[#This Row],[17]])),LEN(Tabela1[[#This Row],[17]])-LEN(SUBSTITUTE(Tabela1[[#This Row],[17]],",",""))+1,1),"")</f>
        <v/>
      </c>
      <c r="AQ54" t="str">
        <f>IF(Tabela1[[#This Row],[18]]&lt;&gt;"",IF(ISNUMBER(FIND(",",Tabela1[[#This Row],[18]])),LEN(Tabela1[[#This Row],[18]])-LEN(SUBSTITUTE(Tabela1[[#This Row],[18]],",",""))+1,1),"")</f>
        <v/>
      </c>
      <c r="AR54" s="13" t="str">
        <f>IF(Tabela1[[#This Row],[19_LENGTH]]&lt;&gt;"",IF(ISNUMBER(FIND(",",Tabela1[[#This Row],[19_LENGTH]])),LEN(Tabela1[[#This Row],[19_LENGTH]])-LEN(SUBSTITUTE(Tabela1[[#This Row],[19_LENGTH]],",",""))+1,1),"")</f>
        <v/>
      </c>
      <c r="AS54">
        <f>SUM(Tabela1[[#This Row],[1_]:[19_]])</f>
        <v>1</v>
      </c>
    </row>
    <row r="55" spans="1:45" x14ac:dyDescent="0.25">
      <c r="A55" s="27" t="s">
        <v>1316</v>
      </c>
      <c r="B55" s="19" t="s">
        <v>322</v>
      </c>
      <c r="C55" s="19">
        <v>202</v>
      </c>
      <c r="D55" s="19" t="s">
        <v>1315</v>
      </c>
      <c r="E55" s="20">
        <v>43444</v>
      </c>
      <c r="F55" s="19"/>
      <c r="G55" s="19">
        <v>48</v>
      </c>
      <c r="H55" s="19"/>
      <c r="I55" s="19">
        <v>61</v>
      </c>
      <c r="J55" s="19"/>
      <c r="K55" s="19"/>
      <c r="L55" s="19"/>
      <c r="M55" s="19"/>
      <c r="N55" s="19"/>
      <c r="O55" s="19"/>
      <c r="P55" s="19"/>
      <c r="Q55" s="19"/>
      <c r="R55" s="19"/>
      <c r="S55" s="19"/>
      <c r="T55" s="19"/>
      <c r="U55" s="19">
        <v>62</v>
      </c>
      <c r="V55" s="19"/>
      <c r="W55" s="19"/>
      <c r="X55" s="19"/>
      <c r="Y55" s="19"/>
      <c r="Z55" t="str">
        <f>IF(Tabela1[[#This Row],[1]]&lt;&gt;"",IF(ISNUMBER(FIND(",",Tabela1[[#This Row],[1]])),LEN(Tabela1[[#This Row],[1]])-LEN(SUBSTITUTE(Tabela1[[#This Row],[1]],",",""))+1,1),"")</f>
        <v/>
      </c>
      <c r="AA55">
        <f>IF(Tabela1[[#This Row],[2]]&lt;&gt;"",IF(ISNUMBER(FIND(",",Tabela1[[#This Row],[2]])),LEN(Tabela1[[#This Row],[2]])-LEN(SUBSTITUTE(Tabela1[[#This Row],[2]],",",""))+1,1),"")</f>
        <v>1</v>
      </c>
      <c r="AB55" t="str">
        <f>IF(Tabela1[[#This Row],[3]]&lt;&gt;"",IF(ISNUMBER(FIND(",",Tabela1[[#This Row],[3]])),LEN(Tabela1[[#This Row],[3]])-LEN(SUBSTITUTE(Tabela1[[#This Row],[3]],",",""))+1,1),"")</f>
        <v/>
      </c>
      <c r="AC55">
        <f>IF(Tabela1[[#This Row],[4]]&lt;&gt;"",IF(ISNUMBER(FIND(",",Tabela1[[#This Row],[4]])),LEN(Tabela1[[#This Row],[4]])-LEN(SUBSTITUTE(Tabela1[[#This Row],[4]],",",""))+1,1),"")</f>
        <v>1</v>
      </c>
      <c r="AD55" t="str">
        <f>IF(Tabela1[[#This Row],[5]]&lt;&gt;"",IF(ISNUMBER(FIND(",",Tabela1[[#This Row],[5]])),LEN(Tabela1[[#This Row],[5]])-LEN(SUBSTITUTE(Tabela1[[#This Row],[5]],",",""))+1,1),"")</f>
        <v/>
      </c>
      <c r="AE55" t="str">
        <f>IF(Tabela1[[#This Row],[6]]&lt;&gt;"",IF(ISNUMBER(FIND(",",Tabela1[[#This Row],[6]])),LEN(Tabela1[[#This Row],[6]])-LEN(SUBSTITUTE(Tabela1[[#This Row],[6]],",",""))+1,1),"")</f>
        <v/>
      </c>
      <c r="AF55" t="str">
        <f>IF(Tabela1[[#This Row],[7]]&lt;&gt;"",IF(ISNUMBER(FIND(",",Tabela1[[#This Row],[7]])),LEN(Tabela1[[#This Row],[7]])-LEN(SUBSTITUTE(Tabela1[[#This Row],[7]],",",""))+1,1),"")</f>
        <v/>
      </c>
      <c r="AG55" t="str">
        <f>IF(Tabela1[[#This Row],[8]]&lt;&gt;"",IF(ISNUMBER(FIND(",",Tabela1[[#This Row],[8]])),LEN(Tabela1[[#This Row],[8]])-LEN(SUBSTITUTE(Tabela1[[#This Row],[8]],",",""))+1,1),"")</f>
        <v/>
      </c>
      <c r="AH55" t="str">
        <f>IF(Tabela1[[#This Row],[9]]&lt;&gt;"",IF(ISNUMBER(FIND(",",Tabela1[[#This Row],[9]])),LEN(Tabela1[[#This Row],[9]])-LEN(SUBSTITUTE(Tabela1[[#This Row],[9]],",",""))+1,1),"")</f>
        <v/>
      </c>
      <c r="AI55" t="str">
        <f>IF(Tabela1[[#This Row],[10]]&lt;&gt;"",IF(ISNUMBER(FIND(",",Tabela1[[#This Row],[10]])),LEN(Tabela1[[#This Row],[10]])-LEN(SUBSTITUTE(Tabela1[[#This Row],[10]],",",""))+1,1),"")</f>
        <v/>
      </c>
      <c r="AJ55" t="str">
        <f>IF(Tabela1[[#This Row],[11]]&lt;&gt;"",IF(ISNUMBER(FIND(",",Tabela1[[#This Row],[11]])),LEN(Tabela1[[#This Row],[11]])-LEN(SUBSTITUTE(Tabela1[[#This Row],[11]],",",""))+1,1),"")</f>
        <v/>
      </c>
      <c r="AK55" t="str">
        <f>IF(Tabela1[[#This Row],[12]]&lt;&gt;"",IF(ISNUMBER(FIND(",",Tabela1[[#This Row],[12]])),LEN(Tabela1[[#This Row],[12]])-LEN(SUBSTITUTE(Tabela1[[#This Row],[12]],",",""))+1,1),"")</f>
        <v/>
      </c>
      <c r="AL55" t="str">
        <f>IF(Tabela1[[#This Row],[13]]&lt;&gt;"",IF(ISNUMBER(FIND(",",Tabela1[[#This Row],[13]])),LEN(Tabela1[[#This Row],[13]])-LEN(SUBSTITUTE(Tabela1[[#This Row],[13]],",",""))+1,1),"")</f>
        <v/>
      </c>
      <c r="AM55" t="str">
        <f>IF(Tabela1[[#This Row],[14]]&lt;&gt;"",IF(ISNUMBER(FIND(",",Tabela1[[#This Row],[14]])),LEN(Tabela1[[#This Row],[14]])-LEN(SUBSTITUTE(Tabela1[[#This Row],[14]],",",""))+1,1),"")</f>
        <v/>
      </c>
      <c r="AN55" t="str">
        <f>IF(Tabela1[[#This Row],[15]]&lt;&gt;"",IF(ISNUMBER(FIND(",",Tabela1[[#This Row],[15]])),LEN(Tabela1[[#This Row],[15]])-LEN(SUBSTITUTE(Tabela1[[#This Row],[15]],",",""))+1,1),"")</f>
        <v/>
      </c>
      <c r="AO55">
        <f>IF(Tabela1[[#This Row],[16]]&lt;&gt;"",IF(ISNUMBER(FIND(",",Tabela1[[#This Row],[16]])),LEN(Tabela1[[#This Row],[16]])-LEN(SUBSTITUTE(Tabela1[[#This Row],[16]],",",""))+1,1),"")</f>
        <v>1</v>
      </c>
      <c r="AP55" t="str">
        <f>IF(Tabela1[[#This Row],[17]]&lt;&gt;"",IF(ISNUMBER(FIND(",",Tabela1[[#This Row],[17]])),LEN(Tabela1[[#This Row],[17]])-LEN(SUBSTITUTE(Tabela1[[#This Row],[17]],",",""))+1,1),"")</f>
        <v/>
      </c>
      <c r="AQ55" t="str">
        <f>IF(Tabela1[[#This Row],[18]]&lt;&gt;"",IF(ISNUMBER(FIND(",",Tabela1[[#This Row],[18]])),LEN(Tabela1[[#This Row],[18]])-LEN(SUBSTITUTE(Tabela1[[#This Row],[18]],",",""))+1,1),"")</f>
        <v/>
      </c>
      <c r="AR55" s="13" t="str">
        <f>IF(Tabela1[[#This Row],[19_LENGTH]]&lt;&gt;"",IF(ISNUMBER(FIND(",",Tabela1[[#This Row],[19_LENGTH]])),LEN(Tabela1[[#This Row],[19_LENGTH]])-LEN(SUBSTITUTE(Tabela1[[#This Row],[19_LENGTH]],",",""))+1,1),"")</f>
        <v/>
      </c>
      <c r="AS55">
        <f>SUM(Tabela1[[#This Row],[1_]:[19_]])</f>
        <v>3</v>
      </c>
    </row>
    <row r="56" spans="1:45" x14ac:dyDescent="0.25">
      <c r="A56" s="27" t="s">
        <v>1316</v>
      </c>
      <c r="B56" s="19" t="s">
        <v>323</v>
      </c>
      <c r="C56" s="19">
        <v>207</v>
      </c>
      <c r="D56" s="19" t="s">
        <v>1315</v>
      </c>
      <c r="E56" s="20">
        <v>43444</v>
      </c>
      <c r="F56" s="19"/>
      <c r="G56" s="19">
        <v>70</v>
      </c>
      <c r="H56" s="19"/>
      <c r="I56" s="19">
        <v>159</v>
      </c>
      <c r="J56" s="19"/>
      <c r="K56" s="19"/>
      <c r="L56" s="19"/>
      <c r="M56" s="19"/>
      <c r="N56" s="19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Z56" t="str">
        <f>IF(Tabela1[[#This Row],[1]]&lt;&gt;"",IF(ISNUMBER(FIND(",",Tabela1[[#This Row],[1]])),LEN(Tabela1[[#This Row],[1]])-LEN(SUBSTITUTE(Tabela1[[#This Row],[1]],",",""))+1,1),"")</f>
        <v/>
      </c>
      <c r="AA56">
        <f>IF(Tabela1[[#This Row],[2]]&lt;&gt;"",IF(ISNUMBER(FIND(",",Tabela1[[#This Row],[2]])),LEN(Tabela1[[#This Row],[2]])-LEN(SUBSTITUTE(Tabela1[[#This Row],[2]],",",""))+1,1),"")</f>
        <v>1</v>
      </c>
      <c r="AB56" t="str">
        <f>IF(Tabela1[[#This Row],[3]]&lt;&gt;"",IF(ISNUMBER(FIND(",",Tabela1[[#This Row],[3]])),LEN(Tabela1[[#This Row],[3]])-LEN(SUBSTITUTE(Tabela1[[#This Row],[3]],",",""))+1,1),"")</f>
        <v/>
      </c>
      <c r="AC56">
        <f>IF(Tabela1[[#This Row],[4]]&lt;&gt;"",IF(ISNUMBER(FIND(",",Tabela1[[#This Row],[4]])),LEN(Tabela1[[#This Row],[4]])-LEN(SUBSTITUTE(Tabela1[[#This Row],[4]],",",""))+1,1),"")</f>
        <v>1</v>
      </c>
      <c r="AD56" t="str">
        <f>IF(Tabela1[[#This Row],[5]]&lt;&gt;"",IF(ISNUMBER(FIND(",",Tabela1[[#This Row],[5]])),LEN(Tabela1[[#This Row],[5]])-LEN(SUBSTITUTE(Tabela1[[#This Row],[5]],",",""))+1,1),"")</f>
        <v/>
      </c>
      <c r="AE56" t="str">
        <f>IF(Tabela1[[#This Row],[6]]&lt;&gt;"",IF(ISNUMBER(FIND(",",Tabela1[[#This Row],[6]])),LEN(Tabela1[[#This Row],[6]])-LEN(SUBSTITUTE(Tabela1[[#This Row],[6]],",",""))+1,1),"")</f>
        <v/>
      </c>
      <c r="AF56" t="str">
        <f>IF(Tabela1[[#This Row],[7]]&lt;&gt;"",IF(ISNUMBER(FIND(",",Tabela1[[#This Row],[7]])),LEN(Tabela1[[#This Row],[7]])-LEN(SUBSTITUTE(Tabela1[[#This Row],[7]],",",""))+1,1),"")</f>
        <v/>
      </c>
      <c r="AG56" t="str">
        <f>IF(Tabela1[[#This Row],[8]]&lt;&gt;"",IF(ISNUMBER(FIND(",",Tabela1[[#This Row],[8]])),LEN(Tabela1[[#This Row],[8]])-LEN(SUBSTITUTE(Tabela1[[#This Row],[8]],",",""))+1,1),"")</f>
        <v/>
      </c>
      <c r="AH56" t="str">
        <f>IF(Tabela1[[#This Row],[9]]&lt;&gt;"",IF(ISNUMBER(FIND(",",Tabela1[[#This Row],[9]])),LEN(Tabela1[[#This Row],[9]])-LEN(SUBSTITUTE(Tabela1[[#This Row],[9]],",",""))+1,1),"")</f>
        <v/>
      </c>
      <c r="AI56" t="str">
        <f>IF(Tabela1[[#This Row],[10]]&lt;&gt;"",IF(ISNUMBER(FIND(",",Tabela1[[#This Row],[10]])),LEN(Tabela1[[#This Row],[10]])-LEN(SUBSTITUTE(Tabela1[[#This Row],[10]],",",""))+1,1),"")</f>
        <v/>
      </c>
      <c r="AJ56" t="str">
        <f>IF(Tabela1[[#This Row],[11]]&lt;&gt;"",IF(ISNUMBER(FIND(",",Tabela1[[#This Row],[11]])),LEN(Tabela1[[#This Row],[11]])-LEN(SUBSTITUTE(Tabela1[[#This Row],[11]],",",""))+1,1),"")</f>
        <v/>
      </c>
      <c r="AK56" t="str">
        <f>IF(Tabela1[[#This Row],[12]]&lt;&gt;"",IF(ISNUMBER(FIND(",",Tabela1[[#This Row],[12]])),LEN(Tabela1[[#This Row],[12]])-LEN(SUBSTITUTE(Tabela1[[#This Row],[12]],",",""))+1,1),"")</f>
        <v/>
      </c>
      <c r="AL56" t="str">
        <f>IF(Tabela1[[#This Row],[13]]&lt;&gt;"",IF(ISNUMBER(FIND(",",Tabela1[[#This Row],[13]])),LEN(Tabela1[[#This Row],[13]])-LEN(SUBSTITUTE(Tabela1[[#This Row],[13]],",",""))+1,1),"")</f>
        <v/>
      </c>
      <c r="AM56" t="str">
        <f>IF(Tabela1[[#This Row],[14]]&lt;&gt;"",IF(ISNUMBER(FIND(",",Tabela1[[#This Row],[14]])),LEN(Tabela1[[#This Row],[14]])-LEN(SUBSTITUTE(Tabela1[[#This Row],[14]],",",""))+1,1),"")</f>
        <v/>
      </c>
      <c r="AN56" t="str">
        <f>IF(Tabela1[[#This Row],[15]]&lt;&gt;"",IF(ISNUMBER(FIND(",",Tabela1[[#This Row],[15]])),LEN(Tabela1[[#This Row],[15]])-LEN(SUBSTITUTE(Tabela1[[#This Row],[15]],",",""))+1,1),"")</f>
        <v/>
      </c>
      <c r="AO56" t="str">
        <f>IF(Tabela1[[#This Row],[16]]&lt;&gt;"",IF(ISNUMBER(FIND(",",Tabela1[[#This Row],[16]])),LEN(Tabela1[[#This Row],[16]])-LEN(SUBSTITUTE(Tabela1[[#This Row],[16]],",",""))+1,1),"")</f>
        <v/>
      </c>
      <c r="AP56" t="str">
        <f>IF(Tabela1[[#This Row],[17]]&lt;&gt;"",IF(ISNUMBER(FIND(",",Tabela1[[#This Row],[17]])),LEN(Tabela1[[#This Row],[17]])-LEN(SUBSTITUTE(Tabela1[[#This Row],[17]],",",""))+1,1),"")</f>
        <v/>
      </c>
      <c r="AQ56" t="str">
        <f>IF(Tabela1[[#This Row],[18]]&lt;&gt;"",IF(ISNUMBER(FIND(",",Tabela1[[#This Row],[18]])),LEN(Tabela1[[#This Row],[18]])-LEN(SUBSTITUTE(Tabela1[[#This Row],[18]],",",""))+1,1),"")</f>
        <v/>
      </c>
      <c r="AR56" s="13" t="str">
        <f>IF(Tabela1[[#This Row],[19_LENGTH]]&lt;&gt;"",IF(ISNUMBER(FIND(",",Tabela1[[#This Row],[19_LENGTH]])),LEN(Tabela1[[#This Row],[19_LENGTH]])-LEN(SUBSTITUTE(Tabela1[[#This Row],[19_LENGTH]],",",""))+1,1),"")</f>
        <v/>
      </c>
      <c r="AS56">
        <f>SUM(Tabela1[[#This Row],[1_]:[19_]])</f>
        <v>2</v>
      </c>
    </row>
    <row r="57" spans="1:45" x14ac:dyDescent="0.25">
      <c r="A57" s="27" t="s">
        <v>1316</v>
      </c>
      <c r="B57" s="19" t="s">
        <v>958</v>
      </c>
      <c r="C57" s="19">
        <v>241</v>
      </c>
      <c r="D57" s="19" t="s">
        <v>1315</v>
      </c>
      <c r="E57" s="20">
        <v>43444</v>
      </c>
      <c r="F57" s="19"/>
      <c r="G57" s="19"/>
      <c r="H57" s="19"/>
      <c r="I57" s="19"/>
      <c r="J57" s="19"/>
      <c r="K57" s="19"/>
      <c r="L57" s="19"/>
      <c r="M57" s="19"/>
      <c r="N57" s="19"/>
      <c r="O57" s="19"/>
      <c r="P57" s="19"/>
      <c r="Q57" s="19"/>
      <c r="R57" s="19">
        <v>107</v>
      </c>
      <c r="S57" s="19"/>
      <c r="T57" s="19"/>
      <c r="U57" s="19"/>
      <c r="V57" s="19"/>
      <c r="W57" s="19"/>
      <c r="X57" s="19"/>
      <c r="Y57" s="19"/>
      <c r="Z57" t="str">
        <f>IF(Tabela1[[#This Row],[1]]&lt;&gt;"",IF(ISNUMBER(FIND(",",Tabela1[[#This Row],[1]])),LEN(Tabela1[[#This Row],[1]])-LEN(SUBSTITUTE(Tabela1[[#This Row],[1]],",",""))+1,1),"")</f>
        <v/>
      </c>
      <c r="AA57" t="str">
        <f>IF(Tabela1[[#This Row],[2]]&lt;&gt;"",IF(ISNUMBER(FIND(",",Tabela1[[#This Row],[2]])),LEN(Tabela1[[#This Row],[2]])-LEN(SUBSTITUTE(Tabela1[[#This Row],[2]],",",""))+1,1),"")</f>
        <v/>
      </c>
      <c r="AB57" t="str">
        <f>IF(Tabela1[[#This Row],[3]]&lt;&gt;"",IF(ISNUMBER(FIND(",",Tabela1[[#This Row],[3]])),LEN(Tabela1[[#This Row],[3]])-LEN(SUBSTITUTE(Tabela1[[#This Row],[3]],",",""))+1,1),"")</f>
        <v/>
      </c>
      <c r="AC57" t="str">
        <f>IF(Tabela1[[#This Row],[4]]&lt;&gt;"",IF(ISNUMBER(FIND(",",Tabela1[[#This Row],[4]])),LEN(Tabela1[[#This Row],[4]])-LEN(SUBSTITUTE(Tabela1[[#This Row],[4]],",",""))+1,1),"")</f>
        <v/>
      </c>
      <c r="AD57" t="str">
        <f>IF(Tabela1[[#This Row],[5]]&lt;&gt;"",IF(ISNUMBER(FIND(",",Tabela1[[#This Row],[5]])),LEN(Tabela1[[#This Row],[5]])-LEN(SUBSTITUTE(Tabela1[[#This Row],[5]],",",""))+1,1),"")</f>
        <v/>
      </c>
      <c r="AE57" t="str">
        <f>IF(Tabela1[[#This Row],[6]]&lt;&gt;"",IF(ISNUMBER(FIND(",",Tabela1[[#This Row],[6]])),LEN(Tabela1[[#This Row],[6]])-LEN(SUBSTITUTE(Tabela1[[#This Row],[6]],",",""))+1,1),"")</f>
        <v/>
      </c>
      <c r="AF57" t="str">
        <f>IF(Tabela1[[#This Row],[7]]&lt;&gt;"",IF(ISNUMBER(FIND(",",Tabela1[[#This Row],[7]])),LEN(Tabela1[[#This Row],[7]])-LEN(SUBSTITUTE(Tabela1[[#This Row],[7]],",",""))+1,1),"")</f>
        <v/>
      </c>
      <c r="AG57" t="str">
        <f>IF(Tabela1[[#This Row],[8]]&lt;&gt;"",IF(ISNUMBER(FIND(",",Tabela1[[#This Row],[8]])),LEN(Tabela1[[#This Row],[8]])-LEN(SUBSTITUTE(Tabela1[[#This Row],[8]],",",""))+1,1),"")</f>
        <v/>
      </c>
      <c r="AH57" t="str">
        <f>IF(Tabela1[[#This Row],[9]]&lt;&gt;"",IF(ISNUMBER(FIND(",",Tabela1[[#This Row],[9]])),LEN(Tabela1[[#This Row],[9]])-LEN(SUBSTITUTE(Tabela1[[#This Row],[9]],",",""))+1,1),"")</f>
        <v/>
      </c>
      <c r="AI57" t="str">
        <f>IF(Tabela1[[#This Row],[10]]&lt;&gt;"",IF(ISNUMBER(FIND(",",Tabela1[[#This Row],[10]])),LEN(Tabela1[[#This Row],[10]])-LEN(SUBSTITUTE(Tabela1[[#This Row],[10]],",",""))+1,1),"")</f>
        <v/>
      </c>
      <c r="AJ57" t="str">
        <f>IF(Tabela1[[#This Row],[11]]&lt;&gt;"",IF(ISNUMBER(FIND(",",Tabela1[[#This Row],[11]])),LEN(Tabela1[[#This Row],[11]])-LEN(SUBSTITUTE(Tabela1[[#This Row],[11]],",",""))+1,1),"")</f>
        <v/>
      </c>
      <c r="AK57" t="str">
        <f>IF(Tabela1[[#This Row],[12]]&lt;&gt;"",IF(ISNUMBER(FIND(",",Tabela1[[#This Row],[12]])),LEN(Tabela1[[#This Row],[12]])-LEN(SUBSTITUTE(Tabela1[[#This Row],[12]],",",""))+1,1),"")</f>
        <v/>
      </c>
      <c r="AL57">
        <f>IF(Tabela1[[#This Row],[13]]&lt;&gt;"",IF(ISNUMBER(FIND(",",Tabela1[[#This Row],[13]])),LEN(Tabela1[[#This Row],[13]])-LEN(SUBSTITUTE(Tabela1[[#This Row],[13]],",",""))+1,1),"")</f>
        <v>1</v>
      </c>
      <c r="AM57" t="str">
        <f>IF(Tabela1[[#This Row],[14]]&lt;&gt;"",IF(ISNUMBER(FIND(",",Tabela1[[#This Row],[14]])),LEN(Tabela1[[#This Row],[14]])-LEN(SUBSTITUTE(Tabela1[[#This Row],[14]],",",""))+1,1),"")</f>
        <v/>
      </c>
      <c r="AN57" t="str">
        <f>IF(Tabela1[[#This Row],[15]]&lt;&gt;"",IF(ISNUMBER(FIND(",",Tabela1[[#This Row],[15]])),LEN(Tabela1[[#This Row],[15]])-LEN(SUBSTITUTE(Tabela1[[#This Row],[15]],",",""))+1,1),"")</f>
        <v/>
      </c>
      <c r="AO57" t="str">
        <f>IF(Tabela1[[#This Row],[16]]&lt;&gt;"",IF(ISNUMBER(FIND(",",Tabela1[[#This Row],[16]])),LEN(Tabela1[[#This Row],[16]])-LEN(SUBSTITUTE(Tabela1[[#This Row],[16]],",",""))+1,1),"")</f>
        <v/>
      </c>
      <c r="AP57" t="str">
        <f>IF(Tabela1[[#This Row],[17]]&lt;&gt;"",IF(ISNUMBER(FIND(",",Tabela1[[#This Row],[17]])),LEN(Tabela1[[#This Row],[17]])-LEN(SUBSTITUTE(Tabela1[[#This Row],[17]],",",""))+1,1),"")</f>
        <v/>
      </c>
      <c r="AQ57" t="str">
        <f>IF(Tabela1[[#This Row],[18]]&lt;&gt;"",IF(ISNUMBER(FIND(",",Tabela1[[#This Row],[18]])),LEN(Tabela1[[#This Row],[18]])-LEN(SUBSTITUTE(Tabela1[[#This Row],[18]],",",""))+1,1),"")</f>
        <v/>
      </c>
      <c r="AR57" s="13" t="str">
        <f>IF(Tabela1[[#This Row],[19_LENGTH]]&lt;&gt;"",IF(ISNUMBER(FIND(",",Tabela1[[#This Row],[19_LENGTH]])),LEN(Tabela1[[#This Row],[19_LENGTH]])-LEN(SUBSTITUTE(Tabela1[[#This Row],[19_LENGTH]],",",""))+1,1),"")</f>
        <v/>
      </c>
      <c r="AS57">
        <f>SUM(Tabela1[[#This Row],[1_]:[19_]])</f>
        <v>1</v>
      </c>
    </row>
    <row r="58" spans="1:45" x14ac:dyDescent="0.25">
      <c r="A58" s="27" t="s">
        <v>1319</v>
      </c>
      <c r="B58" s="19" t="s">
        <v>324</v>
      </c>
      <c r="C58" s="19">
        <v>202</v>
      </c>
      <c r="D58" s="19" t="s">
        <v>1315</v>
      </c>
      <c r="E58" s="20">
        <v>43445</v>
      </c>
      <c r="F58" s="19"/>
      <c r="G58" s="19"/>
      <c r="H58" s="19"/>
      <c r="I58" s="19" t="s">
        <v>23</v>
      </c>
      <c r="J58" s="19"/>
      <c r="K58" s="19"/>
      <c r="L58" s="19"/>
      <c r="M58" s="19"/>
      <c r="N58" s="19"/>
      <c r="O58" s="19"/>
      <c r="P58" s="19"/>
      <c r="Q58" s="19"/>
      <c r="R58" s="19"/>
      <c r="S58" s="19"/>
      <c r="T58" s="19"/>
      <c r="U58" s="19"/>
      <c r="V58" s="19"/>
      <c r="W58" s="19"/>
      <c r="X58" s="19"/>
      <c r="Y58" s="19"/>
      <c r="Z58" t="str">
        <f>IF(Tabela1[[#This Row],[1]]&lt;&gt;"",IF(ISNUMBER(FIND(",",Tabela1[[#This Row],[1]])),LEN(Tabela1[[#This Row],[1]])-LEN(SUBSTITUTE(Tabela1[[#This Row],[1]],",",""))+1,1),"")</f>
        <v/>
      </c>
      <c r="AA58" t="str">
        <f>IF(Tabela1[[#This Row],[2]]&lt;&gt;"",IF(ISNUMBER(FIND(",",Tabela1[[#This Row],[2]])),LEN(Tabela1[[#This Row],[2]])-LEN(SUBSTITUTE(Tabela1[[#This Row],[2]],",",""))+1,1),"")</f>
        <v/>
      </c>
      <c r="AB58" t="str">
        <f>IF(Tabela1[[#This Row],[3]]&lt;&gt;"",IF(ISNUMBER(FIND(",",Tabela1[[#This Row],[3]])),LEN(Tabela1[[#This Row],[3]])-LEN(SUBSTITUTE(Tabela1[[#This Row],[3]],",",""))+1,1),"")</f>
        <v/>
      </c>
      <c r="AC58">
        <f>IF(Tabela1[[#This Row],[4]]&lt;&gt;"",IF(ISNUMBER(FIND(",",Tabela1[[#This Row],[4]])),LEN(Tabela1[[#This Row],[4]])-LEN(SUBSTITUTE(Tabela1[[#This Row],[4]],",",""))+1,1),"")</f>
        <v>2</v>
      </c>
      <c r="AD58" t="str">
        <f>IF(Tabela1[[#This Row],[5]]&lt;&gt;"",IF(ISNUMBER(FIND(",",Tabela1[[#This Row],[5]])),LEN(Tabela1[[#This Row],[5]])-LEN(SUBSTITUTE(Tabela1[[#This Row],[5]],",",""))+1,1),"")</f>
        <v/>
      </c>
      <c r="AE58" t="str">
        <f>IF(Tabela1[[#This Row],[6]]&lt;&gt;"",IF(ISNUMBER(FIND(",",Tabela1[[#This Row],[6]])),LEN(Tabela1[[#This Row],[6]])-LEN(SUBSTITUTE(Tabela1[[#This Row],[6]],",",""))+1,1),"")</f>
        <v/>
      </c>
      <c r="AF58" t="str">
        <f>IF(Tabela1[[#This Row],[7]]&lt;&gt;"",IF(ISNUMBER(FIND(",",Tabela1[[#This Row],[7]])),LEN(Tabela1[[#This Row],[7]])-LEN(SUBSTITUTE(Tabela1[[#This Row],[7]],",",""))+1,1),"")</f>
        <v/>
      </c>
      <c r="AG58" t="str">
        <f>IF(Tabela1[[#This Row],[8]]&lt;&gt;"",IF(ISNUMBER(FIND(",",Tabela1[[#This Row],[8]])),LEN(Tabela1[[#This Row],[8]])-LEN(SUBSTITUTE(Tabela1[[#This Row],[8]],",",""))+1,1),"")</f>
        <v/>
      </c>
      <c r="AH58" t="str">
        <f>IF(Tabela1[[#This Row],[9]]&lt;&gt;"",IF(ISNUMBER(FIND(",",Tabela1[[#This Row],[9]])),LEN(Tabela1[[#This Row],[9]])-LEN(SUBSTITUTE(Tabela1[[#This Row],[9]],",",""))+1,1),"")</f>
        <v/>
      </c>
      <c r="AI58" t="str">
        <f>IF(Tabela1[[#This Row],[10]]&lt;&gt;"",IF(ISNUMBER(FIND(",",Tabela1[[#This Row],[10]])),LEN(Tabela1[[#This Row],[10]])-LEN(SUBSTITUTE(Tabela1[[#This Row],[10]],",",""))+1,1),"")</f>
        <v/>
      </c>
      <c r="AJ58" t="str">
        <f>IF(Tabela1[[#This Row],[11]]&lt;&gt;"",IF(ISNUMBER(FIND(",",Tabela1[[#This Row],[11]])),LEN(Tabela1[[#This Row],[11]])-LEN(SUBSTITUTE(Tabela1[[#This Row],[11]],",",""))+1,1),"")</f>
        <v/>
      </c>
      <c r="AK58" t="str">
        <f>IF(Tabela1[[#This Row],[12]]&lt;&gt;"",IF(ISNUMBER(FIND(",",Tabela1[[#This Row],[12]])),LEN(Tabela1[[#This Row],[12]])-LEN(SUBSTITUTE(Tabela1[[#This Row],[12]],",",""))+1,1),"")</f>
        <v/>
      </c>
      <c r="AL58" t="str">
        <f>IF(Tabela1[[#This Row],[13]]&lt;&gt;"",IF(ISNUMBER(FIND(",",Tabela1[[#This Row],[13]])),LEN(Tabela1[[#This Row],[13]])-LEN(SUBSTITUTE(Tabela1[[#This Row],[13]],",",""))+1,1),"")</f>
        <v/>
      </c>
      <c r="AM58" t="str">
        <f>IF(Tabela1[[#This Row],[14]]&lt;&gt;"",IF(ISNUMBER(FIND(",",Tabela1[[#This Row],[14]])),LEN(Tabela1[[#This Row],[14]])-LEN(SUBSTITUTE(Tabela1[[#This Row],[14]],",",""))+1,1),"")</f>
        <v/>
      </c>
      <c r="AN58" t="str">
        <f>IF(Tabela1[[#This Row],[15]]&lt;&gt;"",IF(ISNUMBER(FIND(",",Tabela1[[#This Row],[15]])),LEN(Tabela1[[#This Row],[15]])-LEN(SUBSTITUTE(Tabela1[[#This Row],[15]],",",""))+1,1),"")</f>
        <v/>
      </c>
      <c r="AO58" t="str">
        <f>IF(Tabela1[[#This Row],[16]]&lt;&gt;"",IF(ISNUMBER(FIND(",",Tabela1[[#This Row],[16]])),LEN(Tabela1[[#This Row],[16]])-LEN(SUBSTITUTE(Tabela1[[#This Row],[16]],",",""))+1,1),"")</f>
        <v/>
      </c>
      <c r="AP58" t="str">
        <f>IF(Tabela1[[#This Row],[17]]&lt;&gt;"",IF(ISNUMBER(FIND(",",Tabela1[[#This Row],[17]])),LEN(Tabela1[[#This Row],[17]])-LEN(SUBSTITUTE(Tabela1[[#This Row],[17]],",",""))+1,1),"")</f>
        <v/>
      </c>
      <c r="AQ58" t="str">
        <f>IF(Tabela1[[#This Row],[18]]&lt;&gt;"",IF(ISNUMBER(FIND(",",Tabela1[[#This Row],[18]])),LEN(Tabela1[[#This Row],[18]])-LEN(SUBSTITUTE(Tabela1[[#This Row],[18]],",",""))+1,1),"")</f>
        <v/>
      </c>
      <c r="AR58" s="13" t="str">
        <f>IF(Tabela1[[#This Row],[19_LENGTH]]&lt;&gt;"",IF(ISNUMBER(FIND(",",Tabela1[[#This Row],[19_LENGTH]])),LEN(Tabela1[[#This Row],[19_LENGTH]])-LEN(SUBSTITUTE(Tabela1[[#This Row],[19_LENGTH]],",",""))+1,1),"")</f>
        <v/>
      </c>
      <c r="AS58">
        <f>SUM(Tabela1[[#This Row],[1_]:[19_]])</f>
        <v>2</v>
      </c>
    </row>
    <row r="59" spans="1:45" x14ac:dyDescent="0.25">
      <c r="A59" s="27" t="s">
        <v>1316</v>
      </c>
      <c r="B59" s="19" t="s">
        <v>959</v>
      </c>
      <c r="C59" s="19">
        <v>202</v>
      </c>
      <c r="D59" s="19" t="s">
        <v>1314</v>
      </c>
      <c r="E59" s="20">
        <v>43444</v>
      </c>
      <c r="F59" s="19"/>
      <c r="G59" s="19"/>
      <c r="H59" s="19"/>
      <c r="I59" s="19">
        <v>7</v>
      </c>
      <c r="J59" s="19"/>
      <c r="K59" s="19"/>
      <c r="L59" s="19"/>
      <c r="M59" s="19"/>
      <c r="N59" s="19"/>
      <c r="O59" s="19"/>
      <c r="P59" s="19"/>
      <c r="Q59" s="19"/>
      <c r="R59" s="19"/>
      <c r="S59" s="19"/>
      <c r="T59" s="19"/>
      <c r="U59" s="19"/>
      <c r="V59" s="19"/>
      <c r="W59" s="19"/>
      <c r="X59" s="19"/>
      <c r="Y59" s="19"/>
      <c r="Z59" t="str">
        <f>IF(Tabela1[[#This Row],[1]]&lt;&gt;"",IF(ISNUMBER(FIND(",",Tabela1[[#This Row],[1]])),LEN(Tabela1[[#This Row],[1]])-LEN(SUBSTITUTE(Tabela1[[#This Row],[1]],",",""))+1,1),"")</f>
        <v/>
      </c>
      <c r="AA59" t="str">
        <f>IF(Tabela1[[#This Row],[2]]&lt;&gt;"",IF(ISNUMBER(FIND(",",Tabela1[[#This Row],[2]])),LEN(Tabela1[[#This Row],[2]])-LEN(SUBSTITUTE(Tabela1[[#This Row],[2]],",",""))+1,1),"")</f>
        <v/>
      </c>
      <c r="AB59" t="str">
        <f>IF(Tabela1[[#This Row],[3]]&lt;&gt;"",IF(ISNUMBER(FIND(",",Tabela1[[#This Row],[3]])),LEN(Tabela1[[#This Row],[3]])-LEN(SUBSTITUTE(Tabela1[[#This Row],[3]],",",""))+1,1),"")</f>
        <v/>
      </c>
      <c r="AC59">
        <f>IF(Tabela1[[#This Row],[4]]&lt;&gt;"",IF(ISNUMBER(FIND(",",Tabela1[[#This Row],[4]])),LEN(Tabela1[[#This Row],[4]])-LEN(SUBSTITUTE(Tabela1[[#This Row],[4]],",",""))+1,1),"")</f>
        <v>1</v>
      </c>
      <c r="AD59" t="str">
        <f>IF(Tabela1[[#This Row],[5]]&lt;&gt;"",IF(ISNUMBER(FIND(",",Tabela1[[#This Row],[5]])),LEN(Tabela1[[#This Row],[5]])-LEN(SUBSTITUTE(Tabela1[[#This Row],[5]],",",""))+1,1),"")</f>
        <v/>
      </c>
      <c r="AE59" t="str">
        <f>IF(Tabela1[[#This Row],[6]]&lt;&gt;"",IF(ISNUMBER(FIND(",",Tabela1[[#This Row],[6]])),LEN(Tabela1[[#This Row],[6]])-LEN(SUBSTITUTE(Tabela1[[#This Row],[6]],",",""))+1,1),"")</f>
        <v/>
      </c>
      <c r="AF59" t="str">
        <f>IF(Tabela1[[#This Row],[7]]&lt;&gt;"",IF(ISNUMBER(FIND(",",Tabela1[[#This Row],[7]])),LEN(Tabela1[[#This Row],[7]])-LEN(SUBSTITUTE(Tabela1[[#This Row],[7]],",",""))+1,1),"")</f>
        <v/>
      </c>
      <c r="AG59" t="str">
        <f>IF(Tabela1[[#This Row],[8]]&lt;&gt;"",IF(ISNUMBER(FIND(",",Tabela1[[#This Row],[8]])),LEN(Tabela1[[#This Row],[8]])-LEN(SUBSTITUTE(Tabela1[[#This Row],[8]],",",""))+1,1),"")</f>
        <v/>
      </c>
      <c r="AH59" t="str">
        <f>IF(Tabela1[[#This Row],[9]]&lt;&gt;"",IF(ISNUMBER(FIND(",",Tabela1[[#This Row],[9]])),LEN(Tabela1[[#This Row],[9]])-LEN(SUBSTITUTE(Tabela1[[#This Row],[9]],",",""))+1,1),"")</f>
        <v/>
      </c>
      <c r="AI59" t="str">
        <f>IF(Tabela1[[#This Row],[10]]&lt;&gt;"",IF(ISNUMBER(FIND(",",Tabela1[[#This Row],[10]])),LEN(Tabela1[[#This Row],[10]])-LEN(SUBSTITUTE(Tabela1[[#This Row],[10]],",",""))+1,1),"")</f>
        <v/>
      </c>
      <c r="AJ59" t="str">
        <f>IF(Tabela1[[#This Row],[11]]&lt;&gt;"",IF(ISNUMBER(FIND(",",Tabela1[[#This Row],[11]])),LEN(Tabela1[[#This Row],[11]])-LEN(SUBSTITUTE(Tabela1[[#This Row],[11]],",",""))+1,1),"")</f>
        <v/>
      </c>
      <c r="AK59" t="str">
        <f>IF(Tabela1[[#This Row],[12]]&lt;&gt;"",IF(ISNUMBER(FIND(",",Tabela1[[#This Row],[12]])),LEN(Tabela1[[#This Row],[12]])-LEN(SUBSTITUTE(Tabela1[[#This Row],[12]],",",""))+1,1),"")</f>
        <v/>
      </c>
      <c r="AL59" t="str">
        <f>IF(Tabela1[[#This Row],[13]]&lt;&gt;"",IF(ISNUMBER(FIND(",",Tabela1[[#This Row],[13]])),LEN(Tabela1[[#This Row],[13]])-LEN(SUBSTITUTE(Tabela1[[#This Row],[13]],",",""))+1,1),"")</f>
        <v/>
      </c>
      <c r="AM59" t="str">
        <f>IF(Tabela1[[#This Row],[14]]&lt;&gt;"",IF(ISNUMBER(FIND(",",Tabela1[[#This Row],[14]])),LEN(Tabela1[[#This Row],[14]])-LEN(SUBSTITUTE(Tabela1[[#This Row],[14]],",",""))+1,1),"")</f>
        <v/>
      </c>
      <c r="AN59" t="str">
        <f>IF(Tabela1[[#This Row],[15]]&lt;&gt;"",IF(ISNUMBER(FIND(",",Tabela1[[#This Row],[15]])),LEN(Tabela1[[#This Row],[15]])-LEN(SUBSTITUTE(Tabela1[[#This Row],[15]],",",""))+1,1),"")</f>
        <v/>
      </c>
      <c r="AO59" t="str">
        <f>IF(Tabela1[[#This Row],[16]]&lt;&gt;"",IF(ISNUMBER(FIND(",",Tabela1[[#This Row],[16]])),LEN(Tabela1[[#This Row],[16]])-LEN(SUBSTITUTE(Tabela1[[#This Row],[16]],",",""))+1,1),"")</f>
        <v/>
      </c>
      <c r="AP59" t="str">
        <f>IF(Tabela1[[#This Row],[17]]&lt;&gt;"",IF(ISNUMBER(FIND(",",Tabela1[[#This Row],[17]])),LEN(Tabela1[[#This Row],[17]])-LEN(SUBSTITUTE(Tabela1[[#This Row],[17]],",",""))+1,1),"")</f>
        <v/>
      </c>
      <c r="AQ59" t="str">
        <f>IF(Tabela1[[#This Row],[18]]&lt;&gt;"",IF(ISNUMBER(FIND(",",Tabela1[[#This Row],[18]])),LEN(Tabela1[[#This Row],[18]])-LEN(SUBSTITUTE(Tabela1[[#This Row],[18]],",",""))+1,1),"")</f>
        <v/>
      </c>
      <c r="AR59" s="13" t="str">
        <f>IF(Tabela1[[#This Row],[19_LENGTH]]&lt;&gt;"",IF(ISNUMBER(FIND(",",Tabela1[[#This Row],[19_LENGTH]])),LEN(Tabela1[[#This Row],[19_LENGTH]])-LEN(SUBSTITUTE(Tabela1[[#This Row],[19_LENGTH]],",",""))+1,1),"")</f>
        <v/>
      </c>
      <c r="AS59">
        <f>SUM(Tabela1[[#This Row],[1_]:[19_]])</f>
        <v>1</v>
      </c>
    </row>
    <row r="60" spans="1:45" x14ac:dyDescent="0.25">
      <c r="A60" s="27" t="s">
        <v>1316</v>
      </c>
      <c r="B60" s="19" t="s">
        <v>685</v>
      </c>
      <c r="C60" s="19">
        <v>206</v>
      </c>
      <c r="D60" s="19" t="s">
        <v>1314</v>
      </c>
      <c r="E60" s="20">
        <v>43444</v>
      </c>
      <c r="F60" s="19"/>
      <c r="G60" s="19">
        <v>48</v>
      </c>
      <c r="H60" s="19"/>
      <c r="I60" s="19"/>
      <c r="J60" s="19"/>
      <c r="K60" s="19"/>
      <c r="L60" s="19"/>
      <c r="M60" s="19"/>
      <c r="N60" s="19"/>
      <c r="O60" s="19"/>
      <c r="P60" s="19"/>
      <c r="Q60" s="19"/>
      <c r="R60" s="19"/>
      <c r="S60" s="19"/>
      <c r="T60" s="19"/>
      <c r="U60" s="19"/>
      <c r="V60" s="19"/>
      <c r="W60" s="19"/>
      <c r="X60" s="19"/>
      <c r="Y60" s="19"/>
      <c r="Z60" t="str">
        <f>IF(Tabela1[[#This Row],[1]]&lt;&gt;"",IF(ISNUMBER(FIND(",",Tabela1[[#This Row],[1]])),LEN(Tabela1[[#This Row],[1]])-LEN(SUBSTITUTE(Tabela1[[#This Row],[1]],",",""))+1,1),"")</f>
        <v/>
      </c>
      <c r="AA60">
        <f>IF(Tabela1[[#This Row],[2]]&lt;&gt;"",IF(ISNUMBER(FIND(",",Tabela1[[#This Row],[2]])),LEN(Tabela1[[#This Row],[2]])-LEN(SUBSTITUTE(Tabela1[[#This Row],[2]],",",""))+1,1),"")</f>
        <v>1</v>
      </c>
      <c r="AB60" t="str">
        <f>IF(Tabela1[[#This Row],[3]]&lt;&gt;"",IF(ISNUMBER(FIND(",",Tabela1[[#This Row],[3]])),LEN(Tabela1[[#This Row],[3]])-LEN(SUBSTITUTE(Tabela1[[#This Row],[3]],",",""))+1,1),"")</f>
        <v/>
      </c>
      <c r="AC60" t="str">
        <f>IF(Tabela1[[#This Row],[4]]&lt;&gt;"",IF(ISNUMBER(FIND(",",Tabela1[[#This Row],[4]])),LEN(Tabela1[[#This Row],[4]])-LEN(SUBSTITUTE(Tabela1[[#This Row],[4]],",",""))+1,1),"")</f>
        <v/>
      </c>
      <c r="AD60" t="str">
        <f>IF(Tabela1[[#This Row],[5]]&lt;&gt;"",IF(ISNUMBER(FIND(",",Tabela1[[#This Row],[5]])),LEN(Tabela1[[#This Row],[5]])-LEN(SUBSTITUTE(Tabela1[[#This Row],[5]],",",""))+1,1),"")</f>
        <v/>
      </c>
      <c r="AE60" t="str">
        <f>IF(Tabela1[[#This Row],[6]]&lt;&gt;"",IF(ISNUMBER(FIND(",",Tabela1[[#This Row],[6]])),LEN(Tabela1[[#This Row],[6]])-LEN(SUBSTITUTE(Tabela1[[#This Row],[6]],",",""))+1,1),"")</f>
        <v/>
      </c>
      <c r="AF60" t="str">
        <f>IF(Tabela1[[#This Row],[7]]&lt;&gt;"",IF(ISNUMBER(FIND(",",Tabela1[[#This Row],[7]])),LEN(Tabela1[[#This Row],[7]])-LEN(SUBSTITUTE(Tabela1[[#This Row],[7]],",",""))+1,1),"")</f>
        <v/>
      </c>
      <c r="AG60" t="str">
        <f>IF(Tabela1[[#This Row],[8]]&lt;&gt;"",IF(ISNUMBER(FIND(",",Tabela1[[#This Row],[8]])),LEN(Tabela1[[#This Row],[8]])-LEN(SUBSTITUTE(Tabela1[[#This Row],[8]],",",""))+1,1),"")</f>
        <v/>
      </c>
      <c r="AH60" t="str">
        <f>IF(Tabela1[[#This Row],[9]]&lt;&gt;"",IF(ISNUMBER(FIND(",",Tabela1[[#This Row],[9]])),LEN(Tabela1[[#This Row],[9]])-LEN(SUBSTITUTE(Tabela1[[#This Row],[9]],",",""))+1,1),"")</f>
        <v/>
      </c>
      <c r="AI60" t="str">
        <f>IF(Tabela1[[#This Row],[10]]&lt;&gt;"",IF(ISNUMBER(FIND(",",Tabela1[[#This Row],[10]])),LEN(Tabela1[[#This Row],[10]])-LEN(SUBSTITUTE(Tabela1[[#This Row],[10]],",",""))+1,1),"")</f>
        <v/>
      </c>
      <c r="AJ60" t="str">
        <f>IF(Tabela1[[#This Row],[11]]&lt;&gt;"",IF(ISNUMBER(FIND(",",Tabela1[[#This Row],[11]])),LEN(Tabela1[[#This Row],[11]])-LEN(SUBSTITUTE(Tabela1[[#This Row],[11]],",",""))+1,1),"")</f>
        <v/>
      </c>
      <c r="AK60" t="str">
        <f>IF(Tabela1[[#This Row],[12]]&lt;&gt;"",IF(ISNUMBER(FIND(",",Tabela1[[#This Row],[12]])),LEN(Tabela1[[#This Row],[12]])-LEN(SUBSTITUTE(Tabela1[[#This Row],[12]],",",""))+1,1),"")</f>
        <v/>
      </c>
      <c r="AL60" t="str">
        <f>IF(Tabela1[[#This Row],[13]]&lt;&gt;"",IF(ISNUMBER(FIND(",",Tabela1[[#This Row],[13]])),LEN(Tabela1[[#This Row],[13]])-LEN(SUBSTITUTE(Tabela1[[#This Row],[13]],",",""))+1,1),"")</f>
        <v/>
      </c>
      <c r="AM60" t="str">
        <f>IF(Tabela1[[#This Row],[14]]&lt;&gt;"",IF(ISNUMBER(FIND(",",Tabela1[[#This Row],[14]])),LEN(Tabela1[[#This Row],[14]])-LEN(SUBSTITUTE(Tabela1[[#This Row],[14]],",",""))+1,1),"")</f>
        <v/>
      </c>
      <c r="AN60" t="str">
        <f>IF(Tabela1[[#This Row],[15]]&lt;&gt;"",IF(ISNUMBER(FIND(",",Tabela1[[#This Row],[15]])),LEN(Tabela1[[#This Row],[15]])-LEN(SUBSTITUTE(Tabela1[[#This Row],[15]],",",""))+1,1),"")</f>
        <v/>
      </c>
      <c r="AO60" t="str">
        <f>IF(Tabela1[[#This Row],[16]]&lt;&gt;"",IF(ISNUMBER(FIND(",",Tabela1[[#This Row],[16]])),LEN(Tabela1[[#This Row],[16]])-LEN(SUBSTITUTE(Tabela1[[#This Row],[16]],",",""))+1,1),"")</f>
        <v/>
      </c>
      <c r="AP60" t="str">
        <f>IF(Tabela1[[#This Row],[17]]&lt;&gt;"",IF(ISNUMBER(FIND(",",Tabela1[[#This Row],[17]])),LEN(Tabela1[[#This Row],[17]])-LEN(SUBSTITUTE(Tabela1[[#This Row],[17]],",",""))+1,1),"")</f>
        <v/>
      </c>
      <c r="AQ60" t="str">
        <f>IF(Tabela1[[#This Row],[18]]&lt;&gt;"",IF(ISNUMBER(FIND(",",Tabela1[[#This Row],[18]])),LEN(Tabela1[[#This Row],[18]])-LEN(SUBSTITUTE(Tabela1[[#This Row],[18]],",",""))+1,1),"")</f>
        <v/>
      </c>
      <c r="AR60" s="13" t="str">
        <f>IF(Tabela1[[#This Row],[19_LENGTH]]&lt;&gt;"",IF(ISNUMBER(FIND(",",Tabela1[[#This Row],[19_LENGTH]])),LEN(Tabela1[[#This Row],[19_LENGTH]])-LEN(SUBSTITUTE(Tabela1[[#This Row],[19_LENGTH]],",",""))+1,1),"")</f>
        <v/>
      </c>
      <c r="AS60">
        <f>SUM(Tabela1[[#This Row],[1_]:[19_]])</f>
        <v>1</v>
      </c>
    </row>
    <row r="61" spans="1:45" x14ac:dyDescent="0.25">
      <c r="A61" s="27" t="s">
        <v>1316</v>
      </c>
      <c r="B61" s="19" t="s">
        <v>325</v>
      </c>
      <c r="C61" s="19">
        <v>202</v>
      </c>
      <c r="D61" s="19" t="s">
        <v>1297</v>
      </c>
      <c r="E61" s="20">
        <v>43444</v>
      </c>
      <c r="F61" s="19"/>
      <c r="G61" s="19"/>
      <c r="H61" s="19"/>
      <c r="I61" s="19"/>
      <c r="J61" s="19" t="s">
        <v>24</v>
      </c>
      <c r="K61" s="19"/>
      <c r="L61" s="19"/>
      <c r="M61" s="19"/>
      <c r="N61" s="19"/>
      <c r="O61" s="19"/>
      <c r="P61" s="19"/>
      <c r="Q61" s="19"/>
      <c r="R61" s="19"/>
      <c r="S61" s="19"/>
      <c r="T61" s="19"/>
      <c r="U61" s="19"/>
      <c r="V61" s="19"/>
      <c r="W61" s="19"/>
      <c r="X61" s="19"/>
      <c r="Y61" s="19"/>
      <c r="Z61" t="str">
        <f>IF(Tabela1[[#This Row],[1]]&lt;&gt;"",IF(ISNUMBER(FIND(",",Tabela1[[#This Row],[1]])),LEN(Tabela1[[#This Row],[1]])-LEN(SUBSTITUTE(Tabela1[[#This Row],[1]],",",""))+1,1),"")</f>
        <v/>
      </c>
      <c r="AA61" t="str">
        <f>IF(Tabela1[[#This Row],[2]]&lt;&gt;"",IF(ISNUMBER(FIND(",",Tabela1[[#This Row],[2]])),LEN(Tabela1[[#This Row],[2]])-LEN(SUBSTITUTE(Tabela1[[#This Row],[2]],",",""))+1,1),"")</f>
        <v/>
      </c>
      <c r="AB61" t="str">
        <f>IF(Tabela1[[#This Row],[3]]&lt;&gt;"",IF(ISNUMBER(FIND(",",Tabela1[[#This Row],[3]])),LEN(Tabela1[[#This Row],[3]])-LEN(SUBSTITUTE(Tabela1[[#This Row],[3]],",",""))+1,1),"")</f>
        <v/>
      </c>
      <c r="AC61" t="str">
        <f>IF(Tabela1[[#This Row],[4]]&lt;&gt;"",IF(ISNUMBER(FIND(",",Tabela1[[#This Row],[4]])),LEN(Tabela1[[#This Row],[4]])-LEN(SUBSTITUTE(Tabela1[[#This Row],[4]],",",""))+1,1),"")</f>
        <v/>
      </c>
      <c r="AD61">
        <f>IF(Tabela1[[#This Row],[5]]&lt;&gt;"",IF(ISNUMBER(FIND(",",Tabela1[[#This Row],[5]])),LEN(Tabela1[[#This Row],[5]])-LEN(SUBSTITUTE(Tabela1[[#This Row],[5]],",",""))+1,1),"")</f>
        <v>2</v>
      </c>
      <c r="AE61" t="str">
        <f>IF(Tabela1[[#This Row],[6]]&lt;&gt;"",IF(ISNUMBER(FIND(",",Tabela1[[#This Row],[6]])),LEN(Tabela1[[#This Row],[6]])-LEN(SUBSTITUTE(Tabela1[[#This Row],[6]],",",""))+1,1),"")</f>
        <v/>
      </c>
      <c r="AF61" t="str">
        <f>IF(Tabela1[[#This Row],[7]]&lt;&gt;"",IF(ISNUMBER(FIND(",",Tabela1[[#This Row],[7]])),LEN(Tabela1[[#This Row],[7]])-LEN(SUBSTITUTE(Tabela1[[#This Row],[7]],",",""))+1,1),"")</f>
        <v/>
      </c>
      <c r="AG61" t="str">
        <f>IF(Tabela1[[#This Row],[8]]&lt;&gt;"",IF(ISNUMBER(FIND(",",Tabela1[[#This Row],[8]])),LEN(Tabela1[[#This Row],[8]])-LEN(SUBSTITUTE(Tabela1[[#This Row],[8]],",",""))+1,1),"")</f>
        <v/>
      </c>
      <c r="AH61" t="str">
        <f>IF(Tabela1[[#This Row],[9]]&lt;&gt;"",IF(ISNUMBER(FIND(",",Tabela1[[#This Row],[9]])),LEN(Tabela1[[#This Row],[9]])-LEN(SUBSTITUTE(Tabela1[[#This Row],[9]],",",""))+1,1),"")</f>
        <v/>
      </c>
      <c r="AI61" t="str">
        <f>IF(Tabela1[[#This Row],[10]]&lt;&gt;"",IF(ISNUMBER(FIND(",",Tabela1[[#This Row],[10]])),LEN(Tabela1[[#This Row],[10]])-LEN(SUBSTITUTE(Tabela1[[#This Row],[10]],",",""))+1,1),"")</f>
        <v/>
      </c>
      <c r="AJ61" t="str">
        <f>IF(Tabela1[[#This Row],[11]]&lt;&gt;"",IF(ISNUMBER(FIND(",",Tabela1[[#This Row],[11]])),LEN(Tabela1[[#This Row],[11]])-LEN(SUBSTITUTE(Tabela1[[#This Row],[11]],",",""))+1,1),"")</f>
        <v/>
      </c>
      <c r="AK61" t="str">
        <f>IF(Tabela1[[#This Row],[12]]&lt;&gt;"",IF(ISNUMBER(FIND(",",Tabela1[[#This Row],[12]])),LEN(Tabela1[[#This Row],[12]])-LEN(SUBSTITUTE(Tabela1[[#This Row],[12]],",",""))+1,1),"")</f>
        <v/>
      </c>
      <c r="AL61" t="str">
        <f>IF(Tabela1[[#This Row],[13]]&lt;&gt;"",IF(ISNUMBER(FIND(",",Tabela1[[#This Row],[13]])),LEN(Tabela1[[#This Row],[13]])-LEN(SUBSTITUTE(Tabela1[[#This Row],[13]],",",""))+1,1),"")</f>
        <v/>
      </c>
      <c r="AM61" t="str">
        <f>IF(Tabela1[[#This Row],[14]]&lt;&gt;"",IF(ISNUMBER(FIND(",",Tabela1[[#This Row],[14]])),LEN(Tabela1[[#This Row],[14]])-LEN(SUBSTITUTE(Tabela1[[#This Row],[14]],",",""))+1,1),"")</f>
        <v/>
      </c>
      <c r="AN61" t="str">
        <f>IF(Tabela1[[#This Row],[15]]&lt;&gt;"",IF(ISNUMBER(FIND(",",Tabela1[[#This Row],[15]])),LEN(Tabela1[[#This Row],[15]])-LEN(SUBSTITUTE(Tabela1[[#This Row],[15]],",",""))+1,1),"")</f>
        <v/>
      </c>
      <c r="AO61" t="str">
        <f>IF(Tabela1[[#This Row],[16]]&lt;&gt;"",IF(ISNUMBER(FIND(",",Tabela1[[#This Row],[16]])),LEN(Tabela1[[#This Row],[16]])-LEN(SUBSTITUTE(Tabela1[[#This Row],[16]],",",""))+1,1),"")</f>
        <v/>
      </c>
      <c r="AP61" t="str">
        <f>IF(Tabela1[[#This Row],[17]]&lt;&gt;"",IF(ISNUMBER(FIND(",",Tabela1[[#This Row],[17]])),LEN(Tabela1[[#This Row],[17]])-LEN(SUBSTITUTE(Tabela1[[#This Row],[17]],",",""))+1,1),"")</f>
        <v/>
      </c>
      <c r="AQ61" t="str">
        <f>IF(Tabela1[[#This Row],[18]]&lt;&gt;"",IF(ISNUMBER(FIND(",",Tabela1[[#This Row],[18]])),LEN(Tabela1[[#This Row],[18]])-LEN(SUBSTITUTE(Tabela1[[#This Row],[18]],",",""))+1,1),"")</f>
        <v/>
      </c>
      <c r="AR61" s="13" t="str">
        <f>IF(Tabela1[[#This Row],[19_LENGTH]]&lt;&gt;"",IF(ISNUMBER(FIND(",",Tabela1[[#This Row],[19_LENGTH]])),LEN(Tabela1[[#This Row],[19_LENGTH]])-LEN(SUBSTITUTE(Tabela1[[#This Row],[19_LENGTH]],",",""))+1,1),"")</f>
        <v/>
      </c>
      <c r="AS61">
        <f>SUM(Tabela1[[#This Row],[1_]:[19_]])</f>
        <v>2</v>
      </c>
    </row>
    <row r="62" spans="1:45" x14ac:dyDescent="0.25">
      <c r="A62" s="27" t="s">
        <v>1316</v>
      </c>
      <c r="B62" s="19" t="s">
        <v>686</v>
      </c>
      <c r="C62" s="19">
        <v>202</v>
      </c>
      <c r="D62" s="19" t="s">
        <v>1314</v>
      </c>
      <c r="E62" s="20">
        <v>43444</v>
      </c>
      <c r="F62" s="19"/>
      <c r="G62" s="19">
        <v>150</v>
      </c>
      <c r="H62" s="19"/>
      <c r="I62" s="19">
        <v>156</v>
      </c>
      <c r="J62" s="19">
        <v>57</v>
      </c>
      <c r="K62" s="19"/>
      <c r="L62" s="19"/>
      <c r="M62" s="19"/>
      <c r="N62" s="19"/>
      <c r="O62" s="19"/>
      <c r="P62" s="19"/>
      <c r="Q62" s="19"/>
      <c r="R62" s="19"/>
      <c r="S62" s="19"/>
      <c r="T62" s="19"/>
      <c r="U62" s="19"/>
      <c r="V62" s="19"/>
      <c r="W62" s="19"/>
      <c r="X62" s="19"/>
      <c r="Y62" s="19"/>
      <c r="Z62" t="str">
        <f>IF(Tabela1[[#This Row],[1]]&lt;&gt;"",IF(ISNUMBER(FIND(",",Tabela1[[#This Row],[1]])),LEN(Tabela1[[#This Row],[1]])-LEN(SUBSTITUTE(Tabela1[[#This Row],[1]],",",""))+1,1),"")</f>
        <v/>
      </c>
      <c r="AA62">
        <f>IF(Tabela1[[#This Row],[2]]&lt;&gt;"",IF(ISNUMBER(FIND(",",Tabela1[[#This Row],[2]])),LEN(Tabela1[[#This Row],[2]])-LEN(SUBSTITUTE(Tabela1[[#This Row],[2]],",",""))+1,1),"")</f>
        <v>1</v>
      </c>
      <c r="AB62" t="str">
        <f>IF(Tabela1[[#This Row],[3]]&lt;&gt;"",IF(ISNUMBER(FIND(",",Tabela1[[#This Row],[3]])),LEN(Tabela1[[#This Row],[3]])-LEN(SUBSTITUTE(Tabela1[[#This Row],[3]],",",""))+1,1),"")</f>
        <v/>
      </c>
      <c r="AC62">
        <f>IF(Tabela1[[#This Row],[4]]&lt;&gt;"",IF(ISNUMBER(FIND(",",Tabela1[[#This Row],[4]])),LEN(Tabela1[[#This Row],[4]])-LEN(SUBSTITUTE(Tabela1[[#This Row],[4]],",",""))+1,1),"")</f>
        <v>1</v>
      </c>
      <c r="AD62">
        <f>IF(Tabela1[[#This Row],[5]]&lt;&gt;"",IF(ISNUMBER(FIND(",",Tabela1[[#This Row],[5]])),LEN(Tabela1[[#This Row],[5]])-LEN(SUBSTITUTE(Tabela1[[#This Row],[5]],",",""))+1,1),"")</f>
        <v>1</v>
      </c>
      <c r="AE62" t="str">
        <f>IF(Tabela1[[#This Row],[6]]&lt;&gt;"",IF(ISNUMBER(FIND(",",Tabela1[[#This Row],[6]])),LEN(Tabela1[[#This Row],[6]])-LEN(SUBSTITUTE(Tabela1[[#This Row],[6]],",",""))+1,1),"")</f>
        <v/>
      </c>
      <c r="AF62" t="str">
        <f>IF(Tabela1[[#This Row],[7]]&lt;&gt;"",IF(ISNUMBER(FIND(",",Tabela1[[#This Row],[7]])),LEN(Tabela1[[#This Row],[7]])-LEN(SUBSTITUTE(Tabela1[[#This Row],[7]],",",""))+1,1),"")</f>
        <v/>
      </c>
      <c r="AG62" t="str">
        <f>IF(Tabela1[[#This Row],[8]]&lt;&gt;"",IF(ISNUMBER(FIND(",",Tabela1[[#This Row],[8]])),LEN(Tabela1[[#This Row],[8]])-LEN(SUBSTITUTE(Tabela1[[#This Row],[8]],",",""))+1,1),"")</f>
        <v/>
      </c>
      <c r="AH62" t="str">
        <f>IF(Tabela1[[#This Row],[9]]&lt;&gt;"",IF(ISNUMBER(FIND(",",Tabela1[[#This Row],[9]])),LEN(Tabela1[[#This Row],[9]])-LEN(SUBSTITUTE(Tabela1[[#This Row],[9]],",",""))+1,1),"")</f>
        <v/>
      </c>
      <c r="AI62" t="str">
        <f>IF(Tabela1[[#This Row],[10]]&lt;&gt;"",IF(ISNUMBER(FIND(",",Tabela1[[#This Row],[10]])),LEN(Tabela1[[#This Row],[10]])-LEN(SUBSTITUTE(Tabela1[[#This Row],[10]],",",""))+1,1),"")</f>
        <v/>
      </c>
      <c r="AJ62" t="str">
        <f>IF(Tabela1[[#This Row],[11]]&lt;&gt;"",IF(ISNUMBER(FIND(",",Tabela1[[#This Row],[11]])),LEN(Tabela1[[#This Row],[11]])-LEN(SUBSTITUTE(Tabela1[[#This Row],[11]],",",""))+1,1),"")</f>
        <v/>
      </c>
      <c r="AK62" t="str">
        <f>IF(Tabela1[[#This Row],[12]]&lt;&gt;"",IF(ISNUMBER(FIND(",",Tabela1[[#This Row],[12]])),LEN(Tabela1[[#This Row],[12]])-LEN(SUBSTITUTE(Tabela1[[#This Row],[12]],",",""))+1,1),"")</f>
        <v/>
      </c>
      <c r="AL62" t="str">
        <f>IF(Tabela1[[#This Row],[13]]&lt;&gt;"",IF(ISNUMBER(FIND(",",Tabela1[[#This Row],[13]])),LEN(Tabela1[[#This Row],[13]])-LEN(SUBSTITUTE(Tabela1[[#This Row],[13]],",",""))+1,1),"")</f>
        <v/>
      </c>
      <c r="AM62" t="str">
        <f>IF(Tabela1[[#This Row],[14]]&lt;&gt;"",IF(ISNUMBER(FIND(",",Tabela1[[#This Row],[14]])),LEN(Tabela1[[#This Row],[14]])-LEN(SUBSTITUTE(Tabela1[[#This Row],[14]],",",""))+1,1),"")</f>
        <v/>
      </c>
      <c r="AN62" t="str">
        <f>IF(Tabela1[[#This Row],[15]]&lt;&gt;"",IF(ISNUMBER(FIND(",",Tabela1[[#This Row],[15]])),LEN(Tabela1[[#This Row],[15]])-LEN(SUBSTITUTE(Tabela1[[#This Row],[15]],",",""))+1,1),"")</f>
        <v/>
      </c>
      <c r="AO62" t="str">
        <f>IF(Tabela1[[#This Row],[16]]&lt;&gt;"",IF(ISNUMBER(FIND(",",Tabela1[[#This Row],[16]])),LEN(Tabela1[[#This Row],[16]])-LEN(SUBSTITUTE(Tabela1[[#This Row],[16]],",",""))+1,1),"")</f>
        <v/>
      </c>
      <c r="AP62" t="str">
        <f>IF(Tabela1[[#This Row],[17]]&lt;&gt;"",IF(ISNUMBER(FIND(",",Tabela1[[#This Row],[17]])),LEN(Tabela1[[#This Row],[17]])-LEN(SUBSTITUTE(Tabela1[[#This Row],[17]],",",""))+1,1),"")</f>
        <v/>
      </c>
      <c r="AQ62" t="str">
        <f>IF(Tabela1[[#This Row],[18]]&lt;&gt;"",IF(ISNUMBER(FIND(",",Tabela1[[#This Row],[18]])),LEN(Tabela1[[#This Row],[18]])-LEN(SUBSTITUTE(Tabela1[[#This Row],[18]],",",""))+1,1),"")</f>
        <v/>
      </c>
      <c r="AR62" s="13" t="str">
        <f>IF(Tabela1[[#This Row],[19_LENGTH]]&lt;&gt;"",IF(ISNUMBER(FIND(",",Tabela1[[#This Row],[19_LENGTH]])),LEN(Tabela1[[#This Row],[19_LENGTH]])-LEN(SUBSTITUTE(Tabela1[[#This Row],[19_LENGTH]],",",""))+1,1),"")</f>
        <v/>
      </c>
      <c r="AS62">
        <f>SUM(Tabela1[[#This Row],[1_]:[19_]])</f>
        <v>3</v>
      </c>
    </row>
    <row r="63" spans="1:45" x14ac:dyDescent="0.25">
      <c r="A63" s="27" t="s">
        <v>1316</v>
      </c>
      <c r="B63" s="19" t="s">
        <v>687</v>
      </c>
      <c r="C63" s="19">
        <v>202</v>
      </c>
      <c r="D63" s="19" t="s">
        <v>1315</v>
      </c>
      <c r="E63" s="20">
        <v>43444</v>
      </c>
      <c r="F63" s="19"/>
      <c r="G63" s="19"/>
      <c r="H63" s="19"/>
      <c r="I63" s="19"/>
      <c r="J63" s="19"/>
      <c r="K63" s="19">
        <v>182</v>
      </c>
      <c r="L63" s="19"/>
      <c r="M63" s="19"/>
      <c r="N63" s="19"/>
      <c r="O63" s="19"/>
      <c r="P63" s="19"/>
      <c r="Q63" s="19"/>
      <c r="R63" s="19"/>
      <c r="S63" s="19"/>
      <c r="T63" s="19"/>
      <c r="U63" s="19"/>
      <c r="V63" s="19"/>
      <c r="W63" s="19"/>
      <c r="X63" s="19"/>
      <c r="Y63" s="19"/>
      <c r="Z63" t="str">
        <f>IF(Tabela1[[#This Row],[1]]&lt;&gt;"",IF(ISNUMBER(FIND(",",Tabela1[[#This Row],[1]])),LEN(Tabela1[[#This Row],[1]])-LEN(SUBSTITUTE(Tabela1[[#This Row],[1]],",",""))+1,1),"")</f>
        <v/>
      </c>
      <c r="AA63" t="str">
        <f>IF(Tabela1[[#This Row],[2]]&lt;&gt;"",IF(ISNUMBER(FIND(",",Tabela1[[#This Row],[2]])),LEN(Tabela1[[#This Row],[2]])-LEN(SUBSTITUTE(Tabela1[[#This Row],[2]],",",""))+1,1),"")</f>
        <v/>
      </c>
      <c r="AB63" t="str">
        <f>IF(Tabela1[[#This Row],[3]]&lt;&gt;"",IF(ISNUMBER(FIND(",",Tabela1[[#This Row],[3]])),LEN(Tabela1[[#This Row],[3]])-LEN(SUBSTITUTE(Tabela1[[#This Row],[3]],",",""))+1,1),"")</f>
        <v/>
      </c>
      <c r="AC63" t="str">
        <f>IF(Tabela1[[#This Row],[4]]&lt;&gt;"",IF(ISNUMBER(FIND(",",Tabela1[[#This Row],[4]])),LEN(Tabela1[[#This Row],[4]])-LEN(SUBSTITUTE(Tabela1[[#This Row],[4]],",",""))+1,1),"")</f>
        <v/>
      </c>
      <c r="AD63" t="str">
        <f>IF(Tabela1[[#This Row],[5]]&lt;&gt;"",IF(ISNUMBER(FIND(",",Tabela1[[#This Row],[5]])),LEN(Tabela1[[#This Row],[5]])-LEN(SUBSTITUTE(Tabela1[[#This Row],[5]],",",""))+1,1),"")</f>
        <v/>
      </c>
      <c r="AE63">
        <f>IF(Tabela1[[#This Row],[6]]&lt;&gt;"",IF(ISNUMBER(FIND(",",Tabela1[[#This Row],[6]])),LEN(Tabela1[[#This Row],[6]])-LEN(SUBSTITUTE(Tabela1[[#This Row],[6]],",",""))+1,1),"")</f>
        <v>1</v>
      </c>
      <c r="AF63" t="str">
        <f>IF(Tabela1[[#This Row],[7]]&lt;&gt;"",IF(ISNUMBER(FIND(",",Tabela1[[#This Row],[7]])),LEN(Tabela1[[#This Row],[7]])-LEN(SUBSTITUTE(Tabela1[[#This Row],[7]],",",""))+1,1),"")</f>
        <v/>
      </c>
      <c r="AG63" t="str">
        <f>IF(Tabela1[[#This Row],[8]]&lt;&gt;"",IF(ISNUMBER(FIND(",",Tabela1[[#This Row],[8]])),LEN(Tabela1[[#This Row],[8]])-LEN(SUBSTITUTE(Tabela1[[#This Row],[8]],",",""))+1,1),"")</f>
        <v/>
      </c>
      <c r="AH63" t="str">
        <f>IF(Tabela1[[#This Row],[9]]&lt;&gt;"",IF(ISNUMBER(FIND(",",Tabela1[[#This Row],[9]])),LEN(Tabela1[[#This Row],[9]])-LEN(SUBSTITUTE(Tabela1[[#This Row],[9]],",",""))+1,1),"")</f>
        <v/>
      </c>
      <c r="AI63" t="str">
        <f>IF(Tabela1[[#This Row],[10]]&lt;&gt;"",IF(ISNUMBER(FIND(",",Tabela1[[#This Row],[10]])),LEN(Tabela1[[#This Row],[10]])-LEN(SUBSTITUTE(Tabela1[[#This Row],[10]],",",""))+1,1),"")</f>
        <v/>
      </c>
      <c r="AJ63" t="str">
        <f>IF(Tabela1[[#This Row],[11]]&lt;&gt;"",IF(ISNUMBER(FIND(",",Tabela1[[#This Row],[11]])),LEN(Tabela1[[#This Row],[11]])-LEN(SUBSTITUTE(Tabela1[[#This Row],[11]],",",""))+1,1),"")</f>
        <v/>
      </c>
      <c r="AK63" t="str">
        <f>IF(Tabela1[[#This Row],[12]]&lt;&gt;"",IF(ISNUMBER(FIND(",",Tabela1[[#This Row],[12]])),LEN(Tabela1[[#This Row],[12]])-LEN(SUBSTITUTE(Tabela1[[#This Row],[12]],",",""))+1,1),"")</f>
        <v/>
      </c>
      <c r="AL63" t="str">
        <f>IF(Tabela1[[#This Row],[13]]&lt;&gt;"",IF(ISNUMBER(FIND(",",Tabela1[[#This Row],[13]])),LEN(Tabela1[[#This Row],[13]])-LEN(SUBSTITUTE(Tabela1[[#This Row],[13]],",",""))+1,1),"")</f>
        <v/>
      </c>
      <c r="AM63" t="str">
        <f>IF(Tabela1[[#This Row],[14]]&lt;&gt;"",IF(ISNUMBER(FIND(",",Tabela1[[#This Row],[14]])),LEN(Tabela1[[#This Row],[14]])-LEN(SUBSTITUTE(Tabela1[[#This Row],[14]],",",""))+1,1),"")</f>
        <v/>
      </c>
      <c r="AN63" t="str">
        <f>IF(Tabela1[[#This Row],[15]]&lt;&gt;"",IF(ISNUMBER(FIND(",",Tabela1[[#This Row],[15]])),LEN(Tabela1[[#This Row],[15]])-LEN(SUBSTITUTE(Tabela1[[#This Row],[15]],",",""))+1,1),"")</f>
        <v/>
      </c>
      <c r="AO63" t="str">
        <f>IF(Tabela1[[#This Row],[16]]&lt;&gt;"",IF(ISNUMBER(FIND(",",Tabela1[[#This Row],[16]])),LEN(Tabela1[[#This Row],[16]])-LEN(SUBSTITUTE(Tabela1[[#This Row],[16]],",",""))+1,1),"")</f>
        <v/>
      </c>
      <c r="AP63" t="str">
        <f>IF(Tabela1[[#This Row],[17]]&lt;&gt;"",IF(ISNUMBER(FIND(",",Tabela1[[#This Row],[17]])),LEN(Tabela1[[#This Row],[17]])-LEN(SUBSTITUTE(Tabela1[[#This Row],[17]],",",""))+1,1),"")</f>
        <v/>
      </c>
      <c r="AQ63" t="str">
        <f>IF(Tabela1[[#This Row],[18]]&lt;&gt;"",IF(ISNUMBER(FIND(",",Tabela1[[#This Row],[18]])),LEN(Tabela1[[#This Row],[18]])-LEN(SUBSTITUTE(Tabela1[[#This Row],[18]],",",""))+1,1),"")</f>
        <v/>
      </c>
      <c r="AR63" s="13" t="str">
        <f>IF(Tabela1[[#This Row],[19_LENGTH]]&lt;&gt;"",IF(ISNUMBER(FIND(",",Tabela1[[#This Row],[19_LENGTH]])),LEN(Tabela1[[#This Row],[19_LENGTH]])-LEN(SUBSTITUTE(Tabela1[[#This Row],[19_LENGTH]],",",""))+1,1),"")</f>
        <v/>
      </c>
      <c r="AS63">
        <f>SUM(Tabela1[[#This Row],[1_]:[19_]])</f>
        <v>1</v>
      </c>
    </row>
    <row r="64" spans="1:45" x14ac:dyDescent="0.25">
      <c r="A64" s="27" t="s">
        <v>1316</v>
      </c>
      <c r="B64" s="19" t="s">
        <v>960</v>
      </c>
      <c r="C64" s="19">
        <v>202</v>
      </c>
      <c r="D64" s="19" t="s">
        <v>1315</v>
      </c>
      <c r="E64" s="20">
        <v>43444</v>
      </c>
      <c r="F64" s="19"/>
      <c r="G64" s="19"/>
      <c r="H64" s="19"/>
      <c r="I64" s="19">
        <v>180</v>
      </c>
      <c r="J64" s="19"/>
      <c r="K64" s="19"/>
      <c r="L64" s="19"/>
      <c r="M64" s="19"/>
      <c r="N64" s="19"/>
      <c r="O64" s="19"/>
      <c r="P64" s="19"/>
      <c r="Q64" s="19"/>
      <c r="R64" s="19"/>
      <c r="S64" s="19"/>
      <c r="T64" s="19"/>
      <c r="U64" s="19"/>
      <c r="V64" s="19"/>
      <c r="W64" s="19"/>
      <c r="X64" s="19"/>
      <c r="Y64" s="19"/>
      <c r="Z64" t="str">
        <f>IF(Tabela1[[#This Row],[1]]&lt;&gt;"",IF(ISNUMBER(FIND(",",Tabela1[[#This Row],[1]])),LEN(Tabela1[[#This Row],[1]])-LEN(SUBSTITUTE(Tabela1[[#This Row],[1]],",",""))+1,1),"")</f>
        <v/>
      </c>
      <c r="AA64" t="str">
        <f>IF(Tabela1[[#This Row],[2]]&lt;&gt;"",IF(ISNUMBER(FIND(",",Tabela1[[#This Row],[2]])),LEN(Tabela1[[#This Row],[2]])-LEN(SUBSTITUTE(Tabela1[[#This Row],[2]],",",""))+1,1),"")</f>
        <v/>
      </c>
      <c r="AB64" t="str">
        <f>IF(Tabela1[[#This Row],[3]]&lt;&gt;"",IF(ISNUMBER(FIND(",",Tabela1[[#This Row],[3]])),LEN(Tabela1[[#This Row],[3]])-LEN(SUBSTITUTE(Tabela1[[#This Row],[3]],",",""))+1,1),"")</f>
        <v/>
      </c>
      <c r="AC64">
        <f>IF(Tabela1[[#This Row],[4]]&lt;&gt;"",IF(ISNUMBER(FIND(",",Tabela1[[#This Row],[4]])),LEN(Tabela1[[#This Row],[4]])-LEN(SUBSTITUTE(Tabela1[[#This Row],[4]],",",""))+1,1),"")</f>
        <v>1</v>
      </c>
      <c r="AD64" t="str">
        <f>IF(Tabela1[[#This Row],[5]]&lt;&gt;"",IF(ISNUMBER(FIND(",",Tabela1[[#This Row],[5]])),LEN(Tabela1[[#This Row],[5]])-LEN(SUBSTITUTE(Tabela1[[#This Row],[5]],",",""))+1,1),"")</f>
        <v/>
      </c>
      <c r="AE64" t="str">
        <f>IF(Tabela1[[#This Row],[6]]&lt;&gt;"",IF(ISNUMBER(FIND(",",Tabela1[[#This Row],[6]])),LEN(Tabela1[[#This Row],[6]])-LEN(SUBSTITUTE(Tabela1[[#This Row],[6]],",",""))+1,1),"")</f>
        <v/>
      </c>
      <c r="AF64" t="str">
        <f>IF(Tabela1[[#This Row],[7]]&lt;&gt;"",IF(ISNUMBER(FIND(",",Tabela1[[#This Row],[7]])),LEN(Tabela1[[#This Row],[7]])-LEN(SUBSTITUTE(Tabela1[[#This Row],[7]],",",""))+1,1),"")</f>
        <v/>
      </c>
      <c r="AG64" t="str">
        <f>IF(Tabela1[[#This Row],[8]]&lt;&gt;"",IF(ISNUMBER(FIND(",",Tabela1[[#This Row],[8]])),LEN(Tabela1[[#This Row],[8]])-LEN(SUBSTITUTE(Tabela1[[#This Row],[8]],",",""))+1,1),"")</f>
        <v/>
      </c>
      <c r="AH64" t="str">
        <f>IF(Tabela1[[#This Row],[9]]&lt;&gt;"",IF(ISNUMBER(FIND(",",Tabela1[[#This Row],[9]])),LEN(Tabela1[[#This Row],[9]])-LEN(SUBSTITUTE(Tabela1[[#This Row],[9]],",",""))+1,1),"")</f>
        <v/>
      </c>
      <c r="AI64" t="str">
        <f>IF(Tabela1[[#This Row],[10]]&lt;&gt;"",IF(ISNUMBER(FIND(",",Tabela1[[#This Row],[10]])),LEN(Tabela1[[#This Row],[10]])-LEN(SUBSTITUTE(Tabela1[[#This Row],[10]],",",""))+1,1),"")</f>
        <v/>
      </c>
      <c r="AJ64" t="str">
        <f>IF(Tabela1[[#This Row],[11]]&lt;&gt;"",IF(ISNUMBER(FIND(",",Tabela1[[#This Row],[11]])),LEN(Tabela1[[#This Row],[11]])-LEN(SUBSTITUTE(Tabela1[[#This Row],[11]],",",""))+1,1),"")</f>
        <v/>
      </c>
      <c r="AK64" t="str">
        <f>IF(Tabela1[[#This Row],[12]]&lt;&gt;"",IF(ISNUMBER(FIND(",",Tabela1[[#This Row],[12]])),LEN(Tabela1[[#This Row],[12]])-LEN(SUBSTITUTE(Tabela1[[#This Row],[12]],",",""))+1,1),"")</f>
        <v/>
      </c>
      <c r="AL64" t="str">
        <f>IF(Tabela1[[#This Row],[13]]&lt;&gt;"",IF(ISNUMBER(FIND(",",Tabela1[[#This Row],[13]])),LEN(Tabela1[[#This Row],[13]])-LEN(SUBSTITUTE(Tabela1[[#This Row],[13]],",",""))+1,1),"")</f>
        <v/>
      </c>
      <c r="AM64" t="str">
        <f>IF(Tabela1[[#This Row],[14]]&lt;&gt;"",IF(ISNUMBER(FIND(",",Tabela1[[#This Row],[14]])),LEN(Tabela1[[#This Row],[14]])-LEN(SUBSTITUTE(Tabela1[[#This Row],[14]],",",""))+1,1),"")</f>
        <v/>
      </c>
      <c r="AN64" t="str">
        <f>IF(Tabela1[[#This Row],[15]]&lt;&gt;"",IF(ISNUMBER(FIND(",",Tabela1[[#This Row],[15]])),LEN(Tabela1[[#This Row],[15]])-LEN(SUBSTITUTE(Tabela1[[#This Row],[15]],",",""))+1,1),"")</f>
        <v/>
      </c>
      <c r="AO64" t="str">
        <f>IF(Tabela1[[#This Row],[16]]&lt;&gt;"",IF(ISNUMBER(FIND(",",Tabela1[[#This Row],[16]])),LEN(Tabela1[[#This Row],[16]])-LEN(SUBSTITUTE(Tabela1[[#This Row],[16]],",",""))+1,1),"")</f>
        <v/>
      </c>
      <c r="AP64" t="str">
        <f>IF(Tabela1[[#This Row],[17]]&lt;&gt;"",IF(ISNUMBER(FIND(",",Tabela1[[#This Row],[17]])),LEN(Tabela1[[#This Row],[17]])-LEN(SUBSTITUTE(Tabela1[[#This Row],[17]],",",""))+1,1),"")</f>
        <v/>
      </c>
      <c r="AQ64" t="str">
        <f>IF(Tabela1[[#This Row],[18]]&lt;&gt;"",IF(ISNUMBER(FIND(",",Tabela1[[#This Row],[18]])),LEN(Tabela1[[#This Row],[18]])-LEN(SUBSTITUTE(Tabela1[[#This Row],[18]],",",""))+1,1),"")</f>
        <v/>
      </c>
      <c r="AR64" s="13" t="str">
        <f>IF(Tabela1[[#This Row],[19_LENGTH]]&lt;&gt;"",IF(ISNUMBER(FIND(",",Tabela1[[#This Row],[19_LENGTH]])),LEN(Tabela1[[#This Row],[19_LENGTH]])-LEN(SUBSTITUTE(Tabela1[[#This Row],[19_LENGTH]],",",""))+1,1),"")</f>
        <v/>
      </c>
      <c r="AS64">
        <f>SUM(Tabela1[[#This Row],[1_]:[19_]])</f>
        <v>1</v>
      </c>
    </row>
    <row r="65" spans="1:45" x14ac:dyDescent="0.25">
      <c r="A65" s="27" t="s">
        <v>1316</v>
      </c>
      <c r="B65" s="19" t="s">
        <v>688</v>
      </c>
      <c r="C65" s="19">
        <v>202</v>
      </c>
      <c r="D65" s="19" t="s">
        <v>1315</v>
      </c>
      <c r="E65" s="20">
        <v>43444</v>
      </c>
      <c r="F65" s="19"/>
      <c r="G65" s="19"/>
      <c r="H65" s="19">
        <v>27</v>
      </c>
      <c r="I65" s="19"/>
      <c r="J65" s="19"/>
      <c r="K65" s="19"/>
      <c r="L65" s="19"/>
      <c r="M65" s="19"/>
      <c r="N65" s="19"/>
      <c r="O65" s="19"/>
      <c r="P65" s="19"/>
      <c r="Q65" s="19"/>
      <c r="R65" s="19"/>
      <c r="S65" s="19"/>
      <c r="T65" s="19"/>
      <c r="U65" s="19"/>
      <c r="V65" s="19">
        <v>153</v>
      </c>
      <c r="W65" s="19"/>
      <c r="X65" s="19"/>
      <c r="Y65" s="19"/>
      <c r="Z65" t="str">
        <f>IF(Tabela1[[#This Row],[1]]&lt;&gt;"",IF(ISNUMBER(FIND(",",Tabela1[[#This Row],[1]])),LEN(Tabela1[[#This Row],[1]])-LEN(SUBSTITUTE(Tabela1[[#This Row],[1]],",",""))+1,1),"")</f>
        <v/>
      </c>
      <c r="AA65" t="str">
        <f>IF(Tabela1[[#This Row],[2]]&lt;&gt;"",IF(ISNUMBER(FIND(",",Tabela1[[#This Row],[2]])),LEN(Tabela1[[#This Row],[2]])-LEN(SUBSTITUTE(Tabela1[[#This Row],[2]],",",""))+1,1),"")</f>
        <v/>
      </c>
      <c r="AB65">
        <f>IF(Tabela1[[#This Row],[3]]&lt;&gt;"",IF(ISNUMBER(FIND(",",Tabela1[[#This Row],[3]])),LEN(Tabela1[[#This Row],[3]])-LEN(SUBSTITUTE(Tabela1[[#This Row],[3]],",",""))+1,1),"")</f>
        <v>1</v>
      </c>
      <c r="AC65" t="str">
        <f>IF(Tabela1[[#This Row],[4]]&lt;&gt;"",IF(ISNUMBER(FIND(",",Tabela1[[#This Row],[4]])),LEN(Tabela1[[#This Row],[4]])-LEN(SUBSTITUTE(Tabela1[[#This Row],[4]],",",""))+1,1),"")</f>
        <v/>
      </c>
      <c r="AD65" t="str">
        <f>IF(Tabela1[[#This Row],[5]]&lt;&gt;"",IF(ISNUMBER(FIND(",",Tabela1[[#This Row],[5]])),LEN(Tabela1[[#This Row],[5]])-LEN(SUBSTITUTE(Tabela1[[#This Row],[5]],",",""))+1,1),"")</f>
        <v/>
      </c>
      <c r="AE65" t="str">
        <f>IF(Tabela1[[#This Row],[6]]&lt;&gt;"",IF(ISNUMBER(FIND(",",Tabela1[[#This Row],[6]])),LEN(Tabela1[[#This Row],[6]])-LEN(SUBSTITUTE(Tabela1[[#This Row],[6]],",",""))+1,1),"")</f>
        <v/>
      </c>
      <c r="AF65" t="str">
        <f>IF(Tabela1[[#This Row],[7]]&lt;&gt;"",IF(ISNUMBER(FIND(",",Tabela1[[#This Row],[7]])),LEN(Tabela1[[#This Row],[7]])-LEN(SUBSTITUTE(Tabela1[[#This Row],[7]],",",""))+1,1),"")</f>
        <v/>
      </c>
      <c r="AG65" t="str">
        <f>IF(Tabela1[[#This Row],[8]]&lt;&gt;"",IF(ISNUMBER(FIND(",",Tabela1[[#This Row],[8]])),LEN(Tabela1[[#This Row],[8]])-LEN(SUBSTITUTE(Tabela1[[#This Row],[8]],",",""))+1,1),"")</f>
        <v/>
      </c>
      <c r="AH65" t="str">
        <f>IF(Tabela1[[#This Row],[9]]&lt;&gt;"",IF(ISNUMBER(FIND(",",Tabela1[[#This Row],[9]])),LEN(Tabela1[[#This Row],[9]])-LEN(SUBSTITUTE(Tabela1[[#This Row],[9]],",",""))+1,1),"")</f>
        <v/>
      </c>
      <c r="AI65" t="str">
        <f>IF(Tabela1[[#This Row],[10]]&lt;&gt;"",IF(ISNUMBER(FIND(",",Tabela1[[#This Row],[10]])),LEN(Tabela1[[#This Row],[10]])-LEN(SUBSTITUTE(Tabela1[[#This Row],[10]],",",""))+1,1),"")</f>
        <v/>
      </c>
      <c r="AJ65" t="str">
        <f>IF(Tabela1[[#This Row],[11]]&lt;&gt;"",IF(ISNUMBER(FIND(",",Tabela1[[#This Row],[11]])),LEN(Tabela1[[#This Row],[11]])-LEN(SUBSTITUTE(Tabela1[[#This Row],[11]],",",""))+1,1),"")</f>
        <v/>
      </c>
      <c r="AK65" t="str">
        <f>IF(Tabela1[[#This Row],[12]]&lt;&gt;"",IF(ISNUMBER(FIND(",",Tabela1[[#This Row],[12]])),LEN(Tabela1[[#This Row],[12]])-LEN(SUBSTITUTE(Tabela1[[#This Row],[12]],",",""))+1,1),"")</f>
        <v/>
      </c>
      <c r="AL65" t="str">
        <f>IF(Tabela1[[#This Row],[13]]&lt;&gt;"",IF(ISNUMBER(FIND(",",Tabela1[[#This Row],[13]])),LEN(Tabela1[[#This Row],[13]])-LEN(SUBSTITUTE(Tabela1[[#This Row],[13]],",",""))+1,1),"")</f>
        <v/>
      </c>
      <c r="AM65" t="str">
        <f>IF(Tabela1[[#This Row],[14]]&lt;&gt;"",IF(ISNUMBER(FIND(",",Tabela1[[#This Row],[14]])),LEN(Tabela1[[#This Row],[14]])-LEN(SUBSTITUTE(Tabela1[[#This Row],[14]],",",""))+1,1),"")</f>
        <v/>
      </c>
      <c r="AN65" t="str">
        <f>IF(Tabela1[[#This Row],[15]]&lt;&gt;"",IF(ISNUMBER(FIND(",",Tabela1[[#This Row],[15]])),LEN(Tabela1[[#This Row],[15]])-LEN(SUBSTITUTE(Tabela1[[#This Row],[15]],",",""))+1,1),"")</f>
        <v/>
      </c>
      <c r="AO65" t="str">
        <f>IF(Tabela1[[#This Row],[16]]&lt;&gt;"",IF(ISNUMBER(FIND(",",Tabela1[[#This Row],[16]])),LEN(Tabela1[[#This Row],[16]])-LEN(SUBSTITUTE(Tabela1[[#This Row],[16]],",",""))+1,1),"")</f>
        <v/>
      </c>
      <c r="AP65">
        <f>IF(Tabela1[[#This Row],[17]]&lt;&gt;"",IF(ISNUMBER(FIND(",",Tabela1[[#This Row],[17]])),LEN(Tabela1[[#This Row],[17]])-LEN(SUBSTITUTE(Tabela1[[#This Row],[17]],",",""))+1,1),"")</f>
        <v>1</v>
      </c>
      <c r="AQ65" t="str">
        <f>IF(Tabela1[[#This Row],[18]]&lt;&gt;"",IF(ISNUMBER(FIND(",",Tabela1[[#This Row],[18]])),LEN(Tabela1[[#This Row],[18]])-LEN(SUBSTITUTE(Tabela1[[#This Row],[18]],",",""))+1,1),"")</f>
        <v/>
      </c>
      <c r="AR65" s="13" t="str">
        <f>IF(Tabela1[[#This Row],[19_LENGTH]]&lt;&gt;"",IF(ISNUMBER(FIND(",",Tabela1[[#This Row],[19_LENGTH]])),LEN(Tabela1[[#This Row],[19_LENGTH]])-LEN(SUBSTITUTE(Tabela1[[#This Row],[19_LENGTH]],",",""))+1,1),"")</f>
        <v/>
      </c>
      <c r="AS65">
        <f>SUM(Tabela1[[#This Row],[1_]:[19_]])</f>
        <v>2</v>
      </c>
    </row>
    <row r="66" spans="1:45" x14ac:dyDescent="0.25">
      <c r="A66" s="27" t="s">
        <v>1316</v>
      </c>
      <c r="B66" s="19" t="s">
        <v>961</v>
      </c>
      <c r="C66" s="19">
        <v>202</v>
      </c>
      <c r="D66" s="19" t="s">
        <v>1300</v>
      </c>
      <c r="E66" s="20">
        <v>43445</v>
      </c>
      <c r="F66" s="19"/>
      <c r="G66" s="19"/>
      <c r="H66" s="19"/>
      <c r="I66" s="19">
        <v>79</v>
      </c>
      <c r="J66" s="19"/>
      <c r="K66" s="19"/>
      <c r="L66" s="19"/>
      <c r="M66" s="19"/>
      <c r="N66" s="19"/>
      <c r="O66" s="19"/>
      <c r="P66" s="19"/>
      <c r="Q66" s="19"/>
      <c r="R66" s="19"/>
      <c r="S66" s="19"/>
      <c r="T66" s="19"/>
      <c r="U66" s="19"/>
      <c r="V66" s="19"/>
      <c r="W66" s="19"/>
      <c r="X66" s="19"/>
      <c r="Y66" s="19"/>
      <c r="Z66" t="str">
        <f>IF(Tabela1[[#This Row],[1]]&lt;&gt;"",IF(ISNUMBER(FIND(",",Tabela1[[#This Row],[1]])),LEN(Tabela1[[#This Row],[1]])-LEN(SUBSTITUTE(Tabela1[[#This Row],[1]],",",""))+1,1),"")</f>
        <v/>
      </c>
      <c r="AA66" t="str">
        <f>IF(Tabela1[[#This Row],[2]]&lt;&gt;"",IF(ISNUMBER(FIND(",",Tabela1[[#This Row],[2]])),LEN(Tabela1[[#This Row],[2]])-LEN(SUBSTITUTE(Tabela1[[#This Row],[2]],",",""))+1,1),"")</f>
        <v/>
      </c>
      <c r="AB66" t="str">
        <f>IF(Tabela1[[#This Row],[3]]&lt;&gt;"",IF(ISNUMBER(FIND(",",Tabela1[[#This Row],[3]])),LEN(Tabela1[[#This Row],[3]])-LEN(SUBSTITUTE(Tabela1[[#This Row],[3]],",",""))+1,1),"")</f>
        <v/>
      </c>
      <c r="AC66">
        <f>IF(Tabela1[[#This Row],[4]]&lt;&gt;"",IF(ISNUMBER(FIND(",",Tabela1[[#This Row],[4]])),LEN(Tabela1[[#This Row],[4]])-LEN(SUBSTITUTE(Tabela1[[#This Row],[4]],",",""))+1,1),"")</f>
        <v>1</v>
      </c>
      <c r="AD66" t="str">
        <f>IF(Tabela1[[#This Row],[5]]&lt;&gt;"",IF(ISNUMBER(FIND(",",Tabela1[[#This Row],[5]])),LEN(Tabela1[[#This Row],[5]])-LEN(SUBSTITUTE(Tabela1[[#This Row],[5]],",",""))+1,1),"")</f>
        <v/>
      </c>
      <c r="AE66" t="str">
        <f>IF(Tabela1[[#This Row],[6]]&lt;&gt;"",IF(ISNUMBER(FIND(",",Tabela1[[#This Row],[6]])),LEN(Tabela1[[#This Row],[6]])-LEN(SUBSTITUTE(Tabela1[[#This Row],[6]],",",""))+1,1),"")</f>
        <v/>
      </c>
      <c r="AF66" t="str">
        <f>IF(Tabela1[[#This Row],[7]]&lt;&gt;"",IF(ISNUMBER(FIND(",",Tabela1[[#This Row],[7]])),LEN(Tabela1[[#This Row],[7]])-LEN(SUBSTITUTE(Tabela1[[#This Row],[7]],",",""))+1,1),"")</f>
        <v/>
      </c>
      <c r="AG66" t="str">
        <f>IF(Tabela1[[#This Row],[8]]&lt;&gt;"",IF(ISNUMBER(FIND(",",Tabela1[[#This Row],[8]])),LEN(Tabela1[[#This Row],[8]])-LEN(SUBSTITUTE(Tabela1[[#This Row],[8]],",",""))+1,1),"")</f>
        <v/>
      </c>
      <c r="AH66" t="str">
        <f>IF(Tabela1[[#This Row],[9]]&lt;&gt;"",IF(ISNUMBER(FIND(",",Tabela1[[#This Row],[9]])),LEN(Tabela1[[#This Row],[9]])-LEN(SUBSTITUTE(Tabela1[[#This Row],[9]],",",""))+1,1),"")</f>
        <v/>
      </c>
      <c r="AI66" t="str">
        <f>IF(Tabela1[[#This Row],[10]]&lt;&gt;"",IF(ISNUMBER(FIND(",",Tabela1[[#This Row],[10]])),LEN(Tabela1[[#This Row],[10]])-LEN(SUBSTITUTE(Tabela1[[#This Row],[10]],",",""))+1,1),"")</f>
        <v/>
      </c>
      <c r="AJ66" t="str">
        <f>IF(Tabela1[[#This Row],[11]]&lt;&gt;"",IF(ISNUMBER(FIND(",",Tabela1[[#This Row],[11]])),LEN(Tabela1[[#This Row],[11]])-LEN(SUBSTITUTE(Tabela1[[#This Row],[11]],",",""))+1,1),"")</f>
        <v/>
      </c>
      <c r="AK66" t="str">
        <f>IF(Tabela1[[#This Row],[12]]&lt;&gt;"",IF(ISNUMBER(FIND(",",Tabela1[[#This Row],[12]])),LEN(Tabela1[[#This Row],[12]])-LEN(SUBSTITUTE(Tabela1[[#This Row],[12]],",",""))+1,1),"")</f>
        <v/>
      </c>
      <c r="AL66" t="str">
        <f>IF(Tabela1[[#This Row],[13]]&lt;&gt;"",IF(ISNUMBER(FIND(",",Tabela1[[#This Row],[13]])),LEN(Tabela1[[#This Row],[13]])-LEN(SUBSTITUTE(Tabela1[[#This Row],[13]],",",""))+1,1),"")</f>
        <v/>
      </c>
      <c r="AM66" t="str">
        <f>IF(Tabela1[[#This Row],[14]]&lt;&gt;"",IF(ISNUMBER(FIND(",",Tabela1[[#This Row],[14]])),LEN(Tabela1[[#This Row],[14]])-LEN(SUBSTITUTE(Tabela1[[#This Row],[14]],",",""))+1,1),"")</f>
        <v/>
      </c>
      <c r="AN66" t="str">
        <f>IF(Tabela1[[#This Row],[15]]&lt;&gt;"",IF(ISNUMBER(FIND(",",Tabela1[[#This Row],[15]])),LEN(Tabela1[[#This Row],[15]])-LEN(SUBSTITUTE(Tabela1[[#This Row],[15]],",",""))+1,1),"")</f>
        <v/>
      </c>
      <c r="AO66" t="str">
        <f>IF(Tabela1[[#This Row],[16]]&lt;&gt;"",IF(ISNUMBER(FIND(",",Tabela1[[#This Row],[16]])),LEN(Tabela1[[#This Row],[16]])-LEN(SUBSTITUTE(Tabela1[[#This Row],[16]],",",""))+1,1),"")</f>
        <v/>
      </c>
      <c r="AP66" t="str">
        <f>IF(Tabela1[[#This Row],[17]]&lt;&gt;"",IF(ISNUMBER(FIND(",",Tabela1[[#This Row],[17]])),LEN(Tabela1[[#This Row],[17]])-LEN(SUBSTITUTE(Tabela1[[#This Row],[17]],",",""))+1,1),"")</f>
        <v/>
      </c>
      <c r="AQ66" t="str">
        <f>IF(Tabela1[[#This Row],[18]]&lt;&gt;"",IF(ISNUMBER(FIND(",",Tabela1[[#This Row],[18]])),LEN(Tabela1[[#This Row],[18]])-LEN(SUBSTITUTE(Tabela1[[#This Row],[18]],",",""))+1,1),"")</f>
        <v/>
      </c>
      <c r="AR66" s="13" t="str">
        <f>IF(Tabela1[[#This Row],[19_LENGTH]]&lt;&gt;"",IF(ISNUMBER(FIND(",",Tabela1[[#This Row],[19_LENGTH]])),LEN(Tabela1[[#This Row],[19_LENGTH]])-LEN(SUBSTITUTE(Tabela1[[#This Row],[19_LENGTH]],",",""))+1,1),"")</f>
        <v/>
      </c>
      <c r="AS66">
        <f>SUM(Tabela1[[#This Row],[1_]:[19_]])</f>
        <v>1</v>
      </c>
    </row>
    <row r="67" spans="1:45" x14ac:dyDescent="0.25">
      <c r="A67" s="27" t="s">
        <v>1316</v>
      </c>
      <c r="B67" s="19" t="s">
        <v>689</v>
      </c>
      <c r="C67" s="19">
        <v>202</v>
      </c>
      <c r="D67" s="19" t="s">
        <v>1300</v>
      </c>
      <c r="E67" s="20">
        <v>43445</v>
      </c>
      <c r="F67" s="19"/>
      <c r="G67" s="19"/>
      <c r="H67" s="19"/>
      <c r="I67" s="19"/>
      <c r="J67" s="19"/>
      <c r="K67" s="19"/>
      <c r="L67" s="19"/>
      <c r="M67" s="19"/>
      <c r="N67" s="19"/>
      <c r="O67" s="19"/>
      <c r="P67" s="19"/>
      <c r="Q67" s="19"/>
      <c r="R67" s="19"/>
      <c r="S67" s="19"/>
      <c r="T67" s="19"/>
      <c r="U67" s="19"/>
      <c r="V67" s="19"/>
      <c r="W67" s="19">
        <v>155</v>
      </c>
      <c r="X67" s="19"/>
      <c r="Y67" s="19"/>
      <c r="Z67" t="str">
        <f>IF(Tabela1[[#This Row],[1]]&lt;&gt;"",IF(ISNUMBER(FIND(",",Tabela1[[#This Row],[1]])),LEN(Tabela1[[#This Row],[1]])-LEN(SUBSTITUTE(Tabela1[[#This Row],[1]],",",""))+1,1),"")</f>
        <v/>
      </c>
      <c r="AA67" t="str">
        <f>IF(Tabela1[[#This Row],[2]]&lt;&gt;"",IF(ISNUMBER(FIND(",",Tabela1[[#This Row],[2]])),LEN(Tabela1[[#This Row],[2]])-LEN(SUBSTITUTE(Tabela1[[#This Row],[2]],",",""))+1,1),"")</f>
        <v/>
      </c>
      <c r="AB67" t="str">
        <f>IF(Tabela1[[#This Row],[3]]&lt;&gt;"",IF(ISNUMBER(FIND(",",Tabela1[[#This Row],[3]])),LEN(Tabela1[[#This Row],[3]])-LEN(SUBSTITUTE(Tabela1[[#This Row],[3]],",",""))+1,1),"")</f>
        <v/>
      </c>
      <c r="AC67" t="str">
        <f>IF(Tabela1[[#This Row],[4]]&lt;&gt;"",IF(ISNUMBER(FIND(",",Tabela1[[#This Row],[4]])),LEN(Tabela1[[#This Row],[4]])-LEN(SUBSTITUTE(Tabela1[[#This Row],[4]],",",""))+1,1),"")</f>
        <v/>
      </c>
      <c r="AD67" t="str">
        <f>IF(Tabela1[[#This Row],[5]]&lt;&gt;"",IF(ISNUMBER(FIND(",",Tabela1[[#This Row],[5]])),LEN(Tabela1[[#This Row],[5]])-LEN(SUBSTITUTE(Tabela1[[#This Row],[5]],",",""))+1,1),"")</f>
        <v/>
      </c>
      <c r="AE67" t="str">
        <f>IF(Tabela1[[#This Row],[6]]&lt;&gt;"",IF(ISNUMBER(FIND(",",Tabela1[[#This Row],[6]])),LEN(Tabela1[[#This Row],[6]])-LEN(SUBSTITUTE(Tabela1[[#This Row],[6]],",",""))+1,1),"")</f>
        <v/>
      </c>
      <c r="AF67" t="str">
        <f>IF(Tabela1[[#This Row],[7]]&lt;&gt;"",IF(ISNUMBER(FIND(",",Tabela1[[#This Row],[7]])),LEN(Tabela1[[#This Row],[7]])-LEN(SUBSTITUTE(Tabela1[[#This Row],[7]],",",""))+1,1),"")</f>
        <v/>
      </c>
      <c r="AG67" t="str">
        <f>IF(Tabela1[[#This Row],[8]]&lt;&gt;"",IF(ISNUMBER(FIND(",",Tabela1[[#This Row],[8]])),LEN(Tabela1[[#This Row],[8]])-LEN(SUBSTITUTE(Tabela1[[#This Row],[8]],",",""))+1,1),"")</f>
        <v/>
      </c>
      <c r="AH67" t="str">
        <f>IF(Tabela1[[#This Row],[9]]&lt;&gt;"",IF(ISNUMBER(FIND(",",Tabela1[[#This Row],[9]])),LEN(Tabela1[[#This Row],[9]])-LEN(SUBSTITUTE(Tabela1[[#This Row],[9]],",",""))+1,1),"")</f>
        <v/>
      </c>
      <c r="AI67" t="str">
        <f>IF(Tabela1[[#This Row],[10]]&lt;&gt;"",IF(ISNUMBER(FIND(",",Tabela1[[#This Row],[10]])),LEN(Tabela1[[#This Row],[10]])-LEN(SUBSTITUTE(Tabela1[[#This Row],[10]],",",""))+1,1),"")</f>
        <v/>
      </c>
      <c r="AJ67" t="str">
        <f>IF(Tabela1[[#This Row],[11]]&lt;&gt;"",IF(ISNUMBER(FIND(",",Tabela1[[#This Row],[11]])),LEN(Tabela1[[#This Row],[11]])-LEN(SUBSTITUTE(Tabela1[[#This Row],[11]],",",""))+1,1),"")</f>
        <v/>
      </c>
      <c r="AK67" t="str">
        <f>IF(Tabela1[[#This Row],[12]]&lt;&gt;"",IF(ISNUMBER(FIND(",",Tabela1[[#This Row],[12]])),LEN(Tabela1[[#This Row],[12]])-LEN(SUBSTITUTE(Tabela1[[#This Row],[12]],",",""))+1,1),"")</f>
        <v/>
      </c>
      <c r="AL67" t="str">
        <f>IF(Tabela1[[#This Row],[13]]&lt;&gt;"",IF(ISNUMBER(FIND(",",Tabela1[[#This Row],[13]])),LEN(Tabela1[[#This Row],[13]])-LEN(SUBSTITUTE(Tabela1[[#This Row],[13]],",",""))+1,1),"")</f>
        <v/>
      </c>
      <c r="AM67" t="str">
        <f>IF(Tabela1[[#This Row],[14]]&lt;&gt;"",IF(ISNUMBER(FIND(",",Tabela1[[#This Row],[14]])),LEN(Tabela1[[#This Row],[14]])-LEN(SUBSTITUTE(Tabela1[[#This Row],[14]],",",""))+1,1),"")</f>
        <v/>
      </c>
      <c r="AN67" t="str">
        <f>IF(Tabela1[[#This Row],[15]]&lt;&gt;"",IF(ISNUMBER(FIND(",",Tabela1[[#This Row],[15]])),LEN(Tabela1[[#This Row],[15]])-LEN(SUBSTITUTE(Tabela1[[#This Row],[15]],",",""))+1,1),"")</f>
        <v/>
      </c>
      <c r="AO67" t="str">
        <f>IF(Tabela1[[#This Row],[16]]&lt;&gt;"",IF(ISNUMBER(FIND(",",Tabela1[[#This Row],[16]])),LEN(Tabela1[[#This Row],[16]])-LEN(SUBSTITUTE(Tabela1[[#This Row],[16]],",",""))+1,1),"")</f>
        <v/>
      </c>
      <c r="AP67" t="str">
        <f>IF(Tabela1[[#This Row],[17]]&lt;&gt;"",IF(ISNUMBER(FIND(",",Tabela1[[#This Row],[17]])),LEN(Tabela1[[#This Row],[17]])-LEN(SUBSTITUTE(Tabela1[[#This Row],[17]],",",""))+1,1),"")</f>
        <v/>
      </c>
      <c r="AQ67">
        <f>IF(Tabela1[[#This Row],[18]]&lt;&gt;"",IF(ISNUMBER(FIND(",",Tabela1[[#This Row],[18]])),LEN(Tabela1[[#This Row],[18]])-LEN(SUBSTITUTE(Tabela1[[#This Row],[18]],",",""))+1,1),"")</f>
        <v>1</v>
      </c>
      <c r="AR67" s="13" t="str">
        <f>IF(Tabela1[[#This Row],[19_LENGTH]]&lt;&gt;"",IF(ISNUMBER(FIND(",",Tabela1[[#This Row],[19_LENGTH]])),LEN(Tabela1[[#This Row],[19_LENGTH]])-LEN(SUBSTITUTE(Tabela1[[#This Row],[19_LENGTH]],",",""))+1,1),"")</f>
        <v/>
      </c>
      <c r="AS67">
        <f>SUM(Tabela1[[#This Row],[1_]:[19_]])</f>
        <v>1</v>
      </c>
    </row>
    <row r="68" spans="1:45" x14ac:dyDescent="0.25">
      <c r="A68" s="27" t="s">
        <v>1319</v>
      </c>
      <c r="B68" s="19" t="s">
        <v>326</v>
      </c>
      <c r="C68" s="19">
        <v>202</v>
      </c>
      <c r="D68" s="19" t="s">
        <v>1315</v>
      </c>
      <c r="E68" s="20">
        <v>43445</v>
      </c>
      <c r="F68" s="19"/>
      <c r="G68" s="19"/>
      <c r="H68" s="19"/>
      <c r="I68" s="19">
        <v>113</v>
      </c>
      <c r="J68" s="19"/>
      <c r="K68" s="19"/>
      <c r="L68" s="19"/>
      <c r="M68" s="19"/>
      <c r="N68" s="19"/>
      <c r="O68" s="19"/>
      <c r="P68" s="19"/>
      <c r="Q68" s="19"/>
      <c r="R68" s="19"/>
      <c r="S68" s="19"/>
      <c r="T68" s="19"/>
      <c r="U68" s="19"/>
      <c r="V68" s="19"/>
      <c r="W68" s="19"/>
      <c r="X68" s="19"/>
      <c r="Y68" s="19"/>
      <c r="Z68" t="str">
        <f>IF(Tabela1[[#This Row],[1]]&lt;&gt;"",IF(ISNUMBER(FIND(",",Tabela1[[#This Row],[1]])),LEN(Tabela1[[#This Row],[1]])-LEN(SUBSTITUTE(Tabela1[[#This Row],[1]],",",""))+1,1),"")</f>
        <v/>
      </c>
      <c r="AA68" t="str">
        <f>IF(Tabela1[[#This Row],[2]]&lt;&gt;"",IF(ISNUMBER(FIND(",",Tabela1[[#This Row],[2]])),LEN(Tabela1[[#This Row],[2]])-LEN(SUBSTITUTE(Tabela1[[#This Row],[2]],",",""))+1,1),"")</f>
        <v/>
      </c>
      <c r="AB68" t="str">
        <f>IF(Tabela1[[#This Row],[3]]&lt;&gt;"",IF(ISNUMBER(FIND(",",Tabela1[[#This Row],[3]])),LEN(Tabela1[[#This Row],[3]])-LEN(SUBSTITUTE(Tabela1[[#This Row],[3]],",",""))+1,1),"")</f>
        <v/>
      </c>
      <c r="AC68">
        <f>IF(Tabela1[[#This Row],[4]]&lt;&gt;"",IF(ISNUMBER(FIND(",",Tabela1[[#This Row],[4]])),LEN(Tabela1[[#This Row],[4]])-LEN(SUBSTITUTE(Tabela1[[#This Row],[4]],",",""))+1,1),"")</f>
        <v>1</v>
      </c>
      <c r="AD68" t="str">
        <f>IF(Tabela1[[#This Row],[5]]&lt;&gt;"",IF(ISNUMBER(FIND(",",Tabela1[[#This Row],[5]])),LEN(Tabela1[[#This Row],[5]])-LEN(SUBSTITUTE(Tabela1[[#This Row],[5]],",",""))+1,1),"")</f>
        <v/>
      </c>
      <c r="AE68" t="str">
        <f>IF(Tabela1[[#This Row],[6]]&lt;&gt;"",IF(ISNUMBER(FIND(",",Tabela1[[#This Row],[6]])),LEN(Tabela1[[#This Row],[6]])-LEN(SUBSTITUTE(Tabela1[[#This Row],[6]],",",""))+1,1),"")</f>
        <v/>
      </c>
      <c r="AF68" t="str">
        <f>IF(Tabela1[[#This Row],[7]]&lt;&gt;"",IF(ISNUMBER(FIND(",",Tabela1[[#This Row],[7]])),LEN(Tabela1[[#This Row],[7]])-LEN(SUBSTITUTE(Tabela1[[#This Row],[7]],",",""))+1,1),"")</f>
        <v/>
      </c>
      <c r="AG68" t="str">
        <f>IF(Tabela1[[#This Row],[8]]&lt;&gt;"",IF(ISNUMBER(FIND(",",Tabela1[[#This Row],[8]])),LEN(Tabela1[[#This Row],[8]])-LEN(SUBSTITUTE(Tabela1[[#This Row],[8]],",",""))+1,1),"")</f>
        <v/>
      </c>
      <c r="AH68" t="str">
        <f>IF(Tabela1[[#This Row],[9]]&lt;&gt;"",IF(ISNUMBER(FIND(",",Tabela1[[#This Row],[9]])),LEN(Tabela1[[#This Row],[9]])-LEN(SUBSTITUTE(Tabela1[[#This Row],[9]],",",""))+1,1),"")</f>
        <v/>
      </c>
      <c r="AI68" t="str">
        <f>IF(Tabela1[[#This Row],[10]]&lt;&gt;"",IF(ISNUMBER(FIND(",",Tabela1[[#This Row],[10]])),LEN(Tabela1[[#This Row],[10]])-LEN(SUBSTITUTE(Tabela1[[#This Row],[10]],",",""))+1,1),"")</f>
        <v/>
      </c>
      <c r="AJ68" t="str">
        <f>IF(Tabela1[[#This Row],[11]]&lt;&gt;"",IF(ISNUMBER(FIND(",",Tabela1[[#This Row],[11]])),LEN(Tabela1[[#This Row],[11]])-LEN(SUBSTITUTE(Tabela1[[#This Row],[11]],",",""))+1,1),"")</f>
        <v/>
      </c>
      <c r="AK68" t="str">
        <f>IF(Tabela1[[#This Row],[12]]&lt;&gt;"",IF(ISNUMBER(FIND(",",Tabela1[[#This Row],[12]])),LEN(Tabela1[[#This Row],[12]])-LEN(SUBSTITUTE(Tabela1[[#This Row],[12]],",",""))+1,1),"")</f>
        <v/>
      </c>
      <c r="AL68" t="str">
        <f>IF(Tabela1[[#This Row],[13]]&lt;&gt;"",IF(ISNUMBER(FIND(",",Tabela1[[#This Row],[13]])),LEN(Tabela1[[#This Row],[13]])-LEN(SUBSTITUTE(Tabela1[[#This Row],[13]],",",""))+1,1),"")</f>
        <v/>
      </c>
      <c r="AM68" t="str">
        <f>IF(Tabela1[[#This Row],[14]]&lt;&gt;"",IF(ISNUMBER(FIND(",",Tabela1[[#This Row],[14]])),LEN(Tabela1[[#This Row],[14]])-LEN(SUBSTITUTE(Tabela1[[#This Row],[14]],",",""))+1,1),"")</f>
        <v/>
      </c>
      <c r="AN68" t="str">
        <f>IF(Tabela1[[#This Row],[15]]&lt;&gt;"",IF(ISNUMBER(FIND(",",Tabela1[[#This Row],[15]])),LEN(Tabela1[[#This Row],[15]])-LEN(SUBSTITUTE(Tabela1[[#This Row],[15]],",",""))+1,1),"")</f>
        <v/>
      </c>
      <c r="AO68" t="str">
        <f>IF(Tabela1[[#This Row],[16]]&lt;&gt;"",IF(ISNUMBER(FIND(",",Tabela1[[#This Row],[16]])),LEN(Tabela1[[#This Row],[16]])-LEN(SUBSTITUTE(Tabela1[[#This Row],[16]],",",""))+1,1),"")</f>
        <v/>
      </c>
      <c r="AP68" t="str">
        <f>IF(Tabela1[[#This Row],[17]]&lt;&gt;"",IF(ISNUMBER(FIND(",",Tabela1[[#This Row],[17]])),LEN(Tabela1[[#This Row],[17]])-LEN(SUBSTITUTE(Tabela1[[#This Row],[17]],",",""))+1,1),"")</f>
        <v/>
      </c>
      <c r="AQ68" t="str">
        <f>IF(Tabela1[[#This Row],[18]]&lt;&gt;"",IF(ISNUMBER(FIND(",",Tabela1[[#This Row],[18]])),LEN(Tabela1[[#This Row],[18]])-LEN(SUBSTITUTE(Tabela1[[#This Row],[18]],",",""))+1,1),"")</f>
        <v/>
      </c>
      <c r="AR68" s="13" t="str">
        <f>IF(Tabela1[[#This Row],[19_LENGTH]]&lt;&gt;"",IF(ISNUMBER(FIND(",",Tabela1[[#This Row],[19_LENGTH]])),LEN(Tabela1[[#This Row],[19_LENGTH]])-LEN(SUBSTITUTE(Tabela1[[#This Row],[19_LENGTH]],",",""))+1,1),"")</f>
        <v/>
      </c>
      <c r="AS68">
        <f>SUM(Tabela1[[#This Row],[1_]:[19_]])</f>
        <v>1</v>
      </c>
    </row>
    <row r="69" spans="1:45" x14ac:dyDescent="0.25">
      <c r="A69" s="27" t="s">
        <v>1316</v>
      </c>
      <c r="B69" s="19" t="s">
        <v>690</v>
      </c>
      <c r="C69" s="19">
        <v>202</v>
      </c>
      <c r="D69" s="19" t="s">
        <v>1301</v>
      </c>
      <c r="E69" s="20">
        <v>43445</v>
      </c>
      <c r="F69" s="19"/>
      <c r="G69" s="19">
        <v>34</v>
      </c>
      <c r="H69" s="19"/>
      <c r="I69" s="19"/>
      <c r="J69" s="19"/>
      <c r="K69" s="19"/>
      <c r="L69" s="19"/>
      <c r="M69" s="19"/>
      <c r="N69" s="19"/>
      <c r="O69" s="19"/>
      <c r="P69" s="19"/>
      <c r="Q69" s="19"/>
      <c r="R69" s="19"/>
      <c r="S69" s="19"/>
      <c r="T69" s="19"/>
      <c r="U69" s="19"/>
      <c r="V69" s="19"/>
      <c r="W69" s="19"/>
      <c r="X69" s="19"/>
      <c r="Y69" s="19"/>
      <c r="Z69" t="str">
        <f>IF(Tabela1[[#This Row],[1]]&lt;&gt;"",IF(ISNUMBER(FIND(",",Tabela1[[#This Row],[1]])),LEN(Tabela1[[#This Row],[1]])-LEN(SUBSTITUTE(Tabela1[[#This Row],[1]],",",""))+1,1),"")</f>
        <v/>
      </c>
      <c r="AA69">
        <f>IF(Tabela1[[#This Row],[2]]&lt;&gt;"",IF(ISNUMBER(FIND(",",Tabela1[[#This Row],[2]])),LEN(Tabela1[[#This Row],[2]])-LEN(SUBSTITUTE(Tabela1[[#This Row],[2]],",",""))+1,1),"")</f>
        <v>1</v>
      </c>
      <c r="AB69" t="str">
        <f>IF(Tabela1[[#This Row],[3]]&lt;&gt;"",IF(ISNUMBER(FIND(",",Tabela1[[#This Row],[3]])),LEN(Tabela1[[#This Row],[3]])-LEN(SUBSTITUTE(Tabela1[[#This Row],[3]],",",""))+1,1),"")</f>
        <v/>
      </c>
      <c r="AC69" t="str">
        <f>IF(Tabela1[[#This Row],[4]]&lt;&gt;"",IF(ISNUMBER(FIND(",",Tabela1[[#This Row],[4]])),LEN(Tabela1[[#This Row],[4]])-LEN(SUBSTITUTE(Tabela1[[#This Row],[4]],",",""))+1,1),"")</f>
        <v/>
      </c>
      <c r="AD69" t="str">
        <f>IF(Tabela1[[#This Row],[5]]&lt;&gt;"",IF(ISNUMBER(FIND(",",Tabela1[[#This Row],[5]])),LEN(Tabela1[[#This Row],[5]])-LEN(SUBSTITUTE(Tabela1[[#This Row],[5]],",",""))+1,1),"")</f>
        <v/>
      </c>
      <c r="AE69" t="str">
        <f>IF(Tabela1[[#This Row],[6]]&lt;&gt;"",IF(ISNUMBER(FIND(",",Tabela1[[#This Row],[6]])),LEN(Tabela1[[#This Row],[6]])-LEN(SUBSTITUTE(Tabela1[[#This Row],[6]],",",""))+1,1),"")</f>
        <v/>
      </c>
      <c r="AF69" t="str">
        <f>IF(Tabela1[[#This Row],[7]]&lt;&gt;"",IF(ISNUMBER(FIND(",",Tabela1[[#This Row],[7]])),LEN(Tabela1[[#This Row],[7]])-LEN(SUBSTITUTE(Tabela1[[#This Row],[7]],",",""))+1,1),"")</f>
        <v/>
      </c>
      <c r="AG69" t="str">
        <f>IF(Tabela1[[#This Row],[8]]&lt;&gt;"",IF(ISNUMBER(FIND(",",Tabela1[[#This Row],[8]])),LEN(Tabela1[[#This Row],[8]])-LEN(SUBSTITUTE(Tabela1[[#This Row],[8]],",",""))+1,1),"")</f>
        <v/>
      </c>
      <c r="AH69" t="str">
        <f>IF(Tabela1[[#This Row],[9]]&lt;&gt;"",IF(ISNUMBER(FIND(",",Tabela1[[#This Row],[9]])),LEN(Tabela1[[#This Row],[9]])-LEN(SUBSTITUTE(Tabela1[[#This Row],[9]],",",""))+1,1),"")</f>
        <v/>
      </c>
      <c r="AI69" t="str">
        <f>IF(Tabela1[[#This Row],[10]]&lt;&gt;"",IF(ISNUMBER(FIND(",",Tabela1[[#This Row],[10]])),LEN(Tabela1[[#This Row],[10]])-LEN(SUBSTITUTE(Tabela1[[#This Row],[10]],",",""))+1,1),"")</f>
        <v/>
      </c>
      <c r="AJ69" t="str">
        <f>IF(Tabela1[[#This Row],[11]]&lt;&gt;"",IF(ISNUMBER(FIND(",",Tabela1[[#This Row],[11]])),LEN(Tabela1[[#This Row],[11]])-LEN(SUBSTITUTE(Tabela1[[#This Row],[11]],",",""))+1,1),"")</f>
        <v/>
      </c>
      <c r="AK69" t="str">
        <f>IF(Tabela1[[#This Row],[12]]&lt;&gt;"",IF(ISNUMBER(FIND(",",Tabela1[[#This Row],[12]])),LEN(Tabela1[[#This Row],[12]])-LEN(SUBSTITUTE(Tabela1[[#This Row],[12]],",",""))+1,1),"")</f>
        <v/>
      </c>
      <c r="AL69" t="str">
        <f>IF(Tabela1[[#This Row],[13]]&lt;&gt;"",IF(ISNUMBER(FIND(",",Tabela1[[#This Row],[13]])),LEN(Tabela1[[#This Row],[13]])-LEN(SUBSTITUTE(Tabela1[[#This Row],[13]],",",""))+1,1),"")</f>
        <v/>
      </c>
      <c r="AM69" t="str">
        <f>IF(Tabela1[[#This Row],[14]]&lt;&gt;"",IF(ISNUMBER(FIND(",",Tabela1[[#This Row],[14]])),LEN(Tabela1[[#This Row],[14]])-LEN(SUBSTITUTE(Tabela1[[#This Row],[14]],",",""))+1,1),"")</f>
        <v/>
      </c>
      <c r="AN69" t="str">
        <f>IF(Tabela1[[#This Row],[15]]&lt;&gt;"",IF(ISNUMBER(FIND(",",Tabela1[[#This Row],[15]])),LEN(Tabela1[[#This Row],[15]])-LEN(SUBSTITUTE(Tabela1[[#This Row],[15]],",",""))+1,1),"")</f>
        <v/>
      </c>
      <c r="AO69" t="str">
        <f>IF(Tabela1[[#This Row],[16]]&lt;&gt;"",IF(ISNUMBER(FIND(",",Tabela1[[#This Row],[16]])),LEN(Tabela1[[#This Row],[16]])-LEN(SUBSTITUTE(Tabela1[[#This Row],[16]],",",""))+1,1),"")</f>
        <v/>
      </c>
      <c r="AP69" t="str">
        <f>IF(Tabela1[[#This Row],[17]]&lt;&gt;"",IF(ISNUMBER(FIND(",",Tabela1[[#This Row],[17]])),LEN(Tabela1[[#This Row],[17]])-LEN(SUBSTITUTE(Tabela1[[#This Row],[17]],",",""))+1,1),"")</f>
        <v/>
      </c>
      <c r="AQ69" t="str">
        <f>IF(Tabela1[[#This Row],[18]]&lt;&gt;"",IF(ISNUMBER(FIND(",",Tabela1[[#This Row],[18]])),LEN(Tabela1[[#This Row],[18]])-LEN(SUBSTITUTE(Tabela1[[#This Row],[18]],",",""))+1,1),"")</f>
        <v/>
      </c>
      <c r="AR69" s="13" t="str">
        <f>IF(Tabela1[[#This Row],[19_LENGTH]]&lt;&gt;"",IF(ISNUMBER(FIND(",",Tabela1[[#This Row],[19_LENGTH]])),LEN(Tabela1[[#This Row],[19_LENGTH]])-LEN(SUBSTITUTE(Tabela1[[#This Row],[19_LENGTH]],",",""))+1,1),"")</f>
        <v/>
      </c>
      <c r="AS69">
        <f>SUM(Tabela1[[#This Row],[1_]:[19_]])</f>
        <v>1</v>
      </c>
    </row>
    <row r="70" spans="1:45" x14ac:dyDescent="0.25">
      <c r="A70" s="27" t="s">
        <v>1316</v>
      </c>
      <c r="B70" s="19" t="s">
        <v>691</v>
      </c>
      <c r="C70" s="19">
        <v>202</v>
      </c>
      <c r="D70" s="19" t="s">
        <v>1301</v>
      </c>
      <c r="E70" s="20">
        <v>43445</v>
      </c>
      <c r="F70" s="19"/>
      <c r="G70" s="19" t="s">
        <v>25</v>
      </c>
      <c r="H70" s="19">
        <v>19</v>
      </c>
      <c r="I70" s="19"/>
      <c r="J70" s="19"/>
      <c r="K70" s="19"/>
      <c r="L70" s="19"/>
      <c r="M70" s="19"/>
      <c r="N70" s="19"/>
      <c r="O70" s="19"/>
      <c r="P70" s="19"/>
      <c r="Q70" s="19"/>
      <c r="R70" s="19"/>
      <c r="S70" s="19"/>
      <c r="T70" s="19"/>
      <c r="U70" s="19"/>
      <c r="V70" s="19"/>
      <c r="W70" s="19"/>
      <c r="X70" s="19"/>
      <c r="Y70" s="19"/>
      <c r="Z70" t="str">
        <f>IF(Tabela1[[#This Row],[1]]&lt;&gt;"",IF(ISNUMBER(FIND(",",Tabela1[[#This Row],[1]])),LEN(Tabela1[[#This Row],[1]])-LEN(SUBSTITUTE(Tabela1[[#This Row],[1]],",",""))+1,1),"")</f>
        <v/>
      </c>
      <c r="AA70">
        <f>IF(Tabela1[[#This Row],[2]]&lt;&gt;"",IF(ISNUMBER(FIND(",",Tabela1[[#This Row],[2]])),LEN(Tabela1[[#This Row],[2]])-LEN(SUBSTITUTE(Tabela1[[#This Row],[2]],",",""))+1,1),"")</f>
        <v>2</v>
      </c>
      <c r="AB70">
        <f>IF(Tabela1[[#This Row],[3]]&lt;&gt;"",IF(ISNUMBER(FIND(",",Tabela1[[#This Row],[3]])),LEN(Tabela1[[#This Row],[3]])-LEN(SUBSTITUTE(Tabela1[[#This Row],[3]],",",""))+1,1),"")</f>
        <v>1</v>
      </c>
      <c r="AC70" t="str">
        <f>IF(Tabela1[[#This Row],[4]]&lt;&gt;"",IF(ISNUMBER(FIND(",",Tabela1[[#This Row],[4]])),LEN(Tabela1[[#This Row],[4]])-LEN(SUBSTITUTE(Tabela1[[#This Row],[4]],",",""))+1,1),"")</f>
        <v/>
      </c>
      <c r="AD70" t="str">
        <f>IF(Tabela1[[#This Row],[5]]&lt;&gt;"",IF(ISNUMBER(FIND(",",Tabela1[[#This Row],[5]])),LEN(Tabela1[[#This Row],[5]])-LEN(SUBSTITUTE(Tabela1[[#This Row],[5]],",",""))+1,1),"")</f>
        <v/>
      </c>
      <c r="AE70" t="str">
        <f>IF(Tabela1[[#This Row],[6]]&lt;&gt;"",IF(ISNUMBER(FIND(",",Tabela1[[#This Row],[6]])),LEN(Tabela1[[#This Row],[6]])-LEN(SUBSTITUTE(Tabela1[[#This Row],[6]],",",""))+1,1),"")</f>
        <v/>
      </c>
      <c r="AF70" t="str">
        <f>IF(Tabela1[[#This Row],[7]]&lt;&gt;"",IF(ISNUMBER(FIND(",",Tabela1[[#This Row],[7]])),LEN(Tabela1[[#This Row],[7]])-LEN(SUBSTITUTE(Tabela1[[#This Row],[7]],",",""))+1,1),"")</f>
        <v/>
      </c>
      <c r="AG70" t="str">
        <f>IF(Tabela1[[#This Row],[8]]&lt;&gt;"",IF(ISNUMBER(FIND(",",Tabela1[[#This Row],[8]])),LEN(Tabela1[[#This Row],[8]])-LEN(SUBSTITUTE(Tabela1[[#This Row],[8]],",",""))+1,1),"")</f>
        <v/>
      </c>
      <c r="AH70" t="str">
        <f>IF(Tabela1[[#This Row],[9]]&lt;&gt;"",IF(ISNUMBER(FIND(",",Tabela1[[#This Row],[9]])),LEN(Tabela1[[#This Row],[9]])-LEN(SUBSTITUTE(Tabela1[[#This Row],[9]],",",""))+1,1),"")</f>
        <v/>
      </c>
      <c r="AI70" t="str">
        <f>IF(Tabela1[[#This Row],[10]]&lt;&gt;"",IF(ISNUMBER(FIND(",",Tabela1[[#This Row],[10]])),LEN(Tabela1[[#This Row],[10]])-LEN(SUBSTITUTE(Tabela1[[#This Row],[10]],",",""))+1,1),"")</f>
        <v/>
      </c>
      <c r="AJ70" t="str">
        <f>IF(Tabela1[[#This Row],[11]]&lt;&gt;"",IF(ISNUMBER(FIND(",",Tabela1[[#This Row],[11]])),LEN(Tabela1[[#This Row],[11]])-LEN(SUBSTITUTE(Tabela1[[#This Row],[11]],",",""))+1,1),"")</f>
        <v/>
      </c>
      <c r="AK70" t="str">
        <f>IF(Tabela1[[#This Row],[12]]&lt;&gt;"",IF(ISNUMBER(FIND(",",Tabela1[[#This Row],[12]])),LEN(Tabela1[[#This Row],[12]])-LEN(SUBSTITUTE(Tabela1[[#This Row],[12]],",",""))+1,1),"")</f>
        <v/>
      </c>
      <c r="AL70" t="str">
        <f>IF(Tabela1[[#This Row],[13]]&lt;&gt;"",IF(ISNUMBER(FIND(",",Tabela1[[#This Row],[13]])),LEN(Tabela1[[#This Row],[13]])-LEN(SUBSTITUTE(Tabela1[[#This Row],[13]],",",""))+1,1),"")</f>
        <v/>
      </c>
      <c r="AM70" t="str">
        <f>IF(Tabela1[[#This Row],[14]]&lt;&gt;"",IF(ISNUMBER(FIND(",",Tabela1[[#This Row],[14]])),LEN(Tabela1[[#This Row],[14]])-LEN(SUBSTITUTE(Tabela1[[#This Row],[14]],",",""))+1,1),"")</f>
        <v/>
      </c>
      <c r="AN70" t="str">
        <f>IF(Tabela1[[#This Row],[15]]&lt;&gt;"",IF(ISNUMBER(FIND(",",Tabela1[[#This Row],[15]])),LEN(Tabela1[[#This Row],[15]])-LEN(SUBSTITUTE(Tabela1[[#This Row],[15]],",",""))+1,1),"")</f>
        <v/>
      </c>
      <c r="AO70" t="str">
        <f>IF(Tabela1[[#This Row],[16]]&lt;&gt;"",IF(ISNUMBER(FIND(",",Tabela1[[#This Row],[16]])),LEN(Tabela1[[#This Row],[16]])-LEN(SUBSTITUTE(Tabela1[[#This Row],[16]],",",""))+1,1),"")</f>
        <v/>
      </c>
      <c r="AP70" t="str">
        <f>IF(Tabela1[[#This Row],[17]]&lt;&gt;"",IF(ISNUMBER(FIND(",",Tabela1[[#This Row],[17]])),LEN(Tabela1[[#This Row],[17]])-LEN(SUBSTITUTE(Tabela1[[#This Row],[17]],",",""))+1,1),"")</f>
        <v/>
      </c>
      <c r="AQ70" t="str">
        <f>IF(Tabela1[[#This Row],[18]]&lt;&gt;"",IF(ISNUMBER(FIND(",",Tabela1[[#This Row],[18]])),LEN(Tabela1[[#This Row],[18]])-LEN(SUBSTITUTE(Tabela1[[#This Row],[18]],",",""))+1,1),"")</f>
        <v/>
      </c>
      <c r="AR70" s="13" t="str">
        <f>IF(Tabela1[[#This Row],[19_LENGTH]]&lt;&gt;"",IF(ISNUMBER(FIND(",",Tabela1[[#This Row],[19_LENGTH]])),LEN(Tabela1[[#This Row],[19_LENGTH]])-LEN(SUBSTITUTE(Tabela1[[#This Row],[19_LENGTH]],",",""))+1,1),"")</f>
        <v/>
      </c>
      <c r="AS70">
        <f>SUM(Tabela1[[#This Row],[1_]:[19_]])</f>
        <v>3</v>
      </c>
    </row>
    <row r="71" spans="1:45" x14ac:dyDescent="0.25">
      <c r="A71" s="27" t="s">
        <v>1319</v>
      </c>
      <c r="B71" s="19" t="s">
        <v>962</v>
      </c>
      <c r="C71" s="19">
        <v>192</v>
      </c>
      <c r="D71" s="19" t="s">
        <v>1298</v>
      </c>
      <c r="E71" s="20">
        <v>43445</v>
      </c>
      <c r="F71" s="19"/>
      <c r="G71" s="19">
        <v>177</v>
      </c>
      <c r="H71" s="19"/>
      <c r="I71" s="19"/>
      <c r="J71" s="19"/>
      <c r="K71" s="19"/>
      <c r="L71" s="19"/>
      <c r="M71" s="19"/>
      <c r="N71" s="19"/>
      <c r="O71" s="19"/>
      <c r="P71" s="19"/>
      <c r="Q71" s="19"/>
      <c r="R71" s="19"/>
      <c r="S71" s="19"/>
      <c r="T71" s="19"/>
      <c r="U71" s="19"/>
      <c r="V71" s="19"/>
      <c r="W71" s="19"/>
      <c r="X71" s="19" t="s">
        <v>26</v>
      </c>
      <c r="Y71" s="19" t="s">
        <v>27</v>
      </c>
      <c r="Z71" t="str">
        <f>IF(Tabela1[[#This Row],[1]]&lt;&gt;"",IF(ISNUMBER(FIND(",",Tabela1[[#This Row],[1]])),LEN(Tabela1[[#This Row],[1]])-LEN(SUBSTITUTE(Tabela1[[#This Row],[1]],",",""))+1,1),"")</f>
        <v/>
      </c>
      <c r="AA71">
        <f>IF(Tabela1[[#This Row],[2]]&lt;&gt;"",IF(ISNUMBER(FIND(",",Tabela1[[#This Row],[2]])),LEN(Tabela1[[#This Row],[2]])-LEN(SUBSTITUTE(Tabela1[[#This Row],[2]],",",""))+1,1),"")</f>
        <v>1</v>
      </c>
      <c r="AB71" t="str">
        <f>IF(Tabela1[[#This Row],[3]]&lt;&gt;"",IF(ISNUMBER(FIND(",",Tabela1[[#This Row],[3]])),LEN(Tabela1[[#This Row],[3]])-LEN(SUBSTITUTE(Tabela1[[#This Row],[3]],",",""))+1,1),"")</f>
        <v/>
      </c>
      <c r="AC71" t="str">
        <f>IF(Tabela1[[#This Row],[4]]&lt;&gt;"",IF(ISNUMBER(FIND(",",Tabela1[[#This Row],[4]])),LEN(Tabela1[[#This Row],[4]])-LEN(SUBSTITUTE(Tabela1[[#This Row],[4]],",",""))+1,1),"")</f>
        <v/>
      </c>
      <c r="AD71" t="str">
        <f>IF(Tabela1[[#This Row],[5]]&lt;&gt;"",IF(ISNUMBER(FIND(",",Tabela1[[#This Row],[5]])),LEN(Tabela1[[#This Row],[5]])-LEN(SUBSTITUTE(Tabela1[[#This Row],[5]],",",""))+1,1),"")</f>
        <v/>
      </c>
      <c r="AE71" t="str">
        <f>IF(Tabela1[[#This Row],[6]]&lt;&gt;"",IF(ISNUMBER(FIND(",",Tabela1[[#This Row],[6]])),LEN(Tabela1[[#This Row],[6]])-LEN(SUBSTITUTE(Tabela1[[#This Row],[6]],",",""))+1,1),"")</f>
        <v/>
      </c>
      <c r="AF71" t="str">
        <f>IF(Tabela1[[#This Row],[7]]&lt;&gt;"",IF(ISNUMBER(FIND(",",Tabela1[[#This Row],[7]])),LEN(Tabela1[[#This Row],[7]])-LEN(SUBSTITUTE(Tabela1[[#This Row],[7]],",",""))+1,1),"")</f>
        <v/>
      </c>
      <c r="AG71" t="str">
        <f>IF(Tabela1[[#This Row],[8]]&lt;&gt;"",IF(ISNUMBER(FIND(",",Tabela1[[#This Row],[8]])),LEN(Tabela1[[#This Row],[8]])-LEN(SUBSTITUTE(Tabela1[[#This Row],[8]],",",""))+1,1),"")</f>
        <v/>
      </c>
      <c r="AH71" t="str">
        <f>IF(Tabela1[[#This Row],[9]]&lt;&gt;"",IF(ISNUMBER(FIND(",",Tabela1[[#This Row],[9]])),LEN(Tabela1[[#This Row],[9]])-LEN(SUBSTITUTE(Tabela1[[#This Row],[9]],",",""))+1,1),"")</f>
        <v/>
      </c>
      <c r="AI71" t="str">
        <f>IF(Tabela1[[#This Row],[10]]&lt;&gt;"",IF(ISNUMBER(FIND(",",Tabela1[[#This Row],[10]])),LEN(Tabela1[[#This Row],[10]])-LEN(SUBSTITUTE(Tabela1[[#This Row],[10]],",",""))+1,1),"")</f>
        <v/>
      </c>
      <c r="AJ71" t="str">
        <f>IF(Tabela1[[#This Row],[11]]&lt;&gt;"",IF(ISNUMBER(FIND(",",Tabela1[[#This Row],[11]])),LEN(Tabela1[[#This Row],[11]])-LEN(SUBSTITUTE(Tabela1[[#This Row],[11]],",",""))+1,1),"")</f>
        <v/>
      </c>
      <c r="AK71" t="str">
        <f>IF(Tabela1[[#This Row],[12]]&lt;&gt;"",IF(ISNUMBER(FIND(",",Tabela1[[#This Row],[12]])),LEN(Tabela1[[#This Row],[12]])-LEN(SUBSTITUTE(Tabela1[[#This Row],[12]],",",""))+1,1),"")</f>
        <v/>
      </c>
      <c r="AL71" t="str">
        <f>IF(Tabela1[[#This Row],[13]]&lt;&gt;"",IF(ISNUMBER(FIND(",",Tabela1[[#This Row],[13]])),LEN(Tabela1[[#This Row],[13]])-LEN(SUBSTITUTE(Tabela1[[#This Row],[13]],",",""))+1,1),"")</f>
        <v/>
      </c>
      <c r="AM71" t="str">
        <f>IF(Tabela1[[#This Row],[14]]&lt;&gt;"",IF(ISNUMBER(FIND(",",Tabela1[[#This Row],[14]])),LEN(Tabela1[[#This Row],[14]])-LEN(SUBSTITUTE(Tabela1[[#This Row],[14]],",",""))+1,1),"")</f>
        <v/>
      </c>
      <c r="AN71" t="str">
        <f>IF(Tabela1[[#This Row],[15]]&lt;&gt;"",IF(ISNUMBER(FIND(",",Tabela1[[#This Row],[15]])),LEN(Tabela1[[#This Row],[15]])-LEN(SUBSTITUTE(Tabela1[[#This Row],[15]],",",""))+1,1),"")</f>
        <v/>
      </c>
      <c r="AO71" t="str">
        <f>IF(Tabela1[[#This Row],[16]]&lt;&gt;"",IF(ISNUMBER(FIND(",",Tabela1[[#This Row],[16]])),LEN(Tabela1[[#This Row],[16]])-LEN(SUBSTITUTE(Tabela1[[#This Row],[16]],",",""))+1,1),"")</f>
        <v/>
      </c>
      <c r="AP71" t="str">
        <f>IF(Tabela1[[#This Row],[17]]&lt;&gt;"",IF(ISNUMBER(FIND(",",Tabela1[[#This Row],[17]])),LEN(Tabela1[[#This Row],[17]])-LEN(SUBSTITUTE(Tabela1[[#This Row],[17]],",",""))+1,1),"")</f>
        <v/>
      </c>
      <c r="AQ71" t="str">
        <f>IF(Tabela1[[#This Row],[18]]&lt;&gt;"",IF(ISNUMBER(FIND(",",Tabela1[[#This Row],[18]])),LEN(Tabela1[[#This Row],[18]])-LEN(SUBSTITUTE(Tabela1[[#This Row],[18]],",",""))+1,1),"")</f>
        <v/>
      </c>
      <c r="AR71" s="13">
        <f>IF(Tabela1[[#This Row],[19_LENGTH]]&lt;&gt;"",IF(ISNUMBER(FIND(",",Tabela1[[#This Row],[19_LENGTH]])),LEN(Tabela1[[#This Row],[19_LENGTH]])-LEN(SUBSTITUTE(Tabela1[[#This Row],[19_LENGTH]],",",""))+1,1),"")</f>
        <v>5</v>
      </c>
      <c r="AS71">
        <f>SUM(Tabela1[[#This Row],[1_]:[19_]])</f>
        <v>6</v>
      </c>
    </row>
    <row r="72" spans="1:45" x14ac:dyDescent="0.25">
      <c r="A72" s="27" t="s">
        <v>1319</v>
      </c>
      <c r="B72" s="19" t="s">
        <v>692</v>
      </c>
      <c r="C72" s="19">
        <v>202</v>
      </c>
      <c r="D72" s="19" t="s">
        <v>1298</v>
      </c>
      <c r="E72" s="20">
        <v>43445</v>
      </c>
      <c r="F72" s="19"/>
      <c r="G72" s="19"/>
      <c r="H72" s="19"/>
      <c r="I72" s="19"/>
      <c r="J72" s="19">
        <v>34</v>
      </c>
      <c r="K72" s="19"/>
      <c r="L72" s="19"/>
      <c r="M72" s="19"/>
      <c r="N72" s="19"/>
      <c r="O72" s="19"/>
      <c r="P72" s="19"/>
      <c r="Q72" s="19"/>
      <c r="R72" s="19"/>
      <c r="S72" s="19"/>
      <c r="T72" s="19"/>
      <c r="U72" s="19"/>
      <c r="V72" s="19"/>
      <c r="W72" s="19"/>
      <c r="X72" s="19"/>
      <c r="Y72" s="19"/>
      <c r="Z72" t="str">
        <f>IF(Tabela1[[#This Row],[1]]&lt;&gt;"",IF(ISNUMBER(FIND(",",Tabela1[[#This Row],[1]])),LEN(Tabela1[[#This Row],[1]])-LEN(SUBSTITUTE(Tabela1[[#This Row],[1]],",",""))+1,1),"")</f>
        <v/>
      </c>
      <c r="AA72" t="str">
        <f>IF(Tabela1[[#This Row],[2]]&lt;&gt;"",IF(ISNUMBER(FIND(",",Tabela1[[#This Row],[2]])),LEN(Tabela1[[#This Row],[2]])-LEN(SUBSTITUTE(Tabela1[[#This Row],[2]],",",""))+1,1),"")</f>
        <v/>
      </c>
      <c r="AB72" t="str">
        <f>IF(Tabela1[[#This Row],[3]]&lt;&gt;"",IF(ISNUMBER(FIND(",",Tabela1[[#This Row],[3]])),LEN(Tabela1[[#This Row],[3]])-LEN(SUBSTITUTE(Tabela1[[#This Row],[3]],",",""))+1,1),"")</f>
        <v/>
      </c>
      <c r="AC72" t="str">
        <f>IF(Tabela1[[#This Row],[4]]&lt;&gt;"",IF(ISNUMBER(FIND(",",Tabela1[[#This Row],[4]])),LEN(Tabela1[[#This Row],[4]])-LEN(SUBSTITUTE(Tabela1[[#This Row],[4]],",",""))+1,1),"")</f>
        <v/>
      </c>
      <c r="AD72">
        <f>IF(Tabela1[[#This Row],[5]]&lt;&gt;"",IF(ISNUMBER(FIND(",",Tabela1[[#This Row],[5]])),LEN(Tabela1[[#This Row],[5]])-LEN(SUBSTITUTE(Tabela1[[#This Row],[5]],",",""))+1,1),"")</f>
        <v>1</v>
      </c>
      <c r="AE72" t="str">
        <f>IF(Tabela1[[#This Row],[6]]&lt;&gt;"",IF(ISNUMBER(FIND(",",Tabela1[[#This Row],[6]])),LEN(Tabela1[[#This Row],[6]])-LEN(SUBSTITUTE(Tabela1[[#This Row],[6]],",",""))+1,1),"")</f>
        <v/>
      </c>
      <c r="AF72" t="str">
        <f>IF(Tabela1[[#This Row],[7]]&lt;&gt;"",IF(ISNUMBER(FIND(",",Tabela1[[#This Row],[7]])),LEN(Tabela1[[#This Row],[7]])-LEN(SUBSTITUTE(Tabela1[[#This Row],[7]],",",""))+1,1),"")</f>
        <v/>
      </c>
      <c r="AG72" t="str">
        <f>IF(Tabela1[[#This Row],[8]]&lt;&gt;"",IF(ISNUMBER(FIND(",",Tabela1[[#This Row],[8]])),LEN(Tabela1[[#This Row],[8]])-LEN(SUBSTITUTE(Tabela1[[#This Row],[8]],",",""))+1,1),"")</f>
        <v/>
      </c>
      <c r="AH72" t="str">
        <f>IF(Tabela1[[#This Row],[9]]&lt;&gt;"",IF(ISNUMBER(FIND(",",Tabela1[[#This Row],[9]])),LEN(Tabela1[[#This Row],[9]])-LEN(SUBSTITUTE(Tabela1[[#This Row],[9]],",",""))+1,1),"")</f>
        <v/>
      </c>
      <c r="AI72" t="str">
        <f>IF(Tabela1[[#This Row],[10]]&lt;&gt;"",IF(ISNUMBER(FIND(",",Tabela1[[#This Row],[10]])),LEN(Tabela1[[#This Row],[10]])-LEN(SUBSTITUTE(Tabela1[[#This Row],[10]],",",""))+1,1),"")</f>
        <v/>
      </c>
      <c r="AJ72" t="str">
        <f>IF(Tabela1[[#This Row],[11]]&lt;&gt;"",IF(ISNUMBER(FIND(",",Tabela1[[#This Row],[11]])),LEN(Tabela1[[#This Row],[11]])-LEN(SUBSTITUTE(Tabela1[[#This Row],[11]],",",""))+1,1),"")</f>
        <v/>
      </c>
      <c r="AK72" t="str">
        <f>IF(Tabela1[[#This Row],[12]]&lt;&gt;"",IF(ISNUMBER(FIND(",",Tabela1[[#This Row],[12]])),LEN(Tabela1[[#This Row],[12]])-LEN(SUBSTITUTE(Tabela1[[#This Row],[12]],",",""))+1,1),"")</f>
        <v/>
      </c>
      <c r="AL72" t="str">
        <f>IF(Tabela1[[#This Row],[13]]&lt;&gt;"",IF(ISNUMBER(FIND(",",Tabela1[[#This Row],[13]])),LEN(Tabela1[[#This Row],[13]])-LEN(SUBSTITUTE(Tabela1[[#This Row],[13]],",",""))+1,1),"")</f>
        <v/>
      </c>
      <c r="AM72" t="str">
        <f>IF(Tabela1[[#This Row],[14]]&lt;&gt;"",IF(ISNUMBER(FIND(",",Tabela1[[#This Row],[14]])),LEN(Tabela1[[#This Row],[14]])-LEN(SUBSTITUTE(Tabela1[[#This Row],[14]],",",""))+1,1),"")</f>
        <v/>
      </c>
      <c r="AN72" t="str">
        <f>IF(Tabela1[[#This Row],[15]]&lt;&gt;"",IF(ISNUMBER(FIND(",",Tabela1[[#This Row],[15]])),LEN(Tabela1[[#This Row],[15]])-LEN(SUBSTITUTE(Tabela1[[#This Row],[15]],",",""))+1,1),"")</f>
        <v/>
      </c>
      <c r="AO72" t="str">
        <f>IF(Tabela1[[#This Row],[16]]&lt;&gt;"",IF(ISNUMBER(FIND(",",Tabela1[[#This Row],[16]])),LEN(Tabela1[[#This Row],[16]])-LEN(SUBSTITUTE(Tabela1[[#This Row],[16]],",",""))+1,1),"")</f>
        <v/>
      </c>
      <c r="AP72" t="str">
        <f>IF(Tabela1[[#This Row],[17]]&lt;&gt;"",IF(ISNUMBER(FIND(",",Tabela1[[#This Row],[17]])),LEN(Tabela1[[#This Row],[17]])-LEN(SUBSTITUTE(Tabela1[[#This Row],[17]],",",""))+1,1),"")</f>
        <v/>
      </c>
      <c r="AQ72" t="str">
        <f>IF(Tabela1[[#This Row],[18]]&lt;&gt;"",IF(ISNUMBER(FIND(",",Tabela1[[#This Row],[18]])),LEN(Tabela1[[#This Row],[18]])-LEN(SUBSTITUTE(Tabela1[[#This Row],[18]],",",""))+1,1),"")</f>
        <v/>
      </c>
      <c r="AR72" s="13" t="str">
        <f>IF(Tabela1[[#This Row],[19_LENGTH]]&lt;&gt;"",IF(ISNUMBER(FIND(",",Tabela1[[#This Row],[19_LENGTH]])),LEN(Tabela1[[#This Row],[19_LENGTH]])-LEN(SUBSTITUTE(Tabela1[[#This Row],[19_LENGTH]],",",""))+1,1),"")</f>
        <v/>
      </c>
      <c r="AS72">
        <f>SUM(Tabela1[[#This Row],[1_]:[19_]])</f>
        <v>1</v>
      </c>
    </row>
    <row r="73" spans="1:45" x14ac:dyDescent="0.25">
      <c r="A73" s="27" t="s">
        <v>1319</v>
      </c>
      <c r="B73" s="19" t="s">
        <v>963</v>
      </c>
      <c r="C73" s="19">
        <v>202</v>
      </c>
      <c r="D73" s="19" t="s">
        <v>1298</v>
      </c>
      <c r="E73" s="20">
        <v>43445</v>
      </c>
      <c r="F73" s="19"/>
      <c r="G73" s="19"/>
      <c r="H73" s="19"/>
      <c r="I73" s="19"/>
      <c r="J73" s="19" t="s">
        <v>28</v>
      </c>
      <c r="K73" s="19"/>
      <c r="L73" s="19"/>
      <c r="M73" s="19"/>
      <c r="N73" s="19"/>
      <c r="O73" s="19"/>
      <c r="P73" s="19"/>
      <c r="Q73" s="19"/>
      <c r="R73" s="19"/>
      <c r="S73" s="19"/>
      <c r="T73" s="19"/>
      <c r="U73" s="19"/>
      <c r="V73" s="19"/>
      <c r="W73" s="19"/>
      <c r="X73" s="19"/>
      <c r="Y73" s="19"/>
      <c r="Z73" t="str">
        <f>IF(Tabela1[[#This Row],[1]]&lt;&gt;"",IF(ISNUMBER(FIND(",",Tabela1[[#This Row],[1]])),LEN(Tabela1[[#This Row],[1]])-LEN(SUBSTITUTE(Tabela1[[#This Row],[1]],",",""))+1,1),"")</f>
        <v/>
      </c>
      <c r="AA73" t="str">
        <f>IF(Tabela1[[#This Row],[2]]&lt;&gt;"",IF(ISNUMBER(FIND(",",Tabela1[[#This Row],[2]])),LEN(Tabela1[[#This Row],[2]])-LEN(SUBSTITUTE(Tabela1[[#This Row],[2]],",",""))+1,1),"")</f>
        <v/>
      </c>
      <c r="AB73" t="str">
        <f>IF(Tabela1[[#This Row],[3]]&lt;&gt;"",IF(ISNUMBER(FIND(",",Tabela1[[#This Row],[3]])),LEN(Tabela1[[#This Row],[3]])-LEN(SUBSTITUTE(Tabela1[[#This Row],[3]],",",""))+1,1),"")</f>
        <v/>
      </c>
      <c r="AC73" t="str">
        <f>IF(Tabela1[[#This Row],[4]]&lt;&gt;"",IF(ISNUMBER(FIND(",",Tabela1[[#This Row],[4]])),LEN(Tabela1[[#This Row],[4]])-LEN(SUBSTITUTE(Tabela1[[#This Row],[4]],",",""))+1,1),"")</f>
        <v/>
      </c>
      <c r="AD73">
        <f>IF(Tabela1[[#This Row],[5]]&lt;&gt;"",IF(ISNUMBER(FIND(",",Tabela1[[#This Row],[5]])),LEN(Tabela1[[#This Row],[5]])-LEN(SUBSTITUTE(Tabela1[[#This Row],[5]],",",""))+1,1),"")</f>
        <v>4</v>
      </c>
      <c r="AE73" t="str">
        <f>IF(Tabela1[[#This Row],[6]]&lt;&gt;"",IF(ISNUMBER(FIND(",",Tabela1[[#This Row],[6]])),LEN(Tabela1[[#This Row],[6]])-LEN(SUBSTITUTE(Tabela1[[#This Row],[6]],",",""))+1,1),"")</f>
        <v/>
      </c>
      <c r="AF73" t="str">
        <f>IF(Tabela1[[#This Row],[7]]&lt;&gt;"",IF(ISNUMBER(FIND(",",Tabela1[[#This Row],[7]])),LEN(Tabela1[[#This Row],[7]])-LEN(SUBSTITUTE(Tabela1[[#This Row],[7]],",",""))+1,1),"")</f>
        <v/>
      </c>
      <c r="AG73" t="str">
        <f>IF(Tabela1[[#This Row],[8]]&lt;&gt;"",IF(ISNUMBER(FIND(",",Tabela1[[#This Row],[8]])),LEN(Tabela1[[#This Row],[8]])-LEN(SUBSTITUTE(Tabela1[[#This Row],[8]],",",""))+1,1),"")</f>
        <v/>
      </c>
      <c r="AH73" t="str">
        <f>IF(Tabela1[[#This Row],[9]]&lt;&gt;"",IF(ISNUMBER(FIND(",",Tabela1[[#This Row],[9]])),LEN(Tabela1[[#This Row],[9]])-LEN(SUBSTITUTE(Tabela1[[#This Row],[9]],",",""))+1,1),"")</f>
        <v/>
      </c>
      <c r="AI73" t="str">
        <f>IF(Tabela1[[#This Row],[10]]&lt;&gt;"",IF(ISNUMBER(FIND(",",Tabela1[[#This Row],[10]])),LEN(Tabela1[[#This Row],[10]])-LEN(SUBSTITUTE(Tabela1[[#This Row],[10]],",",""))+1,1),"")</f>
        <v/>
      </c>
      <c r="AJ73" t="str">
        <f>IF(Tabela1[[#This Row],[11]]&lt;&gt;"",IF(ISNUMBER(FIND(",",Tabela1[[#This Row],[11]])),LEN(Tabela1[[#This Row],[11]])-LEN(SUBSTITUTE(Tabela1[[#This Row],[11]],",",""))+1,1),"")</f>
        <v/>
      </c>
      <c r="AK73" t="str">
        <f>IF(Tabela1[[#This Row],[12]]&lt;&gt;"",IF(ISNUMBER(FIND(",",Tabela1[[#This Row],[12]])),LEN(Tabela1[[#This Row],[12]])-LEN(SUBSTITUTE(Tabela1[[#This Row],[12]],",",""))+1,1),"")</f>
        <v/>
      </c>
      <c r="AL73" t="str">
        <f>IF(Tabela1[[#This Row],[13]]&lt;&gt;"",IF(ISNUMBER(FIND(",",Tabela1[[#This Row],[13]])),LEN(Tabela1[[#This Row],[13]])-LEN(SUBSTITUTE(Tabela1[[#This Row],[13]],",",""))+1,1),"")</f>
        <v/>
      </c>
      <c r="AM73" t="str">
        <f>IF(Tabela1[[#This Row],[14]]&lt;&gt;"",IF(ISNUMBER(FIND(",",Tabela1[[#This Row],[14]])),LEN(Tabela1[[#This Row],[14]])-LEN(SUBSTITUTE(Tabela1[[#This Row],[14]],",",""))+1,1),"")</f>
        <v/>
      </c>
      <c r="AN73" t="str">
        <f>IF(Tabela1[[#This Row],[15]]&lt;&gt;"",IF(ISNUMBER(FIND(",",Tabela1[[#This Row],[15]])),LEN(Tabela1[[#This Row],[15]])-LEN(SUBSTITUTE(Tabela1[[#This Row],[15]],",",""))+1,1),"")</f>
        <v/>
      </c>
      <c r="AO73" t="str">
        <f>IF(Tabela1[[#This Row],[16]]&lt;&gt;"",IF(ISNUMBER(FIND(",",Tabela1[[#This Row],[16]])),LEN(Tabela1[[#This Row],[16]])-LEN(SUBSTITUTE(Tabela1[[#This Row],[16]],",",""))+1,1),"")</f>
        <v/>
      </c>
      <c r="AP73" t="str">
        <f>IF(Tabela1[[#This Row],[17]]&lt;&gt;"",IF(ISNUMBER(FIND(",",Tabela1[[#This Row],[17]])),LEN(Tabela1[[#This Row],[17]])-LEN(SUBSTITUTE(Tabela1[[#This Row],[17]],",",""))+1,1),"")</f>
        <v/>
      </c>
      <c r="AQ73" t="str">
        <f>IF(Tabela1[[#This Row],[18]]&lt;&gt;"",IF(ISNUMBER(FIND(",",Tabela1[[#This Row],[18]])),LEN(Tabela1[[#This Row],[18]])-LEN(SUBSTITUTE(Tabela1[[#This Row],[18]],",",""))+1,1),"")</f>
        <v/>
      </c>
      <c r="AR73" s="13" t="str">
        <f>IF(Tabela1[[#This Row],[19_LENGTH]]&lt;&gt;"",IF(ISNUMBER(FIND(",",Tabela1[[#This Row],[19_LENGTH]])),LEN(Tabela1[[#This Row],[19_LENGTH]])-LEN(SUBSTITUTE(Tabela1[[#This Row],[19_LENGTH]],",",""))+1,1),"")</f>
        <v/>
      </c>
      <c r="AS73">
        <f>SUM(Tabela1[[#This Row],[1_]:[19_]])</f>
        <v>4</v>
      </c>
    </row>
    <row r="74" spans="1:45" x14ac:dyDescent="0.25">
      <c r="A74" s="27" t="s">
        <v>1316</v>
      </c>
      <c r="B74" s="19" t="s">
        <v>693</v>
      </c>
      <c r="C74" s="19">
        <v>202</v>
      </c>
      <c r="D74" s="19" t="s">
        <v>1301</v>
      </c>
      <c r="E74" s="20">
        <v>43445</v>
      </c>
      <c r="F74" s="19"/>
      <c r="G74" s="19">
        <v>69</v>
      </c>
      <c r="H74" s="19"/>
      <c r="I74" s="19">
        <v>10</v>
      </c>
      <c r="J74" s="19"/>
      <c r="K74" s="19"/>
      <c r="L74" s="19"/>
      <c r="M74" s="19"/>
      <c r="N74" s="19"/>
      <c r="O74" s="19"/>
      <c r="P74" s="19"/>
      <c r="Q74" s="19"/>
      <c r="R74" s="19"/>
      <c r="S74" s="19"/>
      <c r="T74" s="19"/>
      <c r="U74" s="19"/>
      <c r="V74" s="19"/>
      <c r="W74" s="19"/>
      <c r="X74" s="19"/>
      <c r="Y74" s="19"/>
      <c r="Z74" t="str">
        <f>IF(Tabela1[[#This Row],[1]]&lt;&gt;"",IF(ISNUMBER(FIND(",",Tabela1[[#This Row],[1]])),LEN(Tabela1[[#This Row],[1]])-LEN(SUBSTITUTE(Tabela1[[#This Row],[1]],",",""))+1,1),"")</f>
        <v/>
      </c>
      <c r="AA74">
        <f>IF(Tabela1[[#This Row],[2]]&lt;&gt;"",IF(ISNUMBER(FIND(",",Tabela1[[#This Row],[2]])),LEN(Tabela1[[#This Row],[2]])-LEN(SUBSTITUTE(Tabela1[[#This Row],[2]],",",""))+1,1),"")</f>
        <v>1</v>
      </c>
      <c r="AB74" t="str">
        <f>IF(Tabela1[[#This Row],[3]]&lt;&gt;"",IF(ISNUMBER(FIND(",",Tabela1[[#This Row],[3]])),LEN(Tabela1[[#This Row],[3]])-LEN(SUBSTITUTE(Tabela1[[#This Row],[3]],",",""))+1,1),"")</f>
        <v/>
      </c>
      <c r="AC74">
        <f>IF(Tabela1[[#This Row],[4]]&lt;&gt;"",IF(ISNUMBER(FIND(",",Tabela1[[#This Row],[4]])),LEN(Tabela1[[#This Row],[4]])-LEN(SUBSTITUTE(Tabela1[[#This Row],[4]],",",""))+1,1),"")</f>
        <v>1</v>
      </c>
      <c r="AD74" t="str">
        <f>IF(Tabela1[[#This Row],[5]]&lt;&gt;"",IF(ISNUMBER(FIND(",",Tabela1[[#This Row],[5]])),LEN(Tabela1[[#This Row],[5]])-LEN(SUBSTITUTE(Tabela1[[#This Row],[5]],",",""))+1,1),"")</f>
        <v/>
      </c>
      <c r="AE74" t="str">
        <f>IF(Tabela1[[#This Row],[6]]&lt;&gt;"",IF(ISNUMBER(FIND(",",Tabela1[[#This Row],[6]])),LEN(Tabela1[[#This Row],[6]])-LEN(SUBSTITUTE(Tabela1[[#This Row],[6]],",",""))+1,1),"")</f>
        <v/>
      </c>
      <c r="AF74" t="str">
        <f>IF(Tabela1[[#This Row],[7]]&lt;&gt;"",IF(ISNUMBER(FIND(",",Tabela1[[#This Row],[7]])),LEN(Tabela1[[#This Row],[7]])-LEN(SUBSTITUTE(Tabela1[[#This Row],[7]],",",""))+1,1),"")</f>
        <v/>
      </c>
      <c r="AG74" t="str">
        <f>IF(Tabela1[[#This Row],[8]]&lt;&gt;"",IF(ISNUMBER(FIND(",",Tabela1[[#This Row],[8]])),LEN(Tabela1[[#This Row],[8]])-LEN(SUBSTITUTE(Tabela1[[#This Row],[8]],",",""))+1,1),"")</f>
        <v/>
      </c>
      <c r="AH74" t="str">
        <f>IF(Tabela1[[#This Row],[9]]&lt;&gt;"",IF(ISNUMBER(FIND(",",Tabela1[[#This Row],[9]])),LEN(Tabela1[[#This Row],[9]])-LEN(SUBSTITUTE(Tabela1[[#This Row],[9]],",",""))+1,1),"")</f>
        <v/>
      </c>
      <c r="AI74" t="str">
        <f>IF(Tabela1[[#This Row],[10]]&lt;&gt;"",IF(ISNUMBER(FIND(",",Tabela1[[#This Row],[10]])),LEN(Tabela1[[#This Row],[10]])-LEN(SUBSTITUTE(Tabela1[[#This Row],[10]],",",""))+1,1),"")</f>
        <v/>
      </c>
      <c r="AJ74" t="str">
        <f>IF(Tabela1[[#This Row],[11]]&lt;&gt;"",IF(ISNUMBER(FIND(",",Tabela1[[#This Row],[11]])),LEN(Tabela1[[#This Row],[11]])-LEN(SUBSTITUTE(Tabela1[[#This Row],[11]],",",""))+1,1),"")</f>
        <v/>
      </c>
      <c r="AK74" t="str">
        <f>IF(Tabela1[[#This Row],[12]]&lt;&gt;"",IF(ISNUMBER(FIND(",",Tabela1[[#This Row],[12]])),LEN(Tabela1[[#This Row],[12]])-LEN(SUBSTITUTE(Tabela1[[#This Row],[12]],",",""))+1,1),"")</f>
        <v/>
      </c>
      <c r="AL74" t="str">
        <f>IF(Tabela1[[#This Row],[13]]&lt;&gt;"",IF(ISNUMBER(FIND(",",Tabela1[[#This Row],[13]])),LEN(Tabela1[[#This Row],[13]])-LEN(SUBSTITUTE(Tabela1[[#This Row],[13]],",",""))+1,1),"")</f>
        <v/>
      </c>
      <c r="AM74" t="str">
        <f>IF(Tabela1[[#This Row],[14]]&lt;&gt;"",IF(ISNUMBER(FIND(",",Tabela1[[#This Row],[14]])),LEN(Tabela1[[#This Row],[14]])-LEN(SUBSTITUTE(Tabela1[[#This Row],[14]],",",""))+1,1),"")</f>
        <v/>
      </c>
      <c r="AN74" t="str">
        <f>IF(Tabela1[[#This Row],[15]]&lt;&gt;"",IF(ISNUMBER(FIND(",",Tabela1[[#This Row],[15]])),LEN(Tabela1[[#This Row],[15]])-LEN(SUBSTITUTE(Tabela1[[#This Row],[15]],",",""))+1,1),"")</f>
        <v/>
      </c>
      <c r="AO74" t="str">
        <f>IF(Tabela1[[#This Row],[16]]&lt;&gt;"",IF(ISNUMBER(FIND(",",Tabela1[[#This Row],[16]])),LEN(Tabela1[[#This Row],[16]])-LEN(SUBSTITUTE(Tabela1[[#This Row],[16]],",",""))+1,1),"")</f>
        <v/>
      </c>
      <c r="AP74" t="str">
        <f>IF(Tabela1[[#This Row],[17]]&lt;&gt;"",IF(ISNUMBER(FIND(",",Tabela1[[#This Row],[17]])),LEN(Tabela1[[#This Row],[17]])-LEN(SUBSTITUTE(Tabela1[[#This Row],[17]],",",""))+1,1),"")</f>
        <v/>
      </c>
      <c r="AQ74" t="str">
        <f>IF(Tabela1[[#This Row],[18]]&lt;&gt;"",IF(ISNUMBER(FIND(",",Tabela1[[#This Row],[18]])),LEN(Tabela1[[#This Row],[18]])-LEN(SUBSTITUTE(Tabela1[[#This Row],[18]],",",""))+1,1),"")</f>
        <v/>
      </c>
      <c r="AR74" s="13" t="str">
        <f>IF(Tabela1[[#This Row],[19_LENGTH]]&lt;&gt;"",IF(ISNUMBER(FIND(",",Tabela1[[#This Row],[19_LENGTH]])),LEN(Tabela1[[#This Row],[19_LENGTH]])-LEN(SUBSTITUTE(Tabela1[[#This Row],[19_LENGTH]],",",""))+1,1),"")</f>
        <v/>
      </c>
      <c r="AS74">
        <f>SUM(Tabela1[[#This Row],[1_]:[19_]])</f>
        <v>2</v>
      </c>
    </row>
    <row r="75" spans="1:45" x14ac:dyDescent="0.25">
      <c r="A75" s="27" t="s">
        <v>1316</v>
      </c>
      <c r="B75" s="19" t="s">
        <v>694</v>
      </c>
      <c r="C75" s="19">
        <v>202</v>
      </c>
      <c r="D75" s="19" t="s">
        <v>1301</v>
      </c>
      <c r="E75" s="20">
        <v>43445</v>
      </c>
      <c r="F75" s="19"/>
      <c r="G75" s="19"/>
      <c r="H75" s="19"/>
      <c r="I75" s="19"/>
      <c r="J75" s="19"/>
      <c r="K75" s="19"/>
      <c r="L75" s="19"/>
      <c r="M75" s="19"/>
      <c r="N75" s="19"/>
      <c r="O75" s="19"/>
      <c r="P75" s="19"/>
      <c r="Q75" s="19"/>
      <c r="R75" s="19"/>
      <c r="S75" s="19"/>
      <c r="T75" s="19"/>
      <c r="U75" s="19">
        <v>196</v>
      </c>
      <c r="V75" s="19"/>
      <c r="W75" s="19"/>
      <c r="X75" s="19"/>
      <c r="Y75" s="19"/>
      <c r="Z75" t="str">
        <f>IF(Tabela1[[#This Row],[1]]&lt;&gt;"",IF(ISNUMBER(FIND(",",Tabela1[[#This Row],[1]])),LEN(Tabela1[[#This Row],[1]])-LEN(SUBSTITUTE(Tabela1[[#This Row],[1]],",",""))+1,1),"")</f>
        <v/>
      </c>
      <c r="AA75" t="str">
        <f>IF(Tabela1[[#This Row],[2]]&lt;&gt;"",IF(ISNUMBER(FIND(",",Tabela1[[#This Row],[2]])),LEN(Tabela1[[#This Row],[2]])-LEN(SUBSTITUTE(Tabela1[[#This Row],[2]],",",""))+1,1),"")</f>
        <v/>
      </c>
      <c r="AB75" t="str">
        <f>IF(Tabela1[[#This Row],[3]]&lt;&gt;"",IF(ISNUMBER(FIND(",",Tabela1[[#This Row],[3]])),LEN(Tabela1[[#This Row],[3]])-LEN(SUBSTITUTE(Tabela1[[#This Row],[3]],",",""))+1,1),"")</f>
        <v/>
      </c>
      <c r="AC75" t="str">
        <f>IF(Tabela1[[#This Row],[4]]&lt;&gt;"",IF(ISNUMBER(FIND(",",Tabela1[[#This Row],[4]])),LEN(Tabela1[[#This Row],[4]])-LEN(SUBSTITUTE(Tabela1[[#This Row],[4]],",",""))+1,1),"")</f>
        <v/>
      </c>
      <c r="AD75" t="str">
        <f>IF(Tabela1[[#This Row],[5]]&lt;&gt;"",IF(ISNUMBER(FIND(",",Tabela1[[#This Row],[5]])),LEN(Tabela1[[#This Row],[5]])-LEN(SUBSTITUTE(Tabela1[[#This Row],[5]],",",""))+1,1),"")</f>
        <v/>
      </c>
      <c r="AE75" t="str">
        <f>IF(Tabela1[[#This Row],[6]]&lt;&gt;"",IF(ISNUMBER(FIND(",",Tabela1[[#This Row],[6]])),LEN(Tabela1[[#This Row],[6]])-LEN(SUBSTITUTE(Tabela1[[#This Row],[6]],",",""))+1,1),"")</f>
        <v/>
      </c>
      <c r="AF75" t="str">
        <f>IF(Tabela1[[#This Row],[7]]&lt;&gt;"",IF(ISNUMBER(FIND(",",Tabela1[[#This Row],[7]])),LEN(Tabela1[[#This Row],[7]])-LEN(SUBSTITUTE(Tabela1[[#This Row],[7]],",",""))+1,1),"")</f>
        <v/>
      </c>
      <c r="AG75" t="str">
        <f>IF(Tabela1[[#This Row],[8]]&lt;&gt;"",IF(ISNUMBER(FIND(",",Tabela1[[#This Row],[8]])),LEN(Tabela1[[#This Row],[8]])-LEN(SUBSTITUTE(Tabela1[[#This Row],[8]],",",""))+1,1),"")</f>
        <v/>
      </c>
      <c r="AH75" t="str">
        <f>IF(Tabela1[[#This Row],[9]]&lt;&gt;"",IF(ISNUMBER(FIND(",",Tabela1[[#This Row],[9]])),LEN(Tabela1[[#This Row],[9]])-LEN(SUBSTITUTE(Tabela1[[#This Row],[9]],",",""))+1,1),"")</f>
        <v/>
      </c>
      <c r="AI75" t="str">
        <f>IF(Tabela1[[#This Row],[10]]&lt;&gt;"",IF(ISNUMBER(FIND(",",Tabela1[[#This Row],[10]])),LEN(Tabela1[[#This Row],[10]])-LEN(SUBSTITUTE(Tabela1[[#This Row],[10]],",",""))+1,1),"")</f>
        <v/>
      </c>
      <c r="AJ75" t="str">
        <f>IF(Tabela1[[#This Row],[11]]&lt;&gt;"",IF(ISNUMBER(FIND(",",Tabela1[[#This Row],[11]])),LEN(Tabela1[[#This Row],[11]])-LEN(SUBSTITUTE(Tabela1[[#This Row],[11]],",",""))+1,1),"")</f>
        <v/>
      </c>
      <c r="AK75" t="str">
        <f>IF(Tabela1[[#This Row],[12]]&lt;&gt;"",IF(ISNUMBER(FIND(",",Tabela1[[#This Row],[12]])),LEN(Tabela1[[#This Row],[12]])-LEN(SUBSTITUTE(Tabela1[[#This Row],[12]],",",""))+1,1),"")</f>
        <v/>
      </c>
      <c r="AL75" t="str">
        <f>IF(Tabela1[[#This Row],[13]]&lt;&gt;"",IF(ISNUMBER(FIND(",",Tabela1[[#This Row],[13]])),LEN(Tabela1[[#This Row],[13]])-LEN(SUBSTITUTE(Tabela1[[#This Row],[13]],",",""))+1,1),"")</f>
        <v/>
      </c>
      <c r="AM75" t="str">
        <f>IF(Tabela1[[#This Row],[14]]&lt;&gt;"",IF(ISNUMBER(FIND(",",Tabela1[[#This Row],[14]])),LEN(Tabela1[[#This Row],[14]])-LEN(SUBSTITUTE(Tabela1[[#This Row],[14]],",",""))+1,1),"")</f>
        <v/>
      </c>
      <c r="AN75" t="str">
        <f>IF(Tabela1[[#This Row],[15]]&lt;&gt;"",IF(ISNUMBER(FIND(",",Tabela1[[#This Row],[15]])),LEN(Tabela1[[#This Row],[15]])-LEN(SUBSTITUTE(Tabela1[[#This Row],[15]],",",""))+1,1),"")</f>
        <v/>
      </c>
      <c r="AO75">
        <f>IF(Tabela1[[#This Row],[16]]&lt;&gt;"",IF(ISNUMBER(FIND(",",Tabela1[[#This Row],[16]])),LEN(Tabela1[[#This Row],[16]])-LEN(SUBSTITUTE(Tabela1[[#This Row],[16]],",",""))+1,1),"")</f>
        <v>1</v>
      </c>
      <c r="AP75" t="str">
        <f>IF(Tabela1[[#This Row],[17]]&lt;&gt;"",IF(ISNUMBER(FIND(",",Tabela1[[#This Row],[17]])),LEN(Tabela1[[#This Row],[17]])-LEN(SUBSTITUTE(Tabela1[[#This Row],[17]],",",""))+1,1),"")</f>
        <v/>
      </c>
      <c r="AQ75" t="str">
        <f>IF(Tabela1[[#This Row],[18]]&lt;&gt;"",IF(ISNUMBER(FIND(",",Tabela1[[#This Row],[18]])),LEN(Tabela1[[#This Row],[18]])-LEN(SUBSTITUTE(Tabela1[[#This Row],[18]],",",""))+1,1),"")</f>
        <v/>
      </c>
      <c r="AR75" s="13" t="str">
        <f>IF(Tabela1[[#This Row],[19_LENGTH]]&lt;&gt;"",IF(ISNUMBER(FIND(",",Tabela1[[#This Row],[19_LENGTH]])),LEN(Tabela1[[#This Row],[19_LENGTH]])-LEN(SUBSTITUTE(Tabela1[[#This Row],[19_LENGTH]],",",""))+1,1),"")</f>
        <v/>
      </c>
      <c r="AS75">
        <f>SUM(Tabela1[[#This Row],[1_]:[19_]])</f>
        <v>1</v>
      </c>
    </row>
    <row r="76" spans="1:45" x14ac:dyDescent="0.25">
      <c r="A76" s="27" t="s">
        <v>1316</v>
      </c>
      <c r="B76" s="19" t="s">
        <v>327</v>
      </c>
      <c r="C76" s="19">
        <v>122</v>
      </c>
      <c r="D76" s="19" t="s">
        <v>1315</v>
      </c>
      <c r="E76" s="20">
        <v>43446</v>
      </c>
      <c r="F76" s="19"/>
      <c r="G76" s="19"/>
      <c r="H76" s="19"/>
      <c r="I76" s="19">
        <v>65</v>
      </c>
      <c r="J76" s="19"/>
      <c r="K76" s="19"/>
      <c r="L76" s="19"/>
      <c r="M76" s="19"/>
      <c r="N76" s="19"/>
      <c r="O76" s="19"/>
      <c r="P76" s="19"/>
      <c r="Q76" s="19"/>
      <c r="R76" s="19"/>
      <c r="S76" s="19"/>
      <c r="T76" s="19"/>
      <c r="U76" s="19"/>
      <c r="V76" s="19"/>
      <c r="W76" s="19"/>
      <c r="X76" s="19"/>
      <c r="Y76" s="19"/>
      <c r="Z76" t="str">
        <f>IF(Tabela1[[#This Row],[1]]&lt;&gt;"",IF(ISNUMBER(FIND(",",Tabela1[[#This Row],[1]])),LEN(Tabela1[[#This Row],[1]])-LEN(SUBSTITUTE(Tabela1[[#This Row],[1]],",",""))+1,1),"")</f>
        <v/>
      </c>
      <c r="AA76" t="str">
        <f>IF(Tabela1[[#This Row],[2]]&lt;&gt;"",IF(ISNUMBER(FIND(",",Tabela1[[#This Row],[2]])),LEN(Tabela1[[#This Row],[2]])-LEN(SUBSTITUTE(Tabela1[[#This Row],[2]],",",""))+1,1),"")</f>
        <v/>
      </c>
      <c r="AB76" t="str">
        <f>IF(Tabela1[[#This Row],[3]]&lt;&gt;"",IF(ISNUMBER(FIND(",",Tabela1[[#This Row],[3]])),LEN(Tabela1[[#This Row],[3]])-LEN(SUBSTITUTE(Tabela1[[#This Row],[3]],",",""))+1,1),"")</f>
        <v/>
      </c>
      <c r="AC76">
        <f>IF(Tabela1[[#This Row],[4]]&lt;&gt;"",IF(ISNUMBER(FIND(",",Tabela1[[#This Row],[4]])),LEN(Tabela1[[#This Row],[4]])-LEN(SUBSTITUTE(Tabela1[[#This Row],[4]],",",""))+1,1),"")</f>
        <v>1</v>
      </c>
      <c r="AD76" t="str">
        <f>IF(Tabela1[[#This Row],[5]]&lt;&gt;"",IF(ISNUMBER(FIND(",",Tabela1[[#This Row],[5]])),LEN(Tabela1[[#This Row],[5]])-LEN(SUBSTITUTE(Tabela1[[#This Row],[5]],",",""))+1,1),"")</f>
        <v/>
      </c>
      <c r="AE76" t="str">
        <f>IF(Tabela1[[#This Row],[6]]&lt;&gt;"",IF(ISNUMBER(FIND(",",Tabela1[[#This Row],[6]])),LEN(Tabela1[[#This Row],[6]])-LEN(SUBSTITUTE(Tabela1[[#This Row],[6]],",",""))+1,1),"")</f>
        <v/>
      </c>
      <c r="AF76" t="str">
        <f>IF(Tabela1[[#This Row],[7]]&lt;&gt;"",IF(ISNUMBER(FIND(",",Tabela1[[#This Row],[7]])),LEN(Tabela1[[#This Row],[7]])-LEN(SUBSTITUTE(Tabela1[[#This Row],[7]],",",""))+1,1),"")</f>
        <v/>
      </c>
      <c r="AG76" t="str">
        <f>IF(Tabela1[[#This Row],[8]]&lt;&gt;"",IF(ISNUMBER(FIND(",",Tabela1[[#This Row],[8]])),LEN(Tabela1[[#This Row],[8]])-LEN(SUBSTITUTE(Tabela1[[#This Row],[8]],",",""))+1,1),"")</f>
        <v/>
      </c>
      <c r="AH76" t="str">
        <f>IF(Tabela1[[#This Row],[9]]&lt;&gt;"",IF(ISNUMBER(FIND(",",Tabela1[[#This Row],[9]])),LEN(Tabela1[[#This Row],[9]])-LEN(SUBSTITUTE(Tabela1[[#This Row],[9]],",",""))+1,1),"")</f>
        <v/>
      </c>
      <c r="AI76" t="str">
        <f>IF(Tabela1[[#This Row],[10]]&lt;&gt;"",IF(ISNUMBER(FIND(",",Tabela1[[#This Row],[10]])),LEN(Tabela1[[#This Row],[10]])-LEN(SUBSTITUTE(Tabela1[[#This Row],[10]],",",""))+1,1),"")</f>
        <v/>
      </c>
      <c r="AJ76" t="str">
        <f>IF(Tabela1[[#This Row],[11]]&lt;&gt;"",IF(ISNUMBER(FIND(",",Tabela1[[#This Row],[11]])),LEN(Tabela1[[#This Row],[11]])-LEN(SUBSTITUTE(Tabela1[[#This Row],[11]],",",""))+1,1),"")</f>
        <v/>
      </c>
      <c r="AK76" t="str">
        <f>IF(Tabela1[[#This Row],[12]]&lt;&gt;"",IF(ISNUMBER(FIND(",",Tabela1[[#This Row],[12]])),LEN(Tabela1[[#This Row],[12]])-LEN(SUBSTITUTE(Tabela1[[#This Row],[12]],",",""))+1,1),"")</f>
        <v/>
      </c>
      <c r="AL76" t="str">
        <f>IF(Tabela1[[#This Row],[13]]&lt;&gt;"",IF(ISNUMBER(FIND(",",Tabela1[[#This Row],[13]])),LEN(Tabela1[[#This Row],[13]])-LEN(SUBSTITUTE(Tabela1[[#This Row],[13]],",",""))+1,1),"")</f>
        <v/>
      </c>
      <c r="AM76" t="str">
        <f>IF(Tabela1[[#This Row],[14]]&lt;&gt;"",IF(ISNUMBER(FIND(",",Tabela1[[#This Row],[14]])),LEN(Tabela1[[#This Row],[14]])-LEN(SUBSTITUTE(Tabela1[[#This Row],[14]],",",""))+1,1),"")</f>
        <v/>
      </c>
      <c r="AN76" t="str">
        <f>IF(Tabela1[[#This Row],[15]]&lt;&gt;"",IF(ISNUMBER(FIND(",",Tabela1[[#This Row],[15]])),LEN(Tabela1[[#This Row],[15]])-LEN(SUBSTITUTE(Tabela1[[#This Row],[15]],",",""))+1,1),"")</f>
        <v/>
      </c>
      <c r="AO76" t="str">
        <f>IF(Tabela1[[#This Row],[16]]&lt;&gt;"",IF(ISNUMBER(FIND(",",Tabela1[[#This Row],[16]])),LEN(Tabela1[[#This Row],[16]])-LEN(SUBSTITUTE(Tabela1[[#This Row],[16]],",",""))+1,1),"")</f>
        <v/>
      </c>
      <c r="AP76" t="str">
        <f>IF(Tabela1[[#This Row],[17]]&lt;&gt;"",IF(ISNUMBER(FIND(",",Tabela1[[#This Row],[17]])),LEN(Tabela1[[#This Row],[17]])-LEN(SUBSTITUTE(Tabela1[[#This Row],[17]],",",""))+1,1),"")</f>
        <v/>
      </c>
      <c r="AQ76" t="str">
        <f>IF(Tabela1[[#This Row],[18]]&lt;&gt;"",IF(ISNUMBER(FIND(",",Tabela1[[#This Row],[18]])),LEN(Tabela1[[#This Row],[18]])-LEN(SUBSTITUTE(Tabela1[[#This Row],[18]],",",""))+1,1),"")</f>
        <v/>
      </c>
      <c r="AR76" s="13" t="str">
        <f>IF(Tabela1[[#This Row],[19_LENGTH]]&lt;&gt;"",IF(ISNUMBER(FIND(",",Tabela1[[#This Row],[19_LENGTH]])),LEN(Tabela1[[#This Row],[19_LENGTH]])-LEN(SUBSTITUTE(Tabela1[[#This Row],[19_LENGTH]],",",""))+1,1),"")</f>
        <v/>
      </c>
      <c r="AS76">
        <f>SUM(Tabela1[[#This Row],[1_]:[19_]])</f>
        <v>1</v>
      </c>
    </row>
    <row r="77" spans="1:45" x14ac:dyDescent="0.25">
      <c r="A77" s="27" t="s">
        <v>1316</v>
      </c>
      <c r="B77" s="19" t="s">
        <v>328</v>
      </c>
      <c r="C77" s="19">
        <v>202</v>
      </c>
      <c r="D77" s="19" t="s">
        <v>1298</v>
      </c>
      <c r="E77" s="20">
        <v>43445</v>
      </c>
      <c r="F77" s="19"/>
      <c r="G77" s="19"/>
      <c r="H77" s="19"/>
      <c r="I77" s="19" t="s">
        <v>29</v>
      </c>
      <c r="J77" s="19">
        <v>145</v>
      </c>
      <c r="K77" s="19"/>
      <c r="L77" s="19"/>
      <c r="M77" s="19"/>
      <c r="N77" s="19"/>
      <c r="O77" s="19"/>
      <c r="P77" s="19"/>
      <c r="Q77" s="19"/>
      <c r="R77" s="19"/>
      <c r="S77" s="19"/>
      <c r="T77" s="19"/>
      <c r="U77" s="19"/>
      <c r="V77" s="19"/>
      <c r="W77" s="19"/>
      <c r="X77" s="19"/>
      <c r="Y77" s="19"/>
      <c r="Z77" t="str">
        <f>IF(Tabela1[[#This Row],[1]]&lt;&gt;"",IF(ISNUMBER(FIND(",",Tabela1[[#This Row],[1]])),LEN(Tabela1[[#This Row],[1]])-LEN(SUBSTITUTE(Tabela1[[#This Row],[1]],",",""))+1,1),"")</f>
        <v/>
      </c>
      <c r="AA77" t="str">
        <f>IF(Tabela1[[#This Row],[2]]&lt;&gt;"",IF(ISNUMBER(FIND(",",Tabela1[[#This Row],[2]])),LEN(Tabela1[[#This Row],[2]])-LEN(SUBSTITUTE(Tabela1[[#This Row],[2]],",",""))+1,1),"")</f>
        <v/>
      </c>
      <c r="AB77" t="str">
        <f>IF(Tabela1[[#This Row],[3]]&lt;&gt;"",IF(ISNUMBER(FIND(",",Tabela1[[#This Row],[3]])),LEN(Tabela1[[#This Row],[3]])-LEN(SUBSTITUTE(Tabela1[[#This Row],[3]],",",""))+1,1),"")</f>
        <v/>
      </c>
      <c r="AC77">
        <f>IF(Tabela1[[#This Row],[4]]&lt;&gt;"",IF(ISNUMBER(FIND(",",Tabela1[[#This Row],[4]])),LEN(Tabela1[[#This Row],[4]])-LEN(SUBSTITUTE(Tabela1[[#This Row],[4]],",",""))+1,1),"")</f>
        <v>2</v>
      </c>
      <c r="AD77">
        <f>IF(Tabela1[[#This Row],[5]]&lt;&gt;"",IF(ISNUMBER(FIND(",",Tabela1[[#This Row],[5]])),LEN(Tabela1[[#This Row],[5]])-LEN(SUBSTITUTE(Tabela1[[#This Row],[5]],",",""))+1,1),"")</f>
        <v>1</v>
      </c>
      <c r="AE77" t="str">
        <f>IF(Tabela1[[#This Row],[6]]&lt;&gt;"",IF(ISNUMBER(FIND(",",Tabela1[[#This Row],[6]])),LEN(Tabela1[[#This Row],[6]])-LEN(SUBSTITUTE(Tabela1[[#This Row],[6]],",",""))+1,1),"")</f>
        <v/>
      </c>
      <c r="AF77" t="str">
        <f>IF(Tabela1[[#This Row],[7]]&lt;&gt;"",IF(ISNUMBER(FIND(",",Tabela1[[#This Row],[7]])),LEN(Tabela1[[#This Row],[7]])-LEN(SUBSTITUTE(Tabela1[[#This Row],[7]],",",""))+1,1),"")</f>
        <v/>
      </c>
      <c r="AG77" t="str">
        <f>IF(Tabela1[[#This Row],[8]]&lt;&gt;"",IF(ISNUMBER(FIND(",",Tabela1[[#This Row],[8]])),LEN(Tabela1[[#This Row],[8]])-LEN(SUBSTITUTE(Tabela1[[#This Row],[8]],",",""))+1,1),"")</f>
        <v/>
      </c>
      <c r="AH77" t="str">
        <f>IF(Tabela1[[#This Row],[9]]&lt;&gt;"",IF(ISNUMBER(FIND(",",Tabela1[[#This Row],[9]])),LEN(Tabela1[[#This Row],[9]])-LEN(SUBSTITUTE(Tabela1[[#This Row],[9]],",",""))+1,1),"")</f>
        <v/>
      </c>
      <c r="AI77" t="str">
        <f>IF(Tabela1[[#This Row],[10]]&lt;&gt;"",IF(ISNUMBER(FIND(",",Tabela1[[#This Row],[10]])),LEN(Tabela1[[#This Row],[10]])-LEN(SUBSTITUTE(Tabela1[[#This Row],[10]],",",""))+1,1),"")</f>
        <v/>
      </c>
      <c r="AJ77" t="str">
        <f>IF(Tabela1[[#This Row],[11]]&lt;&gt;"",IF(ISNUMBER(FIND(",",Tabela1[[#This Row],[11]])),LEN(Tabela1[[#This Row],[11]])-LEN(SUBSTITUTE(Tabela1[[#This Row],[11]],",",""))+1,1),"")</f>
        <v/>
      </c>
      <c r="AK77" t="str">
        <f>IF(Tabela1[[#This Row],[12]]&lt;&gt;"",IF(ISNUMBER(FIND(",",Tabela1[[#This Row],[12]])),LEN(Tabela1[[#This Row],[12]])-LEN(SUBSTITUTE(Tabela1[[#This Row],[12]],",",""))+1,1),"")</f>
        <v/>
      </c>
      <c r="AL77" t="str">
        <f>IF(Tabela1[[#This Row],[13]]&lt;&gt;"",IF(ISNUMBER(FIND(",",Tabela1[[#This Row],[13]])),LEN(Tabela1[[#This Row],[13]])-LEN(SUBSTITUTE(Tabela1[[#This Row],[13]],",",""))+1,1),"")</f>
        <v/>
      </c>
      <c r="AM77" t="str">
        <f>IF(Tabela1[[#This Row],[14]]&lt;&gt;"",IF(ISNUMBER(FIND(",",Tabela1[[#This Row],[14]])),LEN(Tabela1[[#This Row],[14]])-LEN(SUBSTITUTE(Tabela1[[#This Row],[14]],",",""))+1,1),"")</f>
        <v/>
      </c>
      <c r="AN77" t="str">
        <f>IF(Tabela1[[#This Row],[15]]&lt;&gt;"",IF(ISNUMBER(FIND(",",Tabela1[[#This Row],[15]])),LEN(Tabela1[[#This Row],[15]])-LEN(SUBSTITUTE(Tabela1[[#This Row],[15]],",",""))+1,1),"")</f>
        <v/>
      </c>
      <c r="AO77" t="str">
        <f>IF(Tabela1[[#This Row],[16]]&lt;&gt;"",IF(ISNUMBER(FIND(",",Tabela1[[#This Row],[16]])),LEN(Tabela1[[#This Row],[16]])-LEN(SUBSTITUTE(Tabela1[[#This Row],[16]],",",""))+1,1),"")</f>
        <v/>
      </c>
      <c r="AP77" t="str">
        <f>IF(Tabela1[[#This Row],[17]]&lt;&gt;"",IF(ISNUMBER(FIND(",",Tabela1[[#This Row],[17]])),LEN(Tabela1[[#This Row],[17]])-LEN(SUBSTITUTE(Tabela1[[#This Row],[17]],",",""))+1,1),"")</f>
        <v/>
      </c>
      <c r="AQ77" t="str">
        <f>IF(Tabela1[[#This Row],[18]]&lt;&gt;"",IF(ISNUMBER(FIND(",",Tabela1[[#This Row],[18]])),LEN(Tabela1[[#This Row],[18]])-LEN(SUBSTITUTE(Tabela1[[#This Row],[18]],",",""))+1,1),"")</f>
        <v/>
      </c>
      <c r="AR77" s="13" t="str">
        <f>IF(Tabela1[[#This Row],[19_LENGTH]]&lt;&gt;"",IF(ISNUMBER(FIND(",",Tabela1[[#This Row],[19_LENGTH]])),LEN(Tabela1[[#This Row],[19_LENGTH]])-LEN(SUBSTITUTE(Tabela1[[#This Row],[19_LENGTH]],",",""))+1,1),"")</f>
        <v/>
      </c>
      <c r="AS77">
        <f>SUM(Tabela1[[#This Row],[1_]:[19_]])</f>
        <v>3</v>
      </c>
    </row>
    <row r="78" spans="1:45" x14ac:dyDescent="0.25">
      <c r="A78" s="27" t="s">
        <v>1316</v>
      </c>
      <c r="B78" s="19" t="s">
        <v>329</v>
      </c>
      <c r="C78" s="19">
        <v>202</v>
      </c>
      <c r="D78" s="19" t="s">
        <v>1298</v>
      </c>
      <c r="E78" s="20">
        <v>43446</v>
      </c>
      <c r="F78" s="19"/>
      <c r="G78" s="19"/>
      <c r="H78" s="19"/>
      <c r="I78" s="19" t="s">
        <v>30</v>
      </c>
      <c r="J78" s="19"/>
      <c r="K78" s="19"/>
      <c r="L78" s="19"/>
      <c r="M78" s="19"/>
      <c r="N78" s="19"/>
      <c r="O78" s="19"/>
      <c r="P78" s="19"/>
      <c r="Q78" s="19"/>
      <c r="R78" s="19"/>
      <c r="S78" s="19"/>
      <c r="T78" s="19"/>
      <c r="U78" s="19"/>
      <c r="V78" s="19">
        <v>30</v>
      </c>
      <c r="W78" s="19"/>
      <c r="X78" s="19"/>
      <c r="Y78" s="19"/>
      <c r="Z78" t="str">
        <f>IF(Tabela1[[#This Row],[1]]&lt;&gt;"",IF(ISNUMBER(FIND(",",Tabela1[[#This Row],[1]])),LEN(Tabela1[[#This Row],[1]])-LEN(SUBSTITUTE(Tabela1[[#This Row],[1]],",",""))+1,1),"")</f>
        <v/>
      </c>
      <c r="AA78" t="str">
        <f>IF(Tabela1[[#This Row],[2]]&lt;&gt;"",IF(ISNUMBER(FIND(",",Tabela1[[#This Row],[2]])),LEN(Tabela1[[#This Row],[2]])-LEN(SUBSTITUTE(Tabela1[[#This Row],[2]],",",""))+1,1),"")</f>
        <v/>
      </c>
      <c r="AB78" t="str">
        <f>IF(Tabela1[[#This Row],[3]]&lt;&gt;"",IF(ISNUMBER(FIND(",",Tabela1[[#This Row],[3]])),LEN(Tabela1[[#This Row],[3]])-LEN(SUBSTITUTE(Tabela1[[#This Row],[3]],",",""))+1,1),"")</f>
        <v/>
      </c>
      <c r="AC78">
        <f>IF(Tabela1[[#This Row],[4]]&lt;&gt;"",IF(ISNUMBER(FIND(",",Tabela1[[#This Row],[4]])),LEN(Tabela1[[#This Row],[4]])-LEN(SUBSTITUTE(Tabela1[[#This Row],[4]],",",""))+1,1),"")</f>
        <v>3</v>
      </c>
      <c r="AD78" t="str">
        <f>IF(Tabela1[[#This Row],[5]]&lt;&gt;"",IF(ISNUMBER(FIND(",",Tabela1[[#This Row],[5]])),LEN(Tabela1[[#This Row],[5]])-LEN(SUBSTITUTE(Tabela1[[#This Row],[5]],",",""))+1,1),"")</f>
        <v/>
      </c>
      <c r="AE78" t="str">
        <f>IF(Tabela1[[#This Row],[6]]&lt;&gt;"",IF(ISNUMBER(FIND(",",Tabela1[[#This Row],[6]])),LEN(Tabela1[[#This Row],[6]])-LEN(SUBSTITUTE(Tabela1[[#This Row],[6]],",",""))+1,1),"")</f>
        <v/>
      </c>
      <c r="AF78" t="str">
        <f>IF(Tabela1[[#This Row],[7]]&lt;&gt;"",IF(ISNUMBER(FIND(",",Tabela1[[#This Row],[7]])),LEN(Tabela1[[#This Row],[7]])-LEN(SUBSTITUTE(Tabela1[[#This Row],[7]],",",""))+1,1),"")</f>
        <v/>
      </c>
      <c r="AG78" t="str">
        <f>IF(Tabela1[[#This Row],[8]]&lt;&gt;"",IF(ISNUMBER(FIND(",",Tabela1[[#This Row],[8]])),LEN(Tabela1[[#This Row],[8]])-LEN(SUBSTITUTE(Tabela1[[#This Row],[8]],",",""))+1,1),"")</f>
        <v/>
      </c>
      <c r="AH78" t="str">
        <f>IF(Tabela1[[#This Row],[9]]&lt;&gt;"",IF(ISNUMBER(FIND(",",Tabela1[[#This Row],[9]])),LEN(Tabela1[[#This Row],[9]])-LEN(SUBSTITUTE(Tabela1[[#This Row],[9]],",",""))+1,1),"")</f>
        <v/>
      </c>
      <c r="AI78" t="str">
        <f>IF(Tabela1[[#This Row],[10]]&lt;&gt;"",IF(ISNUMBER(FIND(",",Tabela1[[#This Row],[10]])),LEN(Tabela1[[#This Row],[10]])-LEN(SUBSTITUTE(Tabela1[[#This Row],[10]],",",""))+1,1),"")</f>
        <v/>
      </c>
      <c r="AJ78" t="str">
        <f>IF(Tabela1[[#This Row],[11]]&lt;&gt;"",IF(ISNUMBER(FIND(",",Tabela1[[#This Row],[11]])),LEN(Tabela1[[#This Row],[11]])-LEN(SUBSTITUTE(Tabela1[[#This Row],[11]],",",""))+1,1),"")</f>
        <v/>
      </c>
      <c r="AK78" t="str">
        <f>IF(Tabela1[[#This Row],[12]]&lt;&gt;"",IF(ISNUMBER(FIND(",",Tabela1[[#This Row],[12]])),LEN(Tabela1[[#This Row],[12]])-LEN(SUBSTITUTE(Tabela1[[#This Row],[12]],",",""))+1,1),"")</f>
        <v/>
      </c>
      <c r="AL78" t="str">
        <f>IF(Tabela1[[#This Row],[13]]&lt;&gt;"",IF(ISNUMBER(FIND(",",Tabela1[[#This Row],[13]])),LEN(Tabela1[[#This Row],[13]])-LEN(SUBSTITUTE(Tabela1[[#This Row],[13]],",",""))+1,1),"")</f>
        <v/>
      </c>
      <c r="AM78" t="str">
        <f>IF(Tabela1[[#This Row],[14]]&lt;&gt;"",IF(ISNUMBER(FIND(",",Tabela1[[#This Row],[14]])),LEN(Tabela1[[#This Row],[14]])-LEN(SUBSTITUTE(Tabela1[[#This Row],[14]],",",""))+1,1),"")</f>
        <v/>
      </c>
      <c r="AN78" t="str">
        <f>IF(Tabela1[[#This Row],[15]]&lt;&gt;"",IF(ISNUMBER(FIND(",",Tabela1[[#This Row],[15]])),LEN(Tabela1[[#This Row],[15]])-LEN(SUBSTITUTE(Tabela1[[#This Row],[15]],",",""))+1,1),"")</f>
        <v/>
      </c>
      <c r="AO78" t="str">
        <f>IF(Tabela1[[#This Row],[16]]&lt;&gt;"",IF(ISNUMBER(FIND(",",Tabela1[[#This Row],[16]])),LEN(Tabela1[[#This Row],[16]])-LEN(SUBSTITUTE(Tabela1[[#This Row],[16]],",",""))+1,1),"")</f>
        <v/>
      </c>
      <c r="AP78">
        <f>IF(Tabela1[[#This Row],[17]]&lt;&gt;"",IF(ISNUMBER(FIND(",",Tabela1[[#This Row],[17]])),LEN(Tabela1[[#This Row],[17]])-LEN(SUBSTITUTE(Tabela1[[#This Row],[17]],",",""))+1,1),"")</f>
        <v>1</v>
      </c>
      <c r="AQ78" t="str">
        <f>IF(Tabela1[[#This Row],[18]]&lt;&gt;"",IF(ISNUMBER(FIND(",",Tabela1[[#This Row],[18]])),LEN(Tabela1[[#This Row],[18]])-LEN(SUBSTITUTE(Tabela1[[#This Row],[18]],",",""))+1,1),"")</f>
        <v/>
      </c>
      <c r="AR78" s="13" t="str">
        <f>IF(Tabela1[[#This Row],[19_LENGTH]]&lt;&gt;"",IF(ISNUMBER(FIND(",",Tabela1[[#This Row],[19_LENGTH]])),LEN(Tabela1[[#This Row],[19_LENGTH]])-LEN(SUBSTITUTE(Tabela1[[#This Row],[19_LENGTH]],",",""))+1,1),"")</f>
        <v/>
      </c>
      <c r="AS78">
        <f>SUM(Tabela1[[#This Row],[1_]:[19_]])</f>
        <v>4</v>
      </c>
    </row>
    <row r="79" spans="1:45" x14ac:dyDescent="0.25">
      <c r="A79" s="27" t="s">
        <v>1316</v>
      </c>
      <c r="B79" s="19" t="s">
        <v>330</v>
      </c>
      <c r="C79" s="19">
        <v>200</v>
      </c>
      <c r="D79" s="19" t="s">
        <v>1315</v>
      </c>
      <c r="E79" s="20">
        <v>43447</v>
      </c>
      <c r="F79" s="19"/>
      <c r="G79" s="19"/>
      <c r="H79" s="19"/>
      <c r="I79" s="19">
        <v>46</v>
      </c>
      <c r="J79" s="19"/>
      <c r="K79" s="19"/>
      <c r="L79" s="19"/>
      <c r="M79" s="19"/>
      <c r="N79" s="19"/>
      <c r="O79" s="19"/>
      <c r="P79" s="19"/>
      <c r="Q79" s="19"/>
      <c r="R79" s="19"/>
      <c r="S79" s="19"/>
      <c r="T79" s="19"/>
      <c r="U79" s="19"/>
      <c r="V79" s="19"/>
      <c r="W79" s="19"/>
      <c r="X79" s="19"/>
      <c r="Y79" s="19"/>
      <c r="Z79" t="str">
        <f>IF(Tabela1[[#This Row],[1]]&lt;&gt;"",IF(ISNUMBER(FIND(",",Tabela1[[#This Row],[1]])),LEN(Tabela1[[#This Row],[1]])-LEN(SUBSTITUTE(Tabela1[[#This Row],[1]],",",""))+1,1),"")</f>
        <v/>
      </c>
      <c r="AA79" t="str">
        <f>IF(Tabela1[[#This Row],[2]]&lt;&gt;"",IF(ISNUMBER(FIND(",",Tabela1[[#This Row],[2]])),LEN(Tabela1[[#This Row],[2]])-LEN(SUBSTITUTE(Tabela1[[#This Row],[2]],",",""))+1,1),"")</f>
        <v/>
      </c>
      <c r="AB79" t="str">
        <f>IF(Tabela1[[#This Row],[3]]&lt;&gt;"",IF(ISNUMBER(FIND(",",Tabela1[[#This Row],[3]])),LEN(Tabela1[[#This Row],[3]])-LEN(SUBSTITUTE(Tabela1[[#This Row],[3]],",",""))+1,1),"")</f>
        <v/>
      </c>
      <c r="AC79">
        <f>IF(Tabela1[[#This Row],[4]]&lt;&gt;"",IF(ISNUMBER(FIND(",",Tabela1[[#This Row],[4]])),LEN(Tabela1[[#This Row],[4]])-LEN(SUBSTITUTE(Tabela1[[#This Row],[4]],",",""))+1,1),"")</f>
        <v>1</v>
      </c>
      <c r="AD79" t="str">
        <f>IF(Tabela1[[#This Row],[5]]&lt;&gt;"",IF(ISNUMBER(FIND(",",Tabela1[[#This Row],[5]])),LEN(Tabela1[[#This Row],[5]])-LEN(SUBSTITUTE(Tabela1[[#This Row],[5]],",",""))+1,1),"")</f>
        <v/>
      </c>
      <c r="AE79" t="str">
        <f>IF(Tabela1[[#This Row],[6]]&lt;&gt;"",IF(ISNUMBER(FIND(",",Tabela1[[#This Row],[6]])),LEN(Tabela1[[#This Row],[6]])-LEN(SUBSTITUTE(Tabela1[[#This Row],[6]],",",""))+1,1),"")</f>
        <v/>
      </c>
      <c r="AF79" t="str">
        <f>IF(Tabela1[[#This Row],[7]]&lt;&gt;"",IF(ISNUMBER(FIND(",",Tabela1[[#This Row],[7]])),LEN(Tabela1[[#This Row],[7]])-LEN(SUBSTITUTE(Tabela1[[#This Row],[7]],",",""))+1,1),"")</f>
        <v/>
      </c>
      <c r="AG79" t="str">
        <f>IF(Tabela1[[#This Row],[8]]&lt;&gt;"",IF(ISNUMBER(FIND(",",Tabela1[[#This Row],[8]])),LEN(Tabela1[[#This Row],[8]])-LEN(SUBSTITUTE(Tabela1[[#This Row],[8]],",",""))+1,1),"")</f>
        <v/>
      </c>
      <c r="AH79" t="str">
        <f>IF(Tabela1[[#This Row],[9]]&lt;&gt;"",IF(ISNUMBER(FIND(",",Tabela1[[#This Row],[9]])),LEN(Tabela1[[#This Row],[9]])-LEN(SUBSTITUTE(Tabela1[[#This Row],[9]],",",""))+1,1),"")</f>
        <v/>
      </c>
      <c r="AI79" t="str">
        <f>IF(Tabela1[[#This Row],[10]]&lt;&gt;"",IF(ISNUMBER(FIND(",",Tabela1[[#This Row],[10]])),LEN(Tabela1[[#This Row],[10]])-LEN(SUBSTITUTE(Tabela1[[#This Row],[10]],",",""))+1,1),"")</f>
        <v/>
      </c>
      <c r="AJ79" t="str">
        <f>IF(Tabela1[[#This Row],[11]]&lt;&gt;"",IF(ISNUMBER(FIND(",",Tabela1[[#This Row],[11]])),LEN(Tabela1[[#This Row],[11]])-LEN(SUBSTITUTE(Tabela1[[#This Row],[11]],",",""))+1,1),"")</f>
        <v/>
      </c>
      <c r="AK79" t="str">
        <f>IF(Tabela1[[#This Row],[12]]&lt;&gt;"",IF(ISNUMBER(FIND(",",Tabela1[[#This Row],[12]])),LEN(Tabela1[[#This Row],[12]])-LEN(SUBSTITUTE(Tabela1[[#This Row],[12]],",",""))+1,1),"")</f>
        <v/>
      </c>
      <c r="AL79" t="str">
        <f>IF(Tabela1[[#This Row],[13]]&lt;&gt;"",IF(ISNUMBER(FIND(",",Tabela1[[#This Row],[13]])),LEN(Tabela1[[#This Row],[13]])-LEN(SUBSTITUTE(Tabela1[[#This Row],[13]],",",""))+1,1),"")</f>
        <v/>
      </c>
      <c r="AM79" t="str">
        <f>IF(Tabela1[[#This Row],[14]]&lt;&gt;"",IF(ISNUMBER(FIND(",",Tabela1[[#This Row],[14]])),LEN(Tabela1[[#This Row],[14]])-LEN(SUBSTITUTE(Tabela1[[#This Row],[14]],",",""))+1,1),"")</f>
        <v/>
      </c>
      <c r="AN79" t="str">
        <f>IF(Tabela1[[#This Row],[15]]&lt;&gt;"",IF(ISNUMBER(FIND(",",Tabela1[[#This Row],[15]])),LEN(Tabela1[[#This Row],[15]])-LEN(SUBSTITUTE(Tabela1[[#This Row],[15]],",",""))+1,1),"")</f>
        <v/>
      </c>
      <c r="AO79" t="str">
        <f>IF(Tabela1[[#This Row],[16]]&lt;&gt;"",IF(ISNUMBER(FIND(",",Tabela1[[#This Row],[16]])),LEN(Tabela1[[#This Row],[16]])-LEN(SUBSTITUTE(Tabela1[[#This Row],[16]],",",""))+1,1),"")</f>
        <v/>
      </c>
      <c r="AP79" t="str">
        <f>IF(Tabela1[[#This Row],[17]]&lt;&gt;"",IF(ISNUMBER(FIND(",",Tabela1[[#This Row],[17]])),LEN(Tabela1[[#This Row],[17]])-LEN(SUBSTITUTE(Tabela1[[#This Row],[17]],",",""))+1,1),"")</f>
        <v/>
      </c>
      <c r="AQ79" t="str">
        <f>IF(Tabela1[[#This Row],[18]]&lt;&gt;"",IF(ISNUMBER(FIND(",",Tabela1[[#This Row],[18]])),LEN(Tabela1[[#This Row],[18]])-LEN(SUBSTITUTE(Tabela1[[#This Row],[18]],",",""))+1,1),"")</f>
        <v/>
      </c>
      <c r="AR79" s="13" t="str">
        <f>IF(Tabela1[[#This Row],[19_LENGTH]]&lt;&gt;"",IF(ISNUMBER(FIND(",",Tabela1[[#This Row],[19_LENGTH]])),LEN(Tabela1[[#This Row],[19_LENGTH]])-LEN(SUBSTITUTE(Tabela1[[#This Row],[19_LENGTH]],",",""))+1,1),"")</f>
        <v/>
      </c>
      <c r="AS79">
        <f>SUM(Tabela1[[#This Row],[1_]:[19_]])</f>
        <v>1</v>
      </c>
    </row>
    <row r="80" spans="1:45" x14ac:dyDescent="0.25">
      <c r="A80" s="27" t="s">
        <v>1316</v>
      </c>
      <c r="B80" s="19" t="s">
        <v>306</v>
      </c>
      <c r="C80" s="19">
        <v>200</v>
      </c>
      <c r="D80" s="19" t="s">
        <v>1315</v>
      </c>
      <c r="E80" s="20">
        <v>43447</v>
      </c>
      <c r="F80" s="19"/>
      <c r="G80" s="19"/>
      <c r="H80" s="19"/>
      <c r="I80" s="19"/>
      <c r="J80" s="19"/>
      <c r="K80" s="19"/>
      <c r="L80" s="19"/>
      <c r="M80" s="19"/>
      <c r="N80" s="19"/>
      <c r="O80" s="19"/>
      <c r="P80" s="19"/>
      <c r="Q80" s="19"/>
      <c r="R80" s="19">
        <v>112</v>
      </c>
      <c r="S80" s="19"/>
      <c r="T80" s="19"/>
      <c r="U80" s="19" t="s">
        <v>31</v>
      </c>
      <c r="V80" s="19"/>
      <c r="W80" s="19"/>
      <c r="X80" s="19"/>
      <c r="Y80" s="19"/>
      <c r="Z80" t="str">
        <f>IF(Tabela1[[#This Row],[1]]&lt;&gt;"",IF(ISNUMBER(FIND(",",Tabela1[[#This Row],[1]])),LEN(Tabela1[[#This Row],[1]])-LEN(SUBSTITUTE(Tabela1[[#This Row],[1]],",",""))+1,1),"")</f>
        <v/>
      </c>
      <c r="AA80" t="str">
        <f>IF(Tabela1[[#This Row],[2]]&lt;&gt;"",IF(ISNUMBER(FIND(",",Tabela1[[#This Row],[2]])),LEN(Tabela1[[#This Row],[2]])-LEN(SUBSTITUTE(Tabela1[[#This Row],[2]],",",""))+1,1),"")</f>
        <v/>
      </c>
      <c r="AB80" t="str">
        <f>IF(Tabela1[[#This Row],[3]]&lt;&gt;"",IF(ISNUMBER(FIND(",",Tabela1[[#This Row],[3]])),LEN(Tabela1[[#This Row],[3]])-LEN(SUBSTITUTE(Tabela1[[#This Row],[3]],",",""))+1,1),"")</f>
        <v/>
      </c>
      <c r="AC80" t="str">
        <f>IF(Tabela1[[#This Row],[4]]&lt;&gt;"",IF(ISNUMBER(FIND(",",Tabela1[[#This Row],[4]])),LEN(Tabela1[[#This Row],[4]])-LEN(SUBSTITUTE(Tabela1[[#This Row],[4]],",",""))+1,1),"")</f>
        <v/>
      </c>
      <c r="AD80" t="str">
        <f>IF(Tabela1[[#This Row],[5]]&lt;&gt;"",IF(ISNUMBER(FIND(",",Tabela1[[#This Row],[5]])),LEN(Tabela1[[#This Row],[5]])-LEN(SUBSTITUTE(Tabela1[[#This Row],[5]],",",""))+1,1),"")</f>
        <v/>
      </c>
      <c r="AE80" t="str">
        <f>IF(Tabela1[[#This Row],[6]]&lt;&gt;"",IF(ISNUMBER(FIND(",",Tabela1[[#This Row],[6]])),LEN(Tabela1[[#This Row],[6]])-LEN(SUBSTITUTE(Tabela1[[#This Row],[6]],",",""))+1,1),"")</f>
        <v/>
      </c>
      <c r="AF80" t="str">
        <f>IF(Tabela1[[#This Row],[7]]&lt;&gt;"",IF(ISNUMBER(FIND(",",Tabela1[[#This Row],[7]])),LEN(Tabela1[[#This Row],[7]])-LEN(SUBSTITUTE(Tabela1[[#This Row],[7]],",",""))+1,1),"")</f>
        <v/>
      </c>
      <c r="AG80" t="str">
        <f>IF(Tabela1[[#This Row],[8]]&lt;&gt;"",IF(ISNUMBER(FIND(",",Tabela1[[#This Row],[8]])),LEN(Tabela1[[#This Row],[8]])-LEN(SUBSTITUTE(Tabela1[[#This Row],[8]],",",""))+1,1),"")</f>
        <v/>
      </c>
      <c r="AH80" t="str">
        <f>IF(Tabela1[[#This Row],[9]]&lt;&gt;"",IF(ISNUMBER(FIND(",",Tabela1[[#This Row],[9]])),LEN(Tabela1[[#This Row],[9]])-LEN(SUBSTITUTE(Tabela1[[#This Row],[9]],",",""))+1,1),"")</f>
        <v/>
      </c>
      <c r="AI80" t="str">
        <f>IF(Tabela1[[#This Row],[10]]&lt;&gt;"",IF(ISNUMBER(FIND(",",Tabela1[[#This Row],[10]])),LEN(Tabela1[[#This Row],[10]])-LEN(SUBSTITUTE(Tabela1[[#This Row],[10]],",",""))+1,1),"")</f>
        <v/>
      </c>
      <c r="AJ80" t="str">
        <f>IF(Tabela1[[#This Row],[11]]&lt;&gt;"",IF(ISNUMBER(FIND(",",Tabela1[[#This Row],[11]])),LEN(Tabela1[[#This Row],[11]])-LEN(SUBSTITUTE(Tabela1[[#This Row],[11]],",",""))+1,1),"")</f>
        <v/>
      </c>
      <c r="AK80" t="str">
        <f>IF(Tabela1[[#This Row],[12]]&lt;&gt;"",IF(ISNUMBER(FIND(",",Tabela1[[#This Row],[12]])),LEN(Tabela1[[#This Row],[12]])-LEN(SUBSTITUTE(Tabela1[[#This Row],[12]],",",""))+1,1),"")</f>
        <v/>
      </c>
      <c r="AL80">
        <f>IF(Tabela1[[#This Row],[13]]&lt;&gt;"",IF(ISNUMBER(FIND(",",Tabela1[[#This Row],[13]])),LEN(Tabela1[[#This Row],[13]])-LEN(SUBSTITUTE(Tabela1[[#This Row],[13]],",",""))+1,1),"")</f>
        <v>1</v>
      </c>
      <c r="AM80" t="str">
        <f>IF(Tabela1[[#This Row],[14]]&lt;&gt;"",IF(ISNUMBER(FIND(",",Tabela1[[#This Row],[14]])),LEN(Tabela1[[#This Row],[14]])-LEN(SUBSTITUTE(Tabela1[[#This Row],[14]],",",""))+1,1),"")</f>
        <v/>
      </c>
      <c r="AN80" t="str">
        <f>IF(Tabela1[[#This Row],[15]]&lt;&gt;"",IF(ISNUMBER(FIND(",",Tabela1[[#This Row],[15]])),LEN(Tabela1[[#This Row],[15]])-LEN(SUBSTITUTE(Tabela1[[#This Row],[15]],",",""))+1,1),"")</f>
        <v/>
      </c>
      <c r="AO80">
        <f>IF(Tabela1[[#This Row],[16]]&lt;&gt;"",IF(ISNUMBER(FIND(",",Tabela1[[#This Row],[16]])),LEN(Tabela1[[#This Row],[16]])-LEN(SUBSTITUTE(Tabela1[[#This Row],[16]],",",""))+1,1),"")</f>
        <v>2</v>
      </c>
      <c r="AP80" t="str">
        <f>IF(Tabela1[[#This Row],[17]]&lt;&gt;"",IF(ISNUMBER(FIND(",",Tabela1[[#This Row],[17]])),LEN(Tabela1[[#This Row],[17]])-LEN(SUBSTITUTE(Tabela1[[#This Row],[17]],",",""))+1,1),"")</f>
        <v/>
      </c>
      <c r="AQ80" t="str">
        <f>IF(Tabela1[[#This Row],[18]]&lt;&gt;"",IF(ISNUMBER(FIND(",",Tabela1[[#This Row],[18]])),LEN(Tabela1[[#This Row],[18]])-LEN(SUBSTITUTE(Tabela1[[#This Row],[18]],",",""))+1,1),"")</f>
        <v/>
      </c>
      <c r="AR80" s="13" t="str">
        <f>IF(Tabela1[[#This Row],[19_LENGTH]]&lt;&gt;"",IF(ISNUMBER(FIND(",",Tabela1[[#This Row],[19_LENGTH]])),LEN(Tabela1[[#This Row],[19_LENGTH]])-LEN(SUBSTITUTE(Tabela1[[#This Row],[19_LENGTH]],",",""))+1,1),"")</f>
        <v/>
      </c>
      <c r="AS80">
        <f>SUM(Tabela1[[#This Row],[1_]:[19_]])</f>
        <v>3</v>
      </c>
    </row>
    <row r="81" spans="1:45" x14ac:dyDescent="0.25">
      <c r="A81" s="27" t="s">
        <v>1316</v>
      </c>
      <c r="B81" s="19" t="s">
        <v>307</v>
      </c>
      <c r="C81" s="19">
        <v>200</v>
      </c>
      <c r="D81" s="19" t="s">
        <v>1315</v>
      </c>
      <c r="E81" s="20">
        <v>43447</v>
      </c>
      <c r="F81" s="19"/>
      <c r="G81" s="19"/>
      <c r="H81" s="19"/>
      <c r="I81" s="19" t="s">
        <v>32</v>
      </c>
      <c r="J81" s="19"/>
      <c r="K81" s="19"/>
      <c r="L81" s="19"/>
      <c r="M81" s="19">
        <v>140</v>
      </c>
      <c r="N81" s="19"/>
      <c r="O81" s="19"/>
      <c r="P81" s="19"/>
      <c r="Q81" s="19"/>
      <c r="R81" s="19">
        <v>18</v>
      </c>
      <c r="S81" s="19"/>
      <c r="T81" s="19"/>
      <c r="U81" s="19"/>
      <c r="V81" s="19"/>
      <c r="W81" s="19"/>
      <c r="X81" s="19"/>
      <c r="Y81" s="19"/>
      <c r="Z81" t="str">
        <f>IF(Tabela1[[#This Row],[1]]&lt;&gt;"",IF(ISNUMBER(FIND(",",Tabela1[[#This Row],[1]])),LEN(Tabela1[[#This Row],[1]])-LEN(SUBSTITUTE(Tabela1[[#This Row],[1]],",",""))+1,1),"")</f>
        <v/>
      </c>
      <c r="AA81" t="str">
        <f>IF(Tabela1[[#This Row],[2]]&lt;&gt;"",IF(ISNUMBER(FIND(",",Tabela1[[#This Row],[2]])),LEN(Tabela1[[#This Row],[2]])-LEN(SUBSTITUTE(Tabela1[[#This Row],[2]],",",""))+1,1),"")</f>
        <v/>
      </c>
      <c r="AB81" t="str">
        <f>IF(Tabela1[[#This Row],[3]]&lt;&gt;"",IF(ISNUMBER(FIND(",",Tabela1[[#This Row],[3]])),LEN(Tabela1[[#This Row],[3]])-LEN(SUBSTITUTE(Tabela1[[#This Row],[3]],",",""))+1,1),"")</f>
        <v/>
      </c>
      <c r="AC81">
        <f>IF(Tabela1[[#This Row],[4]]&lt;&gt;"",IF(ISNUMBER(FIND(",",Tabela1[[#This Row],[4]])),LEN(Tabela1[[#This Row],[4]])-LEN(SUBSTITUTE(Tabela1[[#This Row],[4]],",",""))+1,1),"")</f>
        <v>2</v>
      </c>
      <c r="AD81" t="str">
        <f>IF(Tabela1[[#This Row],[5]]&lt;&gt;"",IF(ISNUMBER(FIND(",",Tabela1[[#This Row],[5]])),LEN(Tabela1[[#This Row],[5]])-LEN(SUBSTITUTE(Tabela1[[#This Row],[5]],",",""))+1,1),"")</f>
        <v/>
      </c>
      <c r="AE81" t="str">
        <f>IF(Tabela1[[#This Row],[6]]&lt;&gt;"",IF(ISNUMBER(FIND(",",Tabela1[[#This Row],[6]])),LEN(Tabela1[[#This Row],[6]])-LEN(SUBSTITUTE(Tabela1[[#This Row],[6]],",",""))+1,1),"")</f>
        <v/>
      </c>
      <c r="AF81" t="str">
        <f>IF(Tabela1[[#This Row],[7]]&lt;&gt;"",IF(ISNUMBER(FIND(",",Tabela1[[#This Row],[7]])),LEN(Tabela1[[#This Row],[7]])-LEN(SUBSTITUTE(Tabela1[[#This Row],[7]],",",""))+1,1),"")</f>
        <v/>
      </c>
      <c r="AG81">
        <f>IF(Tabela1[[#This Row],[8]]&lt;&gt;"",IF(ISNUMBER(FIND(",",Tabela1[[#This Row],[8]])),LEN(Tabela1[[#This Row],[8]])-LEN(SUBSTITUTE(Tabela1[[#This Row],[8]],",",""))+1,1),"")</f>
        <v>1</v>
      </c>
      <c r="AH81" t="str">
        <f>IF(Tabela1[[#This Row],[9]]&lt;&gt;"",IF(ISNUMBER(FIND(",",Tabela1[[#This Row],[9]])),LEN(Tabela1[[#This Row],[9]])-LEN(SUBSTITUTE(Tabela1[[#This Row],[9]],",",""))+1,1),"")</f>
        <v/>
      </c>
      <c r="AI81" t="str">
        <f>IF(Tabela1[[#This Row],[10]]&lt;&gt;"",IF(ISNUMBER(FIND(",",Tabela1[[#This Row],[10]])),LEN(Tabela1[[#This Row],[10]])-LEN(SUBSTITUTE(Tabela1[[#This Row],[10]],",",""))+1,1),"")</f>
        <v/>
      </c>
      <c r="AJ81" t="str">
        <f>IF(Tabela1[[#This Row],[11]]&lt;&gt;"",IF(ISNUMBER(FIND(",",Tabela1[[#This Row],[11]])),LEN(Tabela1[[#This Row],[11]])-LEN(SUBSTITUTE(Tabela1[[#This Row],[11]],",",""))+1,1),"")</f>
        <v/>
      </c>
      <c r="AK81" t="str">
        <f>IF(Tabela1[[#This Row],[12]]&lt;&gt;"",IF(ISNUMBER(FIND(",",Tabela1[[#This Row],[12]])),LEN(Tabela1[[#This Row],[12]])-LEN(SUBSTITUTE(Tabela1[[#This Row],[12]],",",""))+1,1),"")</f>
        <v/>
      </c>
      <c r="AL81">
        <f>IF(Tabela1[[#This Row],[13]]&lt;&gt;"",IF(ISNUMBER(FIND(",",Tabela1[[#This Row],[13]])),LEN(Tabela1[[#This Row],[13]])-LEN(SUBSTITUTE(Tabela1[[#This Row],[13]],",",""))+1,1),"")</f>
        <v>1</v>
      </c>
      <c r="AM81" t="str">
        <f>IF(Tabela1[[#This Row],[14]]&lt;&gt;"",IF(ISNUMBER(FIND(",",Tabela1[[#This Row],[14]])),LEN(Tabela1[[#This Row],[14]])-LEN(SUBSTITUTE(Tabela1[[#This Row],[14]],",",""))+1,1),"")</f>
        <v/>
      </c>
      <c r="AN81" t="str">
        <f>IF(Tabela1[[#This Row],[15]]&lt;&gt;"",IF(ISNUMBER(FIND(",",Tabela1[[#This Row],[15]])),LEN(Tabela1[[#This Row],[15]])-LEN(SUBSTITUTE(Tabela1[[#This Row],[15]],",",""))+1,1),"")</f>
        <v/>
      </c>
      <c r="AO81" t="str">
        <f>IF(Tabela1[[#This Row],[16]]&lt;&gt;"",IF(ISNUMBER(FIND(",",Tabela1[[#This Row],[16]])),LEN(Tabela1[[#This Row],[16]])-LEN(SUBSTITUTE(Tabela1[[#This Row],[16]],",",""))+1,1),"")</f>
        <v/>
      </c>
      <c r="AP81" t="str">
        <f>IF(Tabela1[[#This Row],[17]]&lt;&gt;"",IF(ISNUMBER(FIND(",",Tabela1[[#This Row],[17]])),LEN(Tabela1[[#This Row],[17]])-LEN(SUBSTITUTE(Tabela1[[#This Row],[17]],",",""))+1,1),"")</f>
        <v/>
      </c>
      <c r="AQ81" t="str">
        <f>IF(Tabela1[[#This Row],[18]]&lt;&gt;"",IF(ISNUMBER(FIND(",",Tabela1[[#This Row],[18]])),LEN(Tabela1[[#This Row],[18]])-LEN(SUBSTITUTE(Tabela1[[#This Row],[18]],",",""))+1,1),"")</f>
        <v/>
      </c>
      <c r="AR81" s="13" t="str">
        <f>IF(Tabela1[[#This Row],[19_LENGTH]]&lt;&gt;"",IF(ISNUMBER(FIND(",",Tabela1[[#This Row],[19_LENGTH]])),LEN(Tabela1[[#This Row],[19_LENGTH]])-LEN(SUBSTITUTE(Tabela1[[#This Row],[19_LENGTH]],",",""))+1,1),"")</f>
        <v/>
      </c>
      <c r="AS81">
        <f>SUM(Tabela1[[#This Row],[1_]:[19_]])</f>
        <v>4</v>
      </c>
    </row>
    <row r="82" spans="1:45" x14ac:dyDescent="0.25">
      <c r="A82" s="27" t="s">
        <v>1319</v>
      </c>
      <c r="B82" s="19" t="s">
        <v>331</v>
      </c>
      <c r="C82" s="19">
        <v>202</v>
      </c>
      <c r="D82" s="19" t="s">
        <v>1315</v>
      </c>
      <c r="E82" s="20">
        <v>43447</v>
      </c>
      <c r="F82" s="19"/>
      <c r="G82" s="19"/>
      <c r="H82" s="19"/>
      <c r="I82" s="19">
        <v>111</v>
      </c>
      <c r="J82" s="19">
        <v>106</v>
      </c>
      <c r="K82" s="19"/>
      <c r="L82" s="19"/>
      <c r="M82" s="19"/>
      <c r="N82" s="19"/>
      <c r="O82" s="19"/>
      <c r="P82" s="19"/>
      <c r="Q82" s="19"/>
      <c r="R82" s="19"/>
      <c r="S82" s="19"/>
      <c r="T82" s="19"/>
      <c r="U82" s="19"/>
      <c r="V82" s="19"/>
      <c r="W82" s="19"/>
      <c r="X82" s="19"/>
      <c r="Y82" s="19"/>
      <c r="Z82" t="str">
        <f>IF(Tabela1[[#This Row],[1]]&lt;&gt;"",IF(ISNUMBER(FIND(",",Tabela1[[#This Row],[1]])),LEN(Tabela1[[#This Row],[1]])-LEN(SUBSTITUTE(Tabela1[[#This Row],[1]],",",""))+1,1),"")</f>
        <v/>
      </c>
      <c r="AA82" t="str">
        <f>IF(Tabela1[[#This Row],[2]]&lt;&gt;"",IF(ISNUMBER(FIND(",",Tabela1[[#This Row],[2]])),LEN(Tabela1[[#This Row],[2]])-LEN(SUBSTITUTE(Tabela1[[#This Row],[2]],",",""))+1,1),"")</f>
        <v/>
      </c>
      <c r="AB82" t="str">
        <f>IF(Tabela1[[#This Row],[3]]&lt;&gt;"",IF(ISNUMBER(FIND(",",Tabela1[[#This Row],[3]])),LEN(Tabela1[[#This Row],[3]])-LEN(SUBSTITUTE(Tabela1[[#This Row],[3]],",",""))+1,1),"")</f>
        <v/>
      </c>
      <c r="AC82">
        <f>IF(Tabela1[[#This Row],[4]]&lt;&gt;"",IF(ISNUMBER(FIND(",",Tabela1[[#This Row],[4]])),LEN(Tabela1[[#This Row],[4]])-LEN(SUBSTITUTE(Tabela1[[#This Row],[4]],",",""))+1,1),"")</f>
        <v>1</v>
      </c>
      <c r="AD82">
        <f>IF(Tabela1[[#This Row],[5]]&lt;&gt;"",IF(ISNUMBER(FIND(",",Tabela1[[#This Row],[5]])),LEN(Tabela1[[#This Row],[5]])-LEN(SUBSTITUTE(Tabela1[[#This Row],[5]],",",""))+1,1),"")</f>
        <v>1</v>
      </c>
      <c r="AE82" t="str">
        <f>IF(Tabela1[[#This Row],[6]]&lt;&gt;"",IF(ISNUMBER(FIND(",",Tabela1[[#This Row],[6]])),LEN(Tabela1[[#This Row],[6]])-LEN(SUBSTITUTE(Tabela1[[#This Row],[6]],",",""))+1,1),"")</f>
        <v/>
      </c>
      <c r="AF82" t="str">
        <f>IF(Tabela1[[#This Row],[7]]&lt;&gt;"",IF(ISNUMBER(FIND(",",Tabela1[[#This Row],[7]])),LEN(Tabela1[[#This Row],[7]])-LEN(SUBSTITUTE(Tabela1[[#This Row],[7]],",",""))+1,1),"")</f>
        <v/>
      </c>
      <c r="AG82" t="str">
        <f>IF(Tabela1[[#This Row],[8]]&lt;&gt;"",IF(ISNUMBER(FIND(",",Tabela1[[#This Row],[8]])),LEN(Tabela1[[#This Row],[8]])-LEN(SUBSTITUTE(Tabela1[[#This Row],[8]],",",""))+1,1),"")</f>
        <v/>
      </c>
      <c r="AH82" t="str">
        <f>IF(Tabela1[[#This Row],[9]]&lt;&gt;"",IF(ISNUMBER(FIND(",",Tabela1[[#This Row],[9]])),LEN(Tabela1[[#This Row],[9]])-LEN(SUBSTITUTE(Tabela1[[#This Row],[9]],",",""))+1,1),"")</f>
        <v/>
      </c>
      <c r="AI82" t="str">
        <f>IF(Tabela1[[#This Row],[10]]&lt;&gt;"",IF(ISNUMBER(FIND(",",Tabela1[[#This Row],[10]])),LEN(Tabela1[[#This Row],[10]])-LEN(SUBSTITUTE(Tabela1[[#This Row],[10]],",",""))+1,1),"")</f>
        <v/>
      </c>
      <c r="AJ82" t="str">
        <f>IF(Tabela1[[#This Row],[11]]&lt;&gt;"",IF(ISNUMBER(FIND(",",Tabela1[[#This Row],[11]])),LEN(Tabela1[[#This Row],[11]])-LEN(SUBSTITUTE(Tabela1[[#This Row],[11]],",",""))+1,1),"")</f>
        <v/>
      </c>
      <c r="AK82" t="str">
        <f>IF(Tabela1[[#This Row],[12]]&lt;&gt;"",IF(ISNUMBER(FIND(",",Tabela1[[#This Row],[12]])),LEN(Tabela1[[#This Row],[12]])-LEN(SUBSTITUTE(Tabela1[[#This Row],[12]],",",""))+1,1),"")</f>
        <v/>
      </c>
      <c r="AL82" t="str">
        <f>IF(Tabela1[[#This Row],[13]]&lt;&gt;"",IF(ISNUMBER(FIND(",",Tabela1[[#This Row],[13]])),LEN(Tabela1[[#This Row],[13]])-LEN(SUBSTITUTE(Tabela1[[#This Row],[13]],",",""))+1,1),"")</f>
        <v/>
      </c>
      <c r="AM82" t="str">
        <f>IF(Tabela1[[#This Row],[14]]&lt;&gt;"",IF(ISNUMBER(FIND(",",Tabela1[[#This Row],[14]])),LEN(Tabela1[[#This Row],[14]])-LEN(SUBSTITUTE(Tabela1[[#This Row],[14]],",",""))+1,1),"")</f>
        <v/>
      </c>
      <c r="AN82" t="str">
        <f>IF(Tabela1[[#This Row],[15]]&lt;&gt;"",IF(ISNUMBER(FIND(",",Tabela1[[#This Row],[15]])),LEN(Tabela1[[#This Row],[15]])-LEN(SUBSTITUTE(Tabela1[[#This Row],[15]],",",""))+1,1),"")</f>
        <v/>
      </c>
      <c r="AO82" t="str">
        <f>IF(Tabela1[[#This Row],[16]]&lt;&gt;"",IF(ISNUMBER(FIND(",",Tabela1[[#This Row],[16]])),LEN(Tabela1[[#This Row],[16]])-LEN(SUBSTITUTE(Tabela1[[#This Row],[16]],",",""))+1,1),"")</f>
        <v/>
      </c>
      <c r="AP82" t="str">
        <f>IF(Tabela1[[#This Row],[17]]&lt;&gt;"",IF(ISNUMBER(FIND(",",Tabela1[[#This Row],[17]])),LEN(Tabela1[[#This Row],[17]])-LEN(SUBSTITUTE(Tabela1[[#This Row],[17]],",",""))+1,1),"")</f>
        <v/>
      </c>
      <c r="AQ82" t="str">
        <f>IF(Tabela1[[#This Row],[18]]&lt;&gt;"",IF(ISNUMBER(FIND(",",Tabela1[[#This Row],[18]])),LEN(Tabela1[[#This Row],[18]])-LEN(SUBSTITUTE(Tabela1[[#This Row],[18]],",",""))+1,1),"")</f>
        <v/>
      </c>
      <c r="AR82" s="13" t="str">
        <f>IF(Tabela1[[#This Row],[19_LENGTH]]&lt;&gt;"",IF(ISNUMBER(FIND(",",Tabela1[[#This Row],[19_LENGTH]])),LEN(Tabela1[[#This Row],[19_LENGTH]])-LEN(SUBSTITUTE(Tabela1[[#This Row],[19_LENGTH]],",",""))+1,1),"")</f>
        <v/>
      </c>
      <c r="AS82">
        <f>SUM(Tabela1[[#This Row],[1_]:[19_]])</f>
        <v>2</v>
      </c>
    </row>
    <row r="83" spans="1:45" x14ac:dyDescent="0.25">
      <c r="A83" s="27" t="s">
        <v>1316</v>
      </c>
      <c r="B83" s="19" t="s">
        <v>695</v>
      </c>
      <c r="C83" s="19">
        <v>206</v>
      </c>
      <c r="D83" s="19" t="s">
        <v>1301</v>
      </c>
      <c r="E83" s="20">
        <v>43448</v>
      </c>
      <c r="F83" s="19"/>
      <c r="G83" s="19"/>
      <c r="H83" s="19"/>
      <c r="I83" s="19"/>
      <c r="J83" s="19"/>
      <c r="K83" s="19"/>
      <c r="L83" s="19"/>
      <c r="M83" s="19"/>
      <c r="N83" s="19"/>
      <c r="O83" s="19"/>
      <c r="P83" s="19"/>
      <c r="Q83" s="19"/>
      <c r="R83" s="19"/>
      <c r="S83" s="19"/>
      <c r="T83" s="19"/>
      <c r="U83" s="19">
        <v>43</v>
      </c>
      <c r="V83" s="19"/>
      <c r="W83" s="19"/>
      <c r="X83" s="19"/>
      <c r="Y83" s="19"/>
      <c r="Z83" t="str">
        <f>IF(Tabela1[[#This Row],[1]]&lt;&gt;"",IF(ISNUMBER(FIND(",",Tabela1[[#This Row],[1]])),LEN(Tabela1[[#This Row],[1]])-LEN(SUBSTITUTE(Tabela1[[#This Row],[1]],",",""))+1,1),"")</f>
        <v/>
      </c>
      <c r="AA83" t="str">
        <f>IF(Tabela1[[#This Row],[2]]&lt;&gt;"",IF(ISNUMBER(FIND(",",Tabela1[[#This Row],[2]])),LEN(Tabela1[[#This Row],[2]])-LEN(SUBSTITUTE(Tabela1[[#This Row],[2]],",",""))+1,1),"")</f>
        <v/>
      </c>
      <c r="AB83" t="str">
        <f>IF(Tabela1[[#This Row],[3]]&lt;&gt;"",IF(ISNUMBER(FIND(",",Tabela1[[#This Row],[3]])),LEN(Tabela1[[#This Row],[3]])-LEN(SUBSTITUTE(Tabela1[[#This Row],[3]],",",""))+1,1),"")</f>
        <v/>
      </c>
      <c r="AC83" t="str">
        <f>IF(Tabela1[[#This Row],[4]]&lt;&gt;"",IF(ISNUMBER(FIND(",",Tabela1[[#This Row],[4]])),LEN(Tabela1[[#This Row],[4]])-LEN(SUBSTITUTE(Tabela1[[#This Row],[4]],",",""))+1,1),"")</f>
        <v/>
      </c>
      <c r="AD83" t="str">
        <f>IF(Tabela1[[#This Row],[5]]&lt;&gt;"",IF(ISNUMBER(FIND(",",Tabela1[[#This Row],[5]])),LEN(Tabela1[[#This Row],[5]])-LEN(SUBSTITUTE(Tabela1[[#This Row],[5]],",",""))+1,1),"")</f>
        <v/>
      </c>
      <c r="AE83" t="str">
        <f>IF(Tabela1[[#This Row],[6]]&lt;&gt;"",IF(ISNUMBER(FIND(",",Tabela1[[#This Row],[6]])),LEN(Tabela1[[#This Row],[6]])-LEN(SUBSTITUTE(Tabela1[[#This Row],[6]],",",""))+1,1),"")</f>
        <v/>
      </c>
      <c r="AF83" t="str">
        <f>IF(Tabela1[[#This Row],[7]]&lt;&gt;"",IF(ISNUMBER(FIND(",",Tabela1[[#This Row],[7]])),LEN(Tabela1[[#This Row],[7]])-LEN(SUBSTITUTE(Tabela1[[#This Row],[7]],",",""))+1,1),"")</f>
        <v/>
      </c>
      <c r="AG83" t="str">
        <f>IF(Tabela1[[#This Row],[8]]&lt;&gt;"",IF(ISNUMBER(FIND(",",Tabela1[[#This Row],[8]])),LEN(Tabela1[[#This Row],[8]])-LEN(SUBSTITUTE(Tabela1[[#This Row],[8]],",",""))+1,1),"")</f>
        <v/>
      </c>
      <c r="AH83" t="str">
        <f>IF(Tabela1[[#This Row],[9]]&lt;&gt;"",IF(ISNUMBER(FIND(",",Tabela1[[#This Row],[9]])),LEN(Tabela1[[#This Row],[9]])-LEN(SUBSTITUTE(Tabela1[[#This Row],[9]],",",""))+1,1),"")</f>
        <v/>
      </c>
      <c r="AI83" t="str">
        <f>IF(Tabela1[[#This Row],[10]]&lt;&gt;"",IF(ISNUMBER(FIND(",",Tabela1[[#This Row],[10]])),LEN(Tabela1[[#This Row],[10]])-LEN(SUBSTITUTE(Tabela1[[#This Row],[10]],",",""))+1,1),"")</f>
        <v/>
      </c>
      <c r="AJ83" t="str">
        <f>IF(Tabela1[[#This Row],[11]]&lt;&gt;"",IF(ISNUMBER(FIND(",",Tabela1[[#This Row],[11]])),LEN(Tabela1[[#This Row],[11]])-LEN(SUBSTITUTE(Tabela1[[#This Row],[11]],",",""))+1,1),"")</f>
        <v/>
      </c>
      <c r="AK83" t="str">
        <f>IF(Tabela1[[#This Row],[12]]&lt;&gt;"",IF(ISNUMBER(FIND(",",Tabela1[[#This Row],[12]])),LEN(Tabela1[[#This Row],[12]])-LEN(SUBSTITUTE(Tabela1[[#This Row],[12]],",",""))+1,1),"")</f>
        <v/>
      </c>
      <c r="AL83" t="str">
        <f>IF(Tabela1[[#This Row],[13]]&lt;&gt;"",IF(ISNUMBER(FIND(",",Tabela1[[#This Row],[13]])),LEN(Tabela1[[#This Row],[13]])-LEN(SUBSTITUTE(Tabela1[[#This Row],[13]],",",""))+1,1),"")</f>
        <v/>
      </c>
      <c r="AM83" t="str">
        <f>IF(Tabela1[[#This Row],[14]]&lt;&gt;"",IF(ISNUMBER(FIND(",",Tabela1[[#This Row],[14]])),LEN(Tabela1[[#This Row],[14]])-LEN(SUBSTITUTE(Tabela1[[#This Row],[14]],",",""))+1,1),"")</f>
        <v/>
      </c>
      <c r="AN83" t="str">
        <f>IF(Tabela1[[#This Row],[15]]&lt;&gt;"",IF(ISNUMBER(FIND(",",Tabela1[[#This Row],[15]])),LEN(Tabela1[[#This Row],[15]])-LEN(SUBSTITUTE(Tabela1[[#This Row],[15]],",",""))+1,1),"")</f>
        <v/>
      </c>
      <c r="AO83">
        <f>IF(Tabela1[[#This Row],[16]]&lt;&gt;"",IF(ISNUMBER(FIND(",",Tabela1[[#This Row],[16]])),LEN(Tabela1[[#This Row],[16]])-LEN(SUBSTITUTE(Tabela1[[#This Row],[16]],",",""))+1,1),"")</f>
        <v>1</v>
      </c>
      <c r="AP83" t="str">
        <f>IF(Tabela1[[#This Row],[17]]&lt;&gt;"",IF(ISNUMBER(FIND(",",Tabela1[[#This Row],[17]])),LEN(Tabela1[[#This Row],[17]])-LEN(SUBSTITUTE(Tabela1[[#This Row],[17]],",",""))+1,1),"")</f>
        <v/>
      </c>
      <c r="AQ83" t="str">
        <f>IF(Tabela1[[#This Row],[18]]&lt;&gt;"",IF(ISNUMBER(FIND(",",Tabela1[[#This Row],[18]])),LEN(Tabela1[[#This Row],[18]])-LEN(SUBSTITUTE(Tabela1[[#This Row],[18]],",",""))+1,1),"")</f>
        <v/>
      </c>
      <c r="AR83" s="13" t="str">
        <f>IF(Tabela1[[#This Row],[19_LENGTH]]&lt;&gt;"",IF(ISNUMBER(FIND(",",Tabela1[[#This Row],[19_LENGTH]])),LEN(Tabela1[[#This Row],[19_LENGTH]])-LEN(SUBSTITUTE(Tabela1[[#This Row],[19_LENGTH]],",",""))+1,1),"")</f>
        <v/>
      </c>
      <c r="AS83">
        <f>SUM(Tabela1[[#This Row],[1_]:[19_]])</f>
        <v>1</v>
      </c>
    </row>
    <row r="84" spans="1:45" x14ac:dyDescent="0.25">
      <c r="A84" s="27" t="s">
        <v>1316</v>
      </c>
      <c r="B84" s="19" t="s">
        <v>696</v>
      </c>
      <c r="C84" s="19">
        <v>202</v>
      </c>
      <c r="D84" s="19" t="s">
        <v>1301</v>
      </c>
      <c r="E84" s="20">
        <v>43447</v>
      </c>
      <c r="F84" s="19"/>
      <c r="G84" s="19"/>
      <c r="H84" s="19"/>
      <c r="I84" s="19" t="s">
        <v>33</v>
      </c>
      <c r="J84" s="19"/>
      <c r="K84" s="19"/>
      <c r="L84" s="19"/>
      <c r="M84" s="19"/>
      <c r="N84" s="19"/>
      <c r="O84" s="19"/>
      <c r="P84" s="19"/>
      <c r="Q84" s="19"/>
      <c r="R84" s="19"/>
      <c r="S84" s="19"/>
      <c r="T84" s="19"/>
      <c r="U84" s="19"/>
      <c r="V84" s="19"/>
      <c r="W84" s="19"/>
      <c r="X84" s="19"/>
      <c r="Y84" s="19"/>
      <c r="Z84" t="str">
        <f>IF(Tabela1[[#This Row],[1]]&lt;&gt;"",IF(ISNUMBER(FIND(",",Tabela1[[#This Row],[1]])),LEN(Tabela1[[#This Row],[1]])-LEN(SUBSTITUTE(Tabela1[[#This Row],[1]],",",""))+1,1),"")</f>
        <v/>
      </c>
      <c r="AA84" t="str">
        <f>IF(Tabela1[[#This Row],[2]]&lt;&gt;"",IF(ISNUMBER(FIND(",",Tabela1[[#This Row],[2]])),LEN(Tabela1[[#This Row],[2]])-LEN(SUBSTITUTE(Tabela1[[#This Row],[2]],",",""))+1,1),"")</f>
        <v/>
      </c>
      <c r="AB84" t="str">
        <f>IF(Tabela1[[#This Row],[3]]&lt;&gt;"",IF(ISNUMBER(FIND(",",Tabela1[[#This Row],[3]])),LEN(Tabela1[[#This Row],[3]])-LEN(SUBSTITUTE(Tabela1[[#This Row],[3]],",",""))+1,1),"")</f>
        <v/>
      </c>
      <c r="AC84">
        <f>IF(Tabela1[[#This Row],[4]]&lt;&gt;"",IF(ISNUMBER(FIND(",",Tabela1[[#This Row],[4]])),LEN(Tabela1[[#This Row],[4]])-LEN(SUBSTITUTE(Tabela1[[#This Row],[4]],",",""))+1,1),"")</f>
        <v>3</v>
      </c>
      <c r="AD84" t="str">
        <f>IF(Tabela1[[#This Row],[5]]&lt;&gt;"",IF(ISNUMBER(FIND(",",Tabela1[[#This Row],[5]])),LEN(Tabela1[[#This Row],[5]])-LEN(SUBSTITUTE(Tabela1[[#This Row],[5]],",",""))+1,1),"")</f>
        <v/>
      </c>
      <c r="AE84" t="str">
        <f>IF(Tabela1[[#This Row],[6]]&lt;&gt;"",IF(ISNUMBER(FIND(",",Tabela1[[#This Row],[6]])),LEN(Tabela1[[#This Row],[6]])-LEN(SUBSTITUTE(Tabela1[[#This Row],[6]],",",""))+1,1),"")</f>
        <v/>
      </c>
      <c r="AF84" t="str">
        <f>IF(Tabela1[[#This Row],[7]]&lt;&gt;"",IF(ISNUMBER(FIND(",",Tabela1[[#This Row],[7]])),LEN(Tabela1[[#This Row],[7]])-LEN(SUBSTITUTE(Tabela1[[#This Row],[7]],",",""))+1,1),"")</f>
        <v/>
      </c>
      <c r="AG84" t="str">
        <f>IF(Tabela1[[#This Row],[8]]&lt;&gt;"",IF(ISNUMBER(FIND(",",Tabela1[[#This Row],[8]])),LEN(Tabela1[[#This Row],[8]])-LEN(SUBSTITUTE(Tabela1[[#This Row],[8]],",",""))+1,1),"")</f>
        <v/>
      </c>
      <c r="AH84" t="str">
        <f>IF(Tabela1[[#This Row],[9]]&lt;&gt;"",IF(ISNUMBER(FIND(",",Tabela1[[#This Row],[9]])),LEN(Tabela1[[#This Row],[9]])-LEN(SUBSTITUTE(Tabela1[[#This Row],[9]],",",""))+1,1),"")</f>
        <v/>
      </c>
      <c r="AI84" t="str">
        <f>IF(Tabela1[[#This Row],[10]]&lt;&gt;"",IF(ISNUMBER(FIND(",",Tabela1[[#This Row],[10]])),LEN(Tabela1[[#This Row],[10]])-LEN(SUBSTITUTE(Tabela1[[#This Row],[10]],",",""))+1,1),"")</f>
        <v/>
      </c>
      <c r="AJ84" t="str">
        <f>IF(Tabela1[[#This Row],[11]]&lt;&gt;"",IF(ISNUMBER(FIND(",",Tabela1[[#This Row],[11]])),LEN(Tabela1[[#This Row],[11]])-LEN(SUBSTITUTE(Tabela1[[#This Row],[11]],",",""))+1,1),"")</f>
        <v/>
      </c>
      <c r="AK84" t="str">
        <f>IF(Tabela1[[#This Row],[12]]&lt;&gt;"",IF(ISNUMBER(FIND(",",Tabela1[[#This Row],[12]])),LEN(Tabela1[[#This Row],[12]])-LEN(SUBSTITUTE(Tabela1[[#This Row],[12]],",",""))+1,1),"")</f>
        <v/>
      </c>
      <c r="AL84" t="str">
        <f>IF(Tabela1[[#This Row],[13]]&lt;&gt;"",IF(ISNUMBER(FIND(",",Tabela1[[#This Row],[13]])),LEN(Tabela1[[#This Row],[13]])-LEN(SUBSTITUTE(Tabela1[[#This Row],[13]],",",""))+1,1),"")</f>
        <v/>
      </c>
      <c r="AM84" t="str">
        <f>IF(Tabela1[[#This Row],[14]]&lt;&gt;"",IF(ISNUMBER(FIND(",",Tabela1[[#This Row],[14]])),LEN(Tabela1[[#This Row],[14]])-LEN(SUBSTITUTE(Tabela1[[#This Row],[14]],",",""))+1,1),"")</f>
        <v/>
      </c>
      <c r="AN84" t="str">
        <f>IF(Tabela1[[#This Row],[15]]&lt;&gt;"",IF(ISNUMBER(FIND(",",Tabela1[[#This Row],[15]])),LEN(Tabela1[[#This Row],[15]])-LEN(SUBSTITUTE(Tabela1[[#This Row],[15]],",",""))+1,1),"")</f>
        <v/>
      </c>
      <c r="AO84" t="str">
        <f>IF(Tabela1[[#This Row],[16]]&lt;&gt;"",IF(ISNUMBER(FIND(",",Tabela1[[#This Row],[16]])),LEN(Tabela1[[#This Row],[16]])-LEN(SUBSTITUTE(Tabela1[[#This Row],[16]],",",""))+1,1),"")</f>
        <v/>
      </c>
      <c r="AP84" t="str">
        <f>IF(Tabela1[[#This Row],[17]]&lt;&gt;"",IF(ISNUMBER(FIND(",",Tabela1[[#This Row],[17]])),LEN(Tabela1[[#This Row],[17]])-LEN(SUBSTITUTE(Tabela1[[#This Row],[17]],",",""))+1,1),"")</f>
        <v/>
      </c>
      <c r="AQ84" t="str">
        <f>IF(Tabela1[[#This Row],[18]]&lt;&gt;"",IF(ISNUMBER(FIND(",",Tabela1[[#This Row],[18]])),LEN(Tabela1[[#This Row],[18]])-LEN(SUBSTITUTE(Tabela1[[#This Row],[18]],",",""))+1,1),"")</f>
        <v/>
      </c>
      <c r="AR84" s="13" t="str">
        <f>IF(Tabela1[[#This Row],[19_LENGTH]]&lt;&gt;"",IF(ISNUMBER(FIND(",",Tabela1[[#This Row],[19_LENGTH]])),LEN(Tabela1[[#This Row],[19_LENGTH]])-LEN(SUBSTITUTE(Tabela1[[#This Row],[19_LENGTH]],",",""))+1,1),"")</f>
        <v/>
      </c>
      <c r="AS84">
        <f>SUM(Tabela1[[#This Row],[1_]:[19_]])</f>
        <v>3</v>
      </c>
    </row>
    <row r="85" spans="1:45" x14ac:dyDescent="0.25">
      <c r="A85" s="27" t="s">
        <v>1319</v>
      </c>
      <c r="B85" s="19" t="s">
        <v>332</v>
      </c>
      <c r="C85" s="19">
        <v>202</v>
      </c>
      <c r="D85" s="19" t="s">
        <v>1315</v>
      </c>
      <c r="E85" s="20">
        <v>43447</v>
      </c>
      <c r="F85" s="19"/>
      <c r="G85" s="19"/>
      <c r="H85" s="19"/>
      <c r="I85" s="19">
        <v>116</v>
      </c>
      <c r="J85" s="19"/>
      <c r="K85" s="19"/>
      <c r="L85" s="19"/>
      <c r="M85" s="19"/>
      <c r="N85" s="19"/>
      <c r="O85" s="19"/>
      <c r="P85" s="19"/>
      <c r="Q85" s="19"/>
      <c r="R85" s="19"/>
      <c r="S85" s="19"/>
      <c r="T85" s="19"/>
      <c r="U85" s="19"/>
      <c r="V85" s="19"/>
      <c r="W85" s="19"/>
      <c r="X85" s="19"/>
      <c r="Y85" s="19"/>
      <c r="Z85" t="str">
        <f>IF(Tabela1[[#This Row],[1]]&lt;&gt;"",IF(ISNUMBER(FIND(",",Tabela1[[#This Row],[1]])),LEN(Tabela1[[#This Row],[1]])-LEN(SUBSTITUTE(Tabela1[[#This Row],[1]],",",""))+1,1),"")</f>
        <v/>
      </c>
      <c r="AA85" t="str">
        <f>IF(Tabela1[[#This Row],[2]]&lt;&gt;"",IF(ISNUMBER(FIND(",",Tabela1[[#This Row],[2]])),LEN(Tabela1[[#This Row],[2]])-LEN(SUBSTITUTE(Tabela1[[#This Row],[2]],",",""))+1,1),"")</f>
        <v/>
      </c>
      <c r="AB85" t="str">
        <f>IF(Tabela1[[#This Row],[3]]&lt;&gt;"",IF(ISNUMBER(FIND(",",Tabela1[[#This Row],[3]])),LEN(Tabela1[[#This Row],[3]])-LEN(SUBSTITUTE(Tabela1[[#This Row],[3]],",",""))+1,1),"")</f>
        <v/>
      </c>
      <c r="AC85">
        <f>IF(Tabela1[[#This Row],[4]]&lt;&gt;"",IF(ISNUMBER(FIND(",",Tabela1[[#This Row],[4]])),LEN(Tabela1[[#This Row],[4]])-LEN(SUBSTITUTE(Tabela1[[#This Row],[4]],",",""))+1,1),"")</f>
        <v>1</v>
      </c>
      <c r="AD85" t="str">
        <f>IF(Tabela1[[#This Row],[5]]&lt;&gt;"",IF(ISNUMBER(FIND(",",Tabela1[[#This Row],[5]])),LEN(Tabela1[[#This Row],[5]])-LEN(SUBSTITUTE(Tabela1[[#This Row],[5]],",",""))+1,1),"")</f>
        <v/>
      </c>
      <c r="AE85" t="str">
        <f>IF(Tabela1[[#This Row],[6]]&lt;&gt;"",IF(ISNUMBER(FIND(",",Tabela1[[#This Row],[6]])),LEN(Tabela1[[#This Row],[6]])-LEN(SUBSTITUTE(Tabela1[[#This Row],[6]],",",""))+1,1),"")</f>
        <v/>
      </c>
      <c r="AF85" t="str">
        <f>IF(Tabela1[[#This Row],[7]]&lt;&gt;"",IF(ISNUMBER(FIND(",",Tabela1[[#This Row],[7]])),LEN(Tabela1[[#This Row],[7]])-LEN(SUBSTITUTE(Tabela1[[#This Row],[7]],",",""))+1,1),"")</f>
        <v/>
      </c>
      <c r="AG85" t="str">
        <f>IF(Tabela1[[#This Row],[8]]&lt;&gt;"",IF(ISNUMBER(FIND(",",Tabela1[[#This Row],[8]])),LEN(Tabela1[[#This Row],[8]])-LEN(SUBSTITUTE(Tabela1[[#This Row],[8]],",",""))+1,1),"")</f>
        <v/>
      </c>
      <c r="AH85" t="str">
        <f>IF(Tabela1[[#This Row],[9]]&lt;&gt;"",IF(ISNUMBER(FIND(",",Tabela1[[#This Row],[9]])),LEN(Tabela1[[#This Row],[9]])-LEN(SUBSTITUTE(Tabela1[[#This Row],[9]],",",""))+1,1),"")</f>
        <v/>
      </c>
      <c r="AI85" t="str">
        <f>IF(Tabela1[[#This Row],[10]]&lt;&gt;"",IF(ISNUMBER(FIND(",",Tabela1[[#This Row],[10]])),LEN(Tabela1[[#This Row],[10]])-LEN(SUBSTITUTE(Tabela1[[#This Row],[10]],",",""))+1,1),"")</f>
        <v/>
      </c>
      <c r="AJ85" t="str">
        <f>IF(Tabela1[[#This Row],[11]]&lt;&gt;"",IF(ISNUMBER(FIND(",",Tabela1[[#This Row],[11]])),LEN(Tabela1[[#This Row],[11]])-LEN(SUBSTITUTE(Tabela1[[#This Row],[11]],",",""))+1,1),"")</f>
        <v/>
      </c>
      <c r="AK85" t="str">
        <f>IF(Tabela1[[#This Row],[12]]&lt;&gt;"",IF(ISNUMBER(FIND(",",Tabela1[[#This Row],[12]])),LEN(Tabela1[[#This Row],[12]])-LEN(SUBSTITUTE(Tabela1[[#This Row],[12]],",",""))+1,1),"")</f>
        <v/>
      </c>
      <c r="AL85" t="str">
        <f>IF(Tabela1[[#This Row],[13]]&lt;&gt;"",IF(ISNUMBER(FIND(",",Tabela1[[#This Row],[13]])),LEN(Tabela1[[#This Row],[13]])-LEN(SUBSTITUTE(Tabela1[[#This Row],[13]],",",""))+1,1),"")</f>
        <v/>
      </c>
      <c r="AM85" t="str">
        <f>IF(Tabela1[[#This Row],[14]]&lt;&gt;"",IF(ISNUMBER(FIND(",",Tabela1[[#This Row],[14]])),LEN(Tabela1[[#This Row],[14]])-LEN(SUBSTITUTE(Tabela1[[#This Row],[14]],",",""))+1,1),"")</f>
        <v/>
      </c>
      <c r="AN85" t="str">
        <f>IF(Tabela1[[#This Row],[15]]&lt;&gt;"",IF(ISNUMBER(FIND(",",Tabela1[[#This Row],[15]])),LEN(Tabela1[[#This Row],[15]])-LEN(SUBSTITUTE(Tabela1[[#This Row],[15]],",",""))+1,1),"")</f>
        <v/>
      </c>
      <c r="AO85" t="str">
        <f>IF(Tabela1[[#This Row],[16]]&lt;&gt;"",IF(ISNUMBER(FIND(",",Tabela1[[#This Row],[16]])),LEN(Tabela1[[#This Row],[16]])-LEN(SUBSTITUTE(Tabela1[[#This Row],[16]],",",""))+1,1),"")</f>
        <v/>
      </c>
      <c r="AP85" t="str">
        <f>IF(Tabela1[[#This Row],[17]]&lt;&gt;"",IF(ISNUMBER(FIND(",",Tabela1[[#This Row],[17]])),LEN(Tabela1[[#This Row],[17]])-LEN(SUBSTITUTE(Tabela1[[#This Row],[17]],",",""))+1,1),"")</f>
        <v/>
      </c>
      <c r="AQ85" t="str">
        <f>IF(Tabela1[[#This Row],[18]]&lt;&gt;"",IF(ISNUMBER(FIND(",",Tabela1[[#This Row],[18]])),LEN(Tabela1[[#This Row],[18]])-LEN(SUBSTITUTE(Tabela1[[#This Row],[18]],",",""))+1,1),"")</f>
        <v/>
      </c>
      <c r="AR85" s="13" t="str">
        <f>IF(Tabela1[[#This Row],[19_LENGTH]]&lt;&gt;"",IF(ISNUMBER(FIND(",",Tabela1[[#This Row],[19_LENGTH]])),LEN(Tabela1[[#This Row],[19_LENGTH]])-LEN(SUBSTITUTE(Tabela1[[#This Row],[19_LENGTH]],",",""))+1,1),"")</f>
        <v/>
      </c>
      <c r="AS85">
        <f>SUM(Tabela1[[#This Row],[1_]:[19_]])</f>
        <v>1</v>
      </c>
    </row>
    <row r="86" spans="1:45" x14ac:dyDescent="0.25">
      <c r="A86" s="27" t="s">
        <v>1316</v>
      </c>
      <c r="B86" s="19" t="s">
        <v>697</v>
      </c>
      <c r="C86" s="19">
        <v>204</v>
      </c>
      <c r="D86" s="19" t="s">
        <v>1315</v>
      </c>
      <c r="E86" s="20">
        <v>43448</v>
      </c>
      <c r="F86" s="19"/>
      <c r="G86" s="19"/>
      <c r="H86" s="19"/>
      <c r="I86" s="19">
        <v>159</v>
      </c>
      <c r="J86" s="19"/>
      <c r="K86" s="19"/>
      <c r="L86" s="19"/>
      <c r="M86" s="19"/>
      <c r="N86" s="19"/>
      <c r="O86" s="19"/>
      <c r="P86" s="19"/>
      <c r="Q86" s="19"/>
      <c r="R86" s="19"/>
      <c r="S86" s="19"/>
      <c r="T86" s="19"/>
      <c r="U86" s="19"/>
      <c r="V86" s="19"/>
      <c r="W86" s="19"/>
      <c r="X86" s="19"/>
      <c r="Y86" s="19"/>
      <c r="Z86" t="str">
        <f>IF(Tabela1[[#This Row],[1]]&lt;&gt;"",IF(ISNUMBER(FIND(",",Tabela1[[#This Row],[1]])),LEN(Tabela1[[#This Row],[1]])-LEN(SUBSTITUTE(Tabela1[[#This Row],[1]],",",""))+1,1),"")</f>
        <v/>
      </c>
      <c r="AA86" t="str">
        <f>IF(Tabela1[[#This Row],[2]]&lt;&gt;"",IF(ISNUMBER(FIND(",",Tabela1[[#This Row],[2]])),LEN(Tabela1[[#This Row],[2]])-LEN(SUBSTITUTE(Tabela1[[#This Row],[2]],",",""))+1,1),"")</f>
        <v/>
      </c>
      <c r="AB86" t="str">
        <f>IF(Tabela1[[#This Row],[3]]&lt;&gt;"",IF(ISNUMBER(FIND(",",Tabela1[[#This Row],[3]])),LEN(Tabela1[[#This Row],[3]])-LEN(SUBSTITUTE(Tabela1[[#This Row],[3]],",",""))+1,1),"")</f>
        <v/>
      </c>
      <c r="AC86">
        <f>IF(Tabela1[[#This Row],[4]]&lt;&gt;"",IF(ISNUMBER(FIND(",",Tabela1[[#This Row],[4]])),LEN(Tabela1[[#This Row],[4]])-LEN(SUBSTITUTE(Tabela1[[#This Row],[4]],",",""))+1,1),"")</f>
        <v>1</v>
      </c>
      <c r="AD86" t="str">
        <f>IF(Tabela1[[#This Row],[5]]&lt;&gt;"",IF(ISNUMBER(FIND(",",Tabela1[[#This Row],[5]])),LEN(Tabela1[[#This Row],[5]])-LEN(SUBSTITUTE(Tabela1[[#This Row],[5]],",",""))+1,1),"")</f>
        <v/>
      </c>
      <c r="AE86" t="str">
        <f>IF(Tabela1[[#This Row],[6]]&lt;&gt;"",IF(ISNUMBER(FIND(",",Tabela1[[#This Row],[6]])),LEN(Tabela1[[#This Row],[6]])-LEN(SUBSTITUTE(Tabela1[[#This Row],[6]],",",""))+1,1),"")</f>
        <v/>
      </c>
      <c r="AF86" t="str">
        <f>IF(Tabela1[[#This Row],[7]]&lt;&gt;"",IF(ISNUMBER(FIND(",",Tabela1[[#This Row],[7]])),LEN(Tabela1[[#This Row],[7]])-LEN(SUBSTITUTE(Tabela1[[#This Row],[7]],",",""))+1,1),"")</f>
        <v/>
      </c>
      <c r="AG86" t="str">
        <f>IF(Tabela1[[#This Row],[8]]&lt;&gt;"",IF(ISNUMBER(FIND(",",Tabela1[[#This Row],[8]])),LEN(Tabela1[[#This Row],[8]])-LEN(SUBSTITUTE(Tabela1[[#This Row],[8]],",",""))+1,1),"")</f>
        <v/>
      </c>
      <c r="AH86" t="str">
        <f>IF(Tabela1[[#This Row],[9]]&lt;&gt;"",IF(ISNUMBER(FIND(",",Tabela1[[#This Row],[9]])),LEN(Tabela1[[#This Row],[9]])-LEN(SUBSTITUTE(Tabela1[[#This Row],[9]],",",""))+1,1),"")</f>
        <v/>
      </c>
      <c r="AI86" t="str">
        <f>IF(Tabela1[[#This Row],[10]]&lt;&gt;"",IF(ISNUMBER(FIND(",",Tabela1[[#This Row],[10]])),LEN(Tabela1[[#This Row],[10]])-LEN(SUBSTITUTE(Tabela1[[#This Row],[10]],",",""))+1,1),"")</f>
        <v/>
      </c>
      <c r="AJ86" t="str">
        <f>IF(Tabela1[[#This Row],[11]]&lt;&gt;"",IF(ISNUMBER(FIND(",",Tabela1[[#This Row],[11]])),LEN(Tabela1[[#This Row],[11]])-LEN(SUBSTITUTE(Tabela1[[#This Row],[11]],",",""))+1,1),"")</f>
        <v/>
      </c>
      <c r="AK86" t="str">
        <f>IF(Tabela1[[#This Row],[12]]&lt;&gt;"",IF(ISNUMBER(FIND(",",Tabela1[[#This Row],[12]])),LEN(Tabela1[[#This Row],[12]])-LEN(SUBSTITUTE(Tabela1[[#This Row],[12]],",",""))+1,1),"")</f>
        <v/>
      </c>
      <c r="AL86" t="str">
        <f>IF(Tabela1[[#This Row],[13]]&lt;&gt;"",IF(ISNUMBER(FIND(",",Tabela1[[#This Row],[13]])),LEN(Tabela1[[#This Row],[13]])-LEN(SUBSTITUTE(Tabela1[[#This Row],[13]],",",""))+1,1),"")</f>
        <v/>
      </c>
      <c r="AM86" t="str">
        <f>IF(Tabela1[[#This Row],[14]]&lt;&gt;"",IF(ISNUMBER(FIND(",",Tabela1[[#This Row],[14]])),LEN(Tabela1[[#This Row],[14]])-LEN(SUBSTITUTE(Tabela1[[#This Row],[14]],",",""))+1,1),"")</f>
        <v/>
      </c>
      <c r="AN86" t="str">
        <f>IF(Tabela1[[#This Row],[15]]&lt;&gt;"",IF(ISNUMBER(FIND(",",Tabela1[[#This Row],[15]])),LEN(Tabela1[[#This Row],[15]])-LEN(SUBSTITUTE(Tabela1[[#This Row],[15]],",",""))+1,1),"")</f>
        <v/>
      </c>
      <c r="AO86" t="str">
        <f>IF(Tabela1[[#This Row],[16]]&lt;&gt;"",IF(ISNUMBER(FIND(",",Tabela1[[#This Row],[16]])),LEN(Tabela1[[#This Row],[16]])-LEN(SUBSTITUTE(Tabela1[[#This Row],[16]],",",""))+1,1),"")</f>
        <v/>
      </c>
      <c r="AP86" t="str">
        <f>IF(Tabela1[[#This Row],[17]]&lt;&gt;"",IF(ISNUMBER(FIND(",",Tabela1[[#This Row],[17]])),LEN(Tabela1[[#This Row],[17]])-LEN(SUBSTITUTE(Tabela1[[#This Row],[17]],",",""))+1,1),"")</f>
        <v/>
      </c>
      <c r="AQ86" t="str">
        <f>IF(Tabela1[[#This Row],[18]]&lt;&gt;"",IF(ISNUMBER(FIND(",",Tabela1[[#This Row],[18]])),LEN(Tabela1[[#This Row],[18]])-LEN(SUBSTITUTE(Tabela1[[#This Row],[18]],",",""))+1,1),"")</f>
        <v/>
      </c>
      <c r="AR86" s="13" t="str">
        <f>IF(Tabela1[[#This Row],[19_LENGTH]]&lt;&gt;"",IF(ISNUMBER(FIND(",",Tabela1[[#This Row],[19_LENGTH]])),LEN(Tabela1[[#This Row],[19_LENGTH]])-LEN(SUBSTITUTE(Tabela1[[#This Row],[19_LENGTH]],",",""))+1,1),"")</f>
        <v/>
      </c>
      <c r="AS86">
        <f>SUM(Tabela1[[#This Row],[1_]:[19_]])</f>
        <v>1</v>
      </c>
    </row>
    <row r="87" spans="1:45" x14ac:dyDescent="0.25">
      <c r="A87" s="27" t="s">
        <v>1319</v>
      </c>
      <c r="B87" s="19" t="s">
        <v>333</v>
      </c>
      <c r="C87" s="19">
        <v>212</v>
      </c>
      <c r="D87" s="19" t="s">
        <v>1298</v>
      </c>
      <c r="E87" s="20">
        <v>43450</v>
      </c>
      <c r="F87" s="19"/>
      <c r="G87" s="19"/>
      <c r="H87" s="19"/>
      <c r="I87" s="19"/>
      <c r="J87" s="19"/>
      <c r="K87" s="19">
        <v>90</v>
      </c>
      <c r="L87" s="19"/>
      <c r="M87" s="19"/>
      <c r="N87" s="19"/>
      <c r="O87" s="19"/>
      <c r="P87" s="19"/>
      <c r="Q87" s="19"/>
      <c r="R87" s="19"/>
      <c r="S87" s="19"/>
      <c r="T87" s="19"/>
      <c r="U87" s="19"/>
      <c r="V87" s="19"/>
      <c r="W87" s="19"/>
      <c r="X87" s="19"/>
      <c r="Y87" s="19"/>
      <c r="Z87" t="str">
        <f>IF(Tabela1[[#This Row],[1]]&lt;&gt;"",IF(ISNUMBER(FIND(",",Tabela1[[#This Row],[1]])),LEN(Tabela1[[#This Row],[1]])-LEN(SUBSTITUTE(Tabela1[[#This Row],[1]],",",""))+1,1),"")</f>
        <v/>
      </c>
      <c r="AA87" t="str">
        <f>IF(Tabela1[[#This Row],[2]]&lt;&gt;"",IF(ISNUMBER(FIND(",",Tabela1[[#This Row],[2]])),LEN(Tabela1[[#This Row],[2]])-LEN(SUBSTITUTE(Tabela1[[#This Row],[2]],",",""))+1,1),"")</f>
        <v/>
      </c>
      <c r="AB87" t="str">
        <f>IF(Tabela1[[#This Row],[3]]&lt;&gt;"",IF(ISNUMBER(FIND(",",Tabela1[[#This Row],[3]])),LEN(Tabela1[[#This Row],[3]])-LEN(SUBSTITUTE(Tabela1[[#This Row],[3]],",",""))+1,1),"")</f>
        <v/>
      </c>
      <c r="AC87" t="str">
        <f>IF(Tabela1[[#This Row],[4]]&lt;&gt;"",IF(ISNUMBER(FIND(",",Tabela1[[#This Row],[4]])),LEN(Tabela1[[#This Row],[4]])-LEN(SUBSTITUTE(Tabela1[[#This Row],[4]],",",""))+1,1),"")</f>
        <v/>
      </c>
      <c r="AD87" t="str">
        <f>IF(Tabela1[[#This Row],[5]]&lt;&gt;"",IF(ISNUMBER(FIND(",",Tabela1[[#This Row],[5]])),LEN(Tabela1[[#This Row],[5]])-LEN(SUBSTITUTE(Tabela1[[#This Row],[5]],",",""))+1,1),"")</f>
        <v/>
      </c>
      <c r="AE87">
        <f>IF(Tabela1[[#This Row],[6]]&lt;&gt;"",IF(ISNUMBER(FIND(",",Tabela1[[#This Row],[6]])),LEN(Tabela1[[#This Row],[6]])-LEN(SUBSTITUTE(Tabela1[[#This Row],[6]],",",""))+1,1),"")</f>
        <v>1</v>
      </c>
      <c r="AF87" t="str">
        <f>IF(Tabela1[[#This Row],[7]]&lt;&gt;"",IF(ISNUMBER(FIND(",",Tabela1[[#This Row],[7]])),LEN(Tabela1[[#This Row],[7]])-LEN(SUBSTITUTE(Tabela1[[#This Row],[7]],",",""))+1,1),"")</f>
        <v/>
      </c>
      <c r="AG87" t="str">
        <f>IF(Tabela1[[#This Row],[8]]&lt;&gt;"",IF(ISNUMBER(FIND(",",Tabela1[[#This Row],[8]])),LEN(Tabela1[[#This Row],[8]])-LEN(SUBSTITUTE(Tabela1[[#This Row],[8]],",",""))+1,1),"")</f>
        <v/>
      </c>
      <c r="AH87" t="str">
        <f>IF(Tabela1[[#This Row],[9]]&lt;&gt;"",IF(ISNUMBER(FIND(",",Tabela1[[#This Row],[9]])),LEN(Tabela1[[#This Row],[9]])-LEN(SUBSTITUTE(Tabela1[[#This Row],[9]],",",""))+1,1),"")</f>
        <v/>
      </c>
      <c r="AI87" t="str">
        <f>IF(Tabela1[[#This Row],[10]]&lt;&gt;"",IF(ISNUMBER(FIND(",",Tabela1[[#This Row],[10]])),LEN(Tabela1[[#This Row],[10]])-LEN(SUBSTITUTE(Tabela1[[#This Row],[10]],",",""))+1,1),"")</f>
        <v/>
      </c>
      <c r="AJ87" t="str">
        <f>IF(Tabela1[[#This Row],[11]]&lt;&gt;"",IF(ISNUMBER(FIND(",",Tabela1[[#This Row],[11]])),LEN(Tabela1[[#This Row],[11]])-LEN(SUBSTITUTE(Tabela1[[#This Row],[11]],",",""))+1,1),"")</f>
        <v/>
      </c>
      <c r="AK87" t="str">
        <f>IF(Tabela1[[#This Row],[12]]&lt;&gt;"",IF(ISNUMBER(FIND(",",Tabela1[[#This Row],[12]])),LEN(Tabela1[[#This Row],[12]])-LEN(SUBSTITUTE(Tabela1[[#This Row],[12]],",",""))+1,1),"")</f>
        <v/>
      </c>
      <c r="AL87" t="str">
        <f>IF(Tabela1[[#This Row],[13]]&lt;&gt;"",IF(ISNUMBER(FIND(",",Tabela1[[#This Row],[13]])),LEN(Tabela1[[#This Row],[13]])-LEN(SUBSTITUTE(Tabela1[[#This Row],[13]],",",""))+1,1),"")</f>
        <v/>
      </c>
      <c r="AM87" t="str">
        <f>IF(Tabela1[[#This Row],[14]]&lt;&gt;"",IF(ISNUMBER(FIND(",",Tabela1[[#This Row],[14]])),LEN(Tabela1[[#This Row],[14]])-LEN(SUBSTITUTE(Tabela1[[#This Row],[14]],",",""))+1,1),"")</f>
        <v/>
      </c>
      <c r="AN87" t="str">
        <f>IF(Tabela1[[#This Row],[15]]&lt;&gt;"",IF(ISNUMBER(FIND(",",Tabela1[[#This Row],[15]])),LEN(Tabela1[[#This Row],[15]])-LEN(SUBSTITUTE(Tabela1[[#This Row],[15]],",",""))+1,1),"")</f>
        <v/>
      </c>
      <c r="AO87" t="str">
        <f>IF(Tabela1[[#This Row],[16]]&lt;&gt;"",IF(ISNUMBER(FIND(",",Tabela1[[#This Row],[16]])),LEN(Tabela1[[#This Row],[16]])-LEN(SUBSTITUTE(Tabela1[[#This Row],[16]],",",""))+1,1),"")</f>
        <v/>
      </c>
      <c r="AP87" t="str">
        <f>IF(Tabela1[[#This Row],[17]]&lt;&gt;"",IF(ISNUMBER(FIND(",",Tabela1[[#This Row],[17]])),LEN(Tabela1[[#This Row],[17]])-LEN(SUBSTITUTE(Tabela1[[#This Row],[17]],",",""))+1,1),"")</f>
        <v/>
      </c>
      <c r="AQ87" t="str">
        <f>IF(Tabela1[[#This Row],[18]]&lt;&gt;"",IF(ISNUMBER(FIND(",",Tabela1[[#This Row],[18]])),LEN(Tabela1[[#This Row],[18]])-LEN(SUBSTITUTE(Tabela1[[#This Row],[18]],",",""))+1,1),"")</f>
        <v/>
      </c>
      <c r="AR87" s="13" t="str">
        <f>IF(Tabela1[[#This Row],[19_LENGTH]]&lt;&gt;"",IF(ISNUMBER(FIND(",",Tabela1[[#This Row],[19_LENGTH]])),LEN(Tabela1[[#This Row],[19_LENGTH]])-LEN(SUBSTITUTE(Tabela1[[#This Row],[19_LENGTH]],",",""))+1,1),"")</f>
        <v/>
      </c>
      <c r="AS87">
        <f>SUM(Tabela1[[#This Row],[1_]:[19_]])</f>
        <v>1</v>
      </c>
    </row>
    <row r="88" spans="1:45" x14ac:dyDescent="0.25">
      <c r="A88" s="27" t="s">
        <v>1319</v>
      </c>
      <c r="B88" s="19" t="s">
        <v>334</v>
      </c>
      <c r="C88" s="19">
        <v>202</v>
      </c>
      <c r="D88" s="19" t="s">
        <v>1298</v>
      </c>
      <c r="E88" s="20">
        <v>43450</v>
      </c>
      <c r="F88" s="19"/>
      <c r="G88" s="19"/>
      <c r="H88" s="19"/>
      <c r="I88" s="19">
        <v>83</v>
      </c>
      <c r="J88" s="19"/>
      <c r="K88" s="19"/>
      <c r="L88" s="19"/>
      <c r="M88" s="19"/>
      <c r="N88" s="19"/>
      <c r="O88" s="19"/>
      <c r="P88" s="19"/>
      <c r="Q88" s="19"/>
      <c r="R88" s="19"/>
      <c r="S88" s="19"/>
      <c r="T88" s="19"/>
      <c r="U88" s="19"/>
      <c r="V88" s="19"/>
      <c r="W88" s="19"/>
      <c r="X88" s="19"/>
      <c r="Y88" s="19"/>
      <c r="Z88" t="str">
        <f>IF(Tabela1[[#This Row],[1]]&lt;&gt;"",IF(ISNUMBER(FIND(",",Tabela1[[#This Row],[1]])),LEN(Tabela1[[#This Row],[1]])-LEN(SUBSTITUTE(Tabela1[[#This Row],[1]],",",""))+1,1),"")</f>
        <v/>
      </c>
      <c r="AA88" t="str">
        <f>IF(Tabela1[[#This Row],[2]]&lt;&gt;"",IF(ISNUMBER(FIND(",",Tabela1[[#This Row],[2]])),LEN(Tabela1[[#This Row],[2]])-LEN(SUBSTITUTE(Tabela1[[#This Row],[2]],",",""))+1,1),"")</f>
        <v/>
      </c>
      <c r="AB88" t="str">
        <f>IF(Tabela1[[#This Row],[3]]&lt;&gt;"",IF(ISNUMBER(FIND(",",Tabela1[[#This Row],[3]])),LEN(Tabela1[[#This Row],[3]])-LEN(SUBSTITUTE(Tabela1[[#This Row],[3]],",",""))+1,1),"")</f>
        <v/>
      </c>
      <c r="AC88">
        <f>IF(Tabela1[[#This Row],[4]]&lt;&gt;"",IF(ISNUMBER(FIND(",",Tabela1[[#This Row],[4]])),LEN(Tabela1[[#This Row],[4]])-LEN(SUBSTITUTE(Tabela1[[#This Row],[4]],",",""))+1,1),"")</f>
        <v>1</v>
      </c>
      <c r="AD88" t="str">
        <f>IF(Tabela1[[#This Row],[5]]&lt;&gt;"",IF(ISNUMBER(FIND(",",Tabela1[[#This Row],[5]])),LEN(Tabela1[[#This Row],[5]])-LEN(SUBSTITUTE(Tabela1[[#This Row],[5]],",",""))+1,1),"")</f>
        <v/>
      </c>
      <c r="AE88" t="str">
        <f>IF(Tabela1[[#This Row],[6]]&lt;&gt;"",IF(ISNUMBER(FIND(",",Tabela1[[#This Row],[6]])),LEN(Tabela1[[#This Row],[6]])-LEN(SUBSTITUTE(Tabela1[[#This Row],[6]],",",""))+1,1),"")</f>
        <v/>
      </c>
      <c r="AF88" t="str">
        <f>IF(Tabela1[[#This Row],[7]]&lt;&gt;"",IF(ISNUMBER(FIND(",",Tabela1[[#This Row],[7]])),LEN(Tabela1[[#This Row],[7]])-LEN(SUBSTITUTE(Tabela1[[#This Row],[7]],",",""))+1,1),"")</f>
        <v/>
      </c>
      <c r="AG88" t="str">
        <f>IF(Tabela1[[#This Row],[8]]&lt;&gt;"",IF(ISNUMBER(FIND(",",Tabela1[[#This Row],[8]])),LEN(Tabela1[[#This Row],[8]])-LEN(SUBSTITUTE(Tabela1[[#This Row],[8]],",",""))+1,1),"")</f>
        <v/>
      </c>
      <c r="AH88" t="str">
        <f>IF(Tabela1[[#This Row],[9]]&lt;&gt;"",IF(ISNUMBER(FIND(",",Tabela1[[#This Row],[9]])),LEN(Tabela1[[#This Row],[9]])-LEN(SUBSTITUTE(Tabela1[[#This Row],[9]],",",""))+1,1),"")</f>
        <v/>
      </c>
      <c r="AI88" t="str">
        <f>IF(Tabela1[[#This Row],[10]]&lt;&gt;"",IF(ISNUMBER(FIND(",",Tabela1[[#This Row],[10]])),LEN(Tabela1[[#This Row],[10]])-LEN(SUBSTITUTE(Tabela1[[#This Row],[10]],",",""))+1,1),"")</f>
        <v/>
      </c>
      <c r="AJ88" t="str">
        <f>IF(Tabela1[[#This Row],[11]]&lt;&gt;"",IF(ISNUMBER(FIND(",",Tabela1[[#This Row],[11]])),LEN(Tabela1[[#This Row],[11]])-LEN(SUBSTITUTE(Tabela1[[#This Row],[11]],",",""))+1,1),"")</f>
        <v/>
      </c>
      <c r="AK88" t="str">
        <f>IF(Tabela1[[#This Row],[12]]&lt;&gt;"",IF(ISNUMBER(FIND(",",Tabela1[[#This Row],[12]])),LEN(Tabela1[[#This Row],[12]])-LEN(SUBSTITUTE(Tabela1[[#This Row],[12]],",",""))+1,1),"")</f>
        <v/>
      </c>
      <c r="AL88" t="str">
        <f>IF(Tabela1[[#This Row],[13]]&lt;&gt;"",IF(ISNUMBER(FIND(",",Tabela1[[#This Row],[13]])),LEN(Tabela1[[#This Row],[13]])-LEN(SUBSTITUTE(Tabela1[[#This Row],[13]],",",""))+1,1),"")</f>
        <v/>
      </c>
      <c r="AM88" t="str">
        <f>IF(Tabela1[[#This Row],[14]]&lt;&gt;"",IF(ISNUMBER(FIND(",",Tabela1[[#This Row],[14]])),LEN(Tabela1[[#This Row],[14]])-LEN(SUBSTITUTE(Tabela1[[#This Row],[14]],",",""))+1,1),"")</f>
        <v/>
      </c>
      <c r="AN88" t="str">
        <f>IF(Tabela1[[#This Row],[15]]&lt;&gt;"",IF(ISNUMBER(FIND(",",Tabela1[[#This Row],[15]])),LEN(Tabela1[[#This Row],[15]])-LEN(SUBSTITUTE(Tabela1[[#This Row],[15]],",",""))+1,1),"")</f>
        <v/>
      </c>
      <c r="AO88" t="str">
        <f>IF(Tabela1[[#This Row],[16]]&lt;&gt;"",IF(ISNUMBER(FIND(",",Tabela1[[#This Row],[16]])),LEN(Tabela1[[#This Row],[16]])-LEN(SUBSTITUTE(Tabela1[[#This Row],[16]],",",""))+1,1),"")</f>
        <v/>
      </c>
      <c r="AP88" t="str">
        <f>IF(Tabela1[[#This Row],[17]]&lt;&gt;"",IF(ISNUMBER(FIND(",",Tabela1[[#This Row],[17]])),LEN(Tabela1[[#This Row],[17]])-LEN(SUBSTITUTE(Tabela1[[#This Row],[17]],",",""))+1,1),"")</f>
        <v/>
      </c>
      <c r="AQ88" t="str">
        <f>IF(Tabela1[[#This Row],[18]]&lt;&gt;"",IF(ISNUMBER(FIND(",",Tabela1[[#This Row],[18]])),LEN(Tabela1[[#This Row],[18]])-LEN(SUBSTITUTE(Tabela1[[#This Row],[18]],",",""))+1,1),"")</f>
        <v/>
      </c>
      <c r="AR88" s="13" t="str">
        <f>IF(Tabela1[[#This Row],[19_LENGTH]]&lt;&gt;"",IF(ISNUMBER(FIND(",",Tabela1[[#This Row],[19_LENGTH]])),LEN(Tabela1[[#This Row],[19_LENGTH]])-LEN(SUBSTITUTE(Tabela1[[#This Row],[19_LENGTH]],",",""))+1,1),"")</f>
        <v/>
      </c>
      <c r="AS88">
        <f>SUM(Tabela1[[#This Row],[1_]:[19_]])</f>
        <v>1</v>
      </c>
    </row>
    <row r="89" spans="1:45" x14ac:dyDescent="0.25">
      <c r="A89" s="27" t="s">
        <v>1319</v>
      </c>
      <c r="B89" s="19" t="s">
        <v>698</v>
      </c>
      <c r="C89" s="19">
        <v>202</v>
      </c>
      <c r="D89" s="19" t="s">
        <v>1292</v>
      </c>
      <c r="E89" s="20">
        <v>43450</v>
      </c>
      <c r="F89" s="19"/>
      <c r="G89" s="19"/>
      <c r="H89" s="19"/>
      <c r="I89" s="19"/>
      <c r="J89" s="19"/>
      <c r="K89" s="19"/>
      <c r="L89" s="19"/>
      <c r="M89" s="19"/>
      <c r="N89" s="19"/>
      <c r="O89" s="19"/>
      <c r="P89" s="19"/>
      <c r="Q89" s="19"/>
      <c r="R89" s="19"/>
      <c r="S89" s="19"/>
      <c r="T89" s="19"/>
      <c r="U89" s="19"/>
      <c r="V89" s="19"/>
      <c r="W89" s="19">
        <v>137</v>
      </c>
      <c r="X89" s="19"/>
      <c r="Y89" s="19"/>
      <c r="Z89" t="str">
        <f>IF(Tabela1[[#This Row],[1]]&lt;&gt;"",IF(ISNUMBER(FIND(",",Tabela1[[#This Row],[1]])),LEN(Tabela1[[#This Row],[1]])-LEN(SUBSTITUTE(Tabela1[[#This Row],[1]],",",""))+1,1),"")</f>
        <v/>
      </c>
      <c r="AA89" t="str">
        <f>IF(Tabela1[[#This Row],[2]]&lt;&gt;"",IF(ISNUMBER(FIND(",",Tabela1[[#This Row],[2]])),LEN(Tabela1[[#This Row],[2]])-LEN(SUBSTITUTE(Tabela1[[#This Row],[2]],",",""))+1,1),"")</f>
        <v/>
      </c>
      <c r="AB89" t="str">
        <f>IF(Tabela1[[#This Row],[3]]&lt;&gt;"",IF(ISNUMBER(FIND(",",Tabela1[[#This Row],[3]])),LEN(Tabela1[[#This Row],[3]])-LEN(SUBSTITUTE(Tabela1[[#This Row],[3]],",",""))+1,1),"")</f>
        <v/>
      </c>
      <c r="AC89" t="str">
        <f>IF(Tabela1[[#This Row],[4]]&lt;&gt;"",IF(ISNUMBER(FIND(",",Tabela1[[#This Row],[4]])),LEN(Tabela1[[#This Row],[4]])-LEN(SUBSTITUTE(Tabela1[[#This Row],[4]],",",""))+1,1),"")</f>
        <v/>
      </c>
      <c r="AD89" t="str">
        <f>IF(Tabela1[[#This Row],[5]]&lt;&gt;"",IF(ISNUMBER(FIND(",",Tabela1[[#This Row],[5]])),LEN(Tabela1[[#This Row],[5]])-LEN(SUBSTITUTE(Tabela1[[#This Row],[5]],",",""))+1,1),"")</f>
        <v/>
      </c>
      <c r="AE89" t="str">
        <f>IF(Tabela1[[#This Row],[6]]&lt;&gt;"",IF(ISNUMBER(FIND(",",Tabela1[[#This Row],[6]])),LEN(Tabela1[[#This Row],[6]])-LEN(SUBSTITUTE(Tabela1[[#This Row],[6]],",",""))+1,1),"")</f>
        <v/>
      </c>
      <c r="AF89" t="str">
        <f>IF(Tabela1[[#This Row],[7]]&lt;&gt;"",IF(ISNUMBER(FIND(",",Tabela1[[#This Row],[7]])),LEN(Tabela1[[#This Row],[7]])-LEN(SUBSTITUTE(Tabela1[[#This Row],[7]],",",""))+1,1),"")</f>
        <v/>
      </c>
      <c r="AG89" t="str">
        <f>IF(Tabela1[[#This Row],[8]]&lt;&gt;"",IF(ISNUMBER(FIND(",",Tabela1[[#This Row],[8]])),LEN(Tabela1[[#This Row],[8]])-LEN(SUBSTITUTE(Tabela1[[#This Row],[8]],",",""))+1,1),"")</f>
        <v/>
      </c>
      <c r="AH89" t="str">
        <f>IF(Tabela1[[#This Row],[9]]&lt;&gt;"",IF(ISNUMBER(FIND(",",Tabela1[[#This Row],[9]])),LEN(Tabela1[[#This Row],[9]])-LEN(SUBSTITUTE(Tabela1[[#This Row],[9]],",",""))+1,1),"")</f>
        <v/>
      </c>
      <c r="AI89" t="str">
        <f>IF(Tabela1[[#This Row],[10]]&lt;&gt;"",IF(ISNUMBER(FIND(",",Tabela1[[#This Row],[10]])),LEN(Tabela1[[#This Row],[10]])-LEN(SUBSTITUTE(Tabela1[[#This Row],[10]],",",""))+1,1),"")</f>
        <v/>
      </c>
      <c r="AJ89" t="str">
        <f>IF(Tabela1[[#This Row],[11]]&lt;&gt;"",IF(ISNUMBER(FIND(",",Tabela1[[#This Row],[11]])),LEN(Tabela1[[#This Row],[11]])-LEN(SUBSTITUTE(Tabela1[[#This Row],[11]],",",""))+1,1),"")</f>
        <v/>
      </c>
      <c r="AK89" t="str">
        <f>IF(Tabela1[[#This Row],[12]]&lt;&gt;"",IF(ISNUMBER(FIND(",",Tabela1[[#This Row],[12]])),LEN(Tabela1[[#This Row],[12]])-LEN(SUBSTITUTE(Tabela1[[#This Row],[12]],",",""))+1,1),"")</f>
        <v/>
      </c>
      <c r="AL89" t="str">
        <f>IF(Tabela1[[#This Row],[13]]&lt;&gt;"",IF(ISNUMBER(FIND(",",Tabela1[[#This Row],[13]])),LEN(Tabela1[[#This Row],[13]])-LEN(SUBSTITUTE(Tabela1[[#This Row],[13]],",",""))+1,1),"")</f>
        <v/>
      </c>
      <c r="AM89" t="str">
        <f>IF(Tabela1[[#This Row],[14]]&lt;&gt;"",IF(ISNUMBER(FIND(",",Tabela1[[#This Row],[14]])),LEN(Tabela1[[#This Row],[14]])-LEN(SUBSTITUTE(Tabela1[[#This Row],[14]],",",""))+1,1),"")</f>
        <v/>
      </c>
      <c r="AN89" t="str">
        <f>IF(Tabela1[[#This Row],[15]]&lt;&gt;"",IF(ISNUMBER(FIND(",",Tabela1[[#This Row],[15]])),LEN(Tabela1[[#This Row],[15]])-LEN(SUBSTITUTE(Tabela1[[#This Row],[15]],",",""))+1,1),"")</f>
        <v/>
      </c>
      <c r="AO89" t="str">
        <f>IF(Tabela1[[#This Row],[16]]&lt;&gt;"",IF(ISNUMBER(FIND(",",Tabela1[[#This Row],[16]])),LEN(Tabela1[[#This Row],[16]])-LEN(SUBSTITUTE(Tabela1[[#This Row],[16]],",",""))+1,1),"")</f>
        <v/>
      </c>
      <c r="AP89" t="str">
        <f>IF(Tabela1[[#This Row],[17]]&lt;&gt;"",IF(ISNUMBER(FIND(",",Tabela1[[#This Row],[17]])),LEN(Tabela1[[#This Row],[17]])-LEN(SUBSTITUTE(Tabela1[[#This Row],[17]],",",""))+1,1),"")</f>
        <v/>
      </c>
      <c r="AQ89">
        <f>IF(Tabela1[[#This Row],[18]]&lt;&gt;"",IF(ISNUMBER(FIND(",",Tabela1[[#This Row],[18]])),LEN(Tabela1[[#This Row],[18]])-LEN(SUBSTITUTE(Tabela1[[#This Row],[18]],",",""))+1,1),"")</f>
        <v>1</v>
      </c>
      <c r="AR89" s="13" t="str">
        <f>IF(Tabela1[[#This Row],[19_LENGTH]]&lt;&gt;"",IF(ISNUMBER(FIND(",",Tabela1[[#This Row],[19_LENGTH]])),LEN(Tabela1[[#This Row],[19_LENGTH]])-LEN(SUBSTITUTE(Tabela1[[#This Row],[19_LENGTH]],",",""))+1,1),"")</f>
        <v/>
      </c>
      <c r="AS89">
        <f>SUM(Tabela1[[#This Row],[1_]:[19_]])</f>
        <v>1</v>
      </c>
    </row>
    <row r="90" spans="1:45" x14ac:dyDescent="0.25">
      <c r="A90" s="27" t="s">
        <v>1319</v>
      </c>
      <c r="B90" s="19" t="s">
        <v>335</v>
      </c>
      <c r="C90" s="19">
        <v>202</v>
      </c>
      <c r="D90" s="19" t="s">
        <v>1298</v>
      </c>
      <c r="E90" s="20">
        <v>43450</v>
      </c>
      <c r="F90" s="19"/>
      <c r="G90" s="19"/>
      <c r="H90" s="19"/>
      <c r="I90" s="19">
        <v>38</v>
      </c>
      <c r="J90" s="19"/>
      <c r="K90" s="19"/>
      <c r="L90" s="19"/>
      <c r="M90" s="19"/>
      <c r="N90" s="19"/>
      <c r="O90" s="19"/>
      <c r="P90" s="19"/>
      <c r="Q90" s="19"/>
      <c r="R90" s="19"/>
      <c r="S90" s="19"/>
      <c r="T90" s="19"/>
      <c r="U90" s="19"/>
      <c r="V90" s="19"/>
      <c r="W90" s="19"/>
      <c r="X90" s="19"/>
      <c r="Y90" s="19"/>
      <c r="Z90" t="str">
        <f>IF(Tabela1[[#This Row],[1]]&lt;&gt;"",IF(ISNUMBER(FIND(",",Tabela1[[#This Row],[1]])),LEN(Tabela1[[#This Row],[1]])-LEN(SUBSTITUTE(Tabela1[[#This Row],[1]],",",""))+1,1),"")</f>
        <v/>
      </c>
      <c r="AA90" t="str">
        <f>IF(Tabela1[[#This Row],[2]]&lt;&gt;"",IF(ISNUMBER(FIND(",",Tabela1[[#This Row],[2]])),LEN(Tabela1[[#This Row],[2]])-LEN(SUBSTITUTE(Tabela1[[#This Row],[2]],",",""))+1,1),"")</f>
        <v/>
      </c>
      <c r="AB90" t="str">
        <f>IF(Tabela1[[#This Row],[3]]&lt;&gt;"",IF(ISNUMBER(FIND(",",Tabela1[[#This Row],[3]])),LEN(Tabela1[[#This Row],[3]])-LEN(SUBSTITUTE(Tabela1[[#This Row],[3]],",",""))+1,1),"")</f>
        <v/>
      </c>
      <c r="AC90">
        <f>IF(Tabela1[[#This Row],[4]]&lt;&gt;"",IF(ISNUMBER(FIND(",",Tabela1[[#This Row],[4]])),LEN(Tabela1[[#This Row],[4]])-LEN(SUBSTITUTE(Tabela1[[#This Row],[4]],",",""))+1,1),"")</f>
        <v>1</v>
      </c>
      <c r="AD90" t="str">
        <f>IF(Tabela1[[#This Row],[5]]&lt;&gt;"",IF(ISNUMBER(FIND(",",Tabela1[[#This Row],[5]])),LEN(Tabela1[[#This Row],[5]])-LEN(SUBSTITUTE(Tabela1[[#This Row],[5]],",",""))+1,1),"")</f>
        <v/>
      </c>
      <c r="AE90" t="str">
        <f>IF(Tabela1[[#This Row],[6]]&lt;&gt;"",IF(ISNUMBER(FIND(",",Tabela1[[#This Row],[6]])),LEN(Tabela1[[#This Row],[6]])-LEN(SUBSTITUTE(Tabela1[[#This Row],[6]],",",""))+1,1),"")</f>
        <v/>
      </c>
      <c r="AF90" t="str">
        <f>IF(Tabela1[[#This Row],[7]]&lt;&gt;"",IF(ISNUMBER(FIND(",",Tabela1[[#This Row],[7]])),LEN(Tabela1[[#This Row],[7]])-LEN(SUBSTITUTE(Tabela1[[#This Row],[7]],",",""))+1,1),"")</f>
        <v/>
      </c>
      <c r="AG90" t="str">
        <f>IF(Tabela1[[#This Row],[8]]&lt;&gt;"",IF(ISNUMBER(FIND(",",Tabela1[[#This Row],[8]])),LEN(Tabela1[[#This Row],[8]])-LEN(SUBSTITUTE(Tabela1[[#This Row],[8]],",",""))+1,1),"")</f>
        <v/>
      </c>
      <c r="AH90" t="str">
        <f>IF(Tabela1[[#This Row],[9]]&lt;&gt;"",IF(ISNUMBER(FIND(",",Tabela1[[#This Row],[9]])),LEN(Tabela1[[#This Row],[9]])-LEN(SUBSTITUTE(Tabela1[[#This Row],[9]],",",""))+1,1),"")</f>
        <v/>
      </c>
      <c r="AI90" t="str">
        <f>IF(Tabela1[[#This Row],[10]]&lt;&gt;"",IF(ISNUMBER(FIND(",",Tabela1[[#This Row],[10]])),LEN(Tabela1[[#This Row],[10]])-LEN(SUBSTITUTE(Tabela1[[#This Row],[10]],",",""))+1,1),"")</f>
        <v/>
      </c>
      <c r="AJ90" t="str">
        <f>IF(Tabela1[[#This Row],[11]]&lt;&gt;"",IF(ISNUMBER(FIND(",",Tabela1[[#This Row],[11]])),LEN(Tabela1[[#This Row],[11]])-LEN(SUBSTITUTE(Tabela1[[#This Row],[11]],",",""))+1,1),"")</f>
        <v/>
      </c>
      <c r="AK90" t="str">
        <f>IF(Tabela1[[#This Row],[12]]&lt;&gt;"",IF(ISNUMBER(FIND(",",Tabela1[[#This Row],[12]])),LEN(Tabela1[[#This Row],[12]])-LEN(SUBSTITUTE(Tabela1[[#This Row],[12]],",",""))+1,1),"")</f>
        <v/>
      </c>
      <c r="AL90" t="str">
        <f>IF(Tabela1[[#This Row],[13]]&lt;&gt;"",IF(ISNUMBER(FIND(",",Tabela1[[#This Row],[13]])),LEN(Tabela1[[#This Row],[13]])-LEN(SUBSTITUTE(Tabela1[[#This Row],[13]],",",""))+1,1),"")</f>
        <v/>
      </c>
      <c r="AM90" t="str">
        <f>IF(Tabela1[[#This Row],[14]]&lt;&gt;"",IF(ISNUMBER(FIND(",",Tabela1[[#This Row],[14]])),LEN(Tabela1[[#This Row],[14]])-LEN(SUBSTITUTE(Tabela1[[#This Row],[14]],",",""))+1,1),"")</f>
        <v/>
      </c>
      <c r="AN90" t="str">
        <f>IF(Tabela1[[#This Row],[15]]&lt;&gt;"",IF(ISNUMBER(FIND(",",Tabela1[[#This Row],[15]])),LEN(Tabela1[[#This Row],[15]])-LEN(SUBSTITUTE(Tabela1[[#This Row],[15]],",",""))+1,1),"")</f>
        <v/>
      </c>
      <c r="AO90" t="str">
        <f>IF(Tabela1[[#This Row],[16]]&lt;&gt;"",IF(ISNUMBER(FIND(",",Tabela1[[#This Row],[16]])),LEN(Tabela1[[#This Row],[16]])-LEN(SUBSTITUTE(Tabela1[[#This Row],[16]],",",""))+1,1),"")</f>
        <v/>
      </c>
      <c r="AP90" t="str">
        <f>IF(Tabela1[[#This Row],[17]]&lt;&gt;"",IF(ISNUMBER(FIND(",",Tabela1[[#This Row],[17]])),LEN(Tabela1[[#This Row],[17]])-LEN(SUBSTITUTE(Tabela1[[#This Row],[17]],",",""))+1,1),"")</f>
        <v/>
      </c>
      <c r="AQ90" t="str">
        <f>IF(Tabela1[[#This Row],[18]]&lt;&gt;"",IF(ISNUMBER(FIND(",",Tabela1[[#This Row],[18]])),LEN(Tabela1[[#This Row],[18]])-LEN(SUBSTITUTE(Tabela1[[#This Row],[18]],",",""))+1,1),"")</f>
        <v/>
      </c>
      <c r="AR90" s="13" t="str">
        <f>IF(Tabela1[[#This Row],[19_LENGTH]]&lt;&gt;"",IF(ISNUMBER(FIND(",",Tabela1[[#This Row],[19_LENGTH]])),LEN(Tabela1[[#This Row],[19_LENGTH]])-LEN(SUBSTITUTE(Tabela1[[#This Row],[19_LENGTH]],",",""))+1,1),"")</f>
        <v/>
      </c>
      <c r="AS90">
        <f>SUM(Tabela1[[#This Row],[1_]:[19_]])</f>
        <v>1</v>
      </c>
    </row>
    <row r="91" spans="1:45" x14ac:dyDescent="0.25">
      <c r="A91" s="27" t="s">
        <v>1319</v>
      </c>
      <c r="B91" s="19" t="s">
        <v>336</v>
      </c>
      <c r="C91" s="19">
        <v>202</v>
      </c>
      <c r="D91" s="19" t="s">
        <v>1298</v>
      </c>
      <c r="E91" s="20">
        <v>43450</v>
      </c>
      <c r="F91" s="19"/>
      <c r="G91" s="19"/>
      <c r="H91" s="19"/>
      <c r="I91" s="19"/>
      <c r="J91" s="19"/>
      <c r="K91" s="19">
        <v>141</v>
      </c>
      <c r="L91" s="19"/>
      <c r="M91" s="19"/>
      <c r="N91" s="19"/>
      <c r="O91" s="19"/>
      <c r="P91" s="19"/>
      <c r="Q91" s="19"/>
      <c r="R91" s="19"/>
      <c r="S91" s="19"/>
      <c r="T91" s="19"/>
      <c r="U91" s="19">
        <v>141</v>
      </c>
      <c r="V91" s="19"/>
      <c r="W91" s="19"/>
      <c r="X91" s="19"/>
      <c r="Y91" s="19"/>
      <c r="Z91" t="str">
        <f>IF(Tabela1[[#This Row],[1]]&lt;&gt;"",IF(ISNUMBER(FIND(",",Tabela1[[#This Row],[1]])),LEN(Tabela1[[#This Row],[1]])-LEN(SUBSTITUTE(Tabela1[[#This Row],[1]],",",""))+1,1),"")</f>
        <v/>
      </c>
      <c r="AA91" t="str">
        <f>IF(Tabela1[[#This Row],[2]]&lt;&gt;"",IF(ISNUMBER(FIND(",",Tabela1[[#This Row],[2]])),LEN(Tabela1[[#This Row],[2]])-LEN(SUBSTITUTE(Tabela1[[#This Row],[2]],",",""))+1,1),"")</f>
        <v/>
      </c>
      <c r="AB91" t="str">
        <f>IF(Tabela1[[#This Row],[3]]&lt;&gt;"",IF(ISNUMBER(FIND(",",Tabela1[[#This Row],[3]])),LEN(Tabela1[[#This Row],[3]])-LEN(SUBSTITUTE(Tabela1[[#This Row],[3]],",",""))+1,1),"")</f>
        <v/>
      </c>
      <c r="AC91" t="str">
        <f>IF(Tabela1[[#This Row],[4]]&lt;&gt;"",IF(ISNUMBER(FIND(",",Tabela1[[#This Row],[4]])),LEN(Tabela1[[#This Row],[4]])-LEN(SUBSTITUTE(Tabela1[[#This Row],[4]],",",""))+1,1),"")</f>
        <v/>
      </c>
      <c r="AD91" t="str">
        <f>IF(Tabela1[[#This Row],[5]]&lt;&gt;"",IF(ISNUMBER(FIND(",",Tabela1[[#This Row],[5]])),LEN(Tabela1[[#This Row],[5]])-LEN(SUBSTITUTE(Tabela1[[#This Row],[5]],",",""))+1,1),"")</f>
        <v/>
      </c>
      <c r="AE91">
        <f>IF(Tabela1[[#This Row],[6]]&lt;&gt;"",IF(ISNUMBER(FIND(",",Tabela1[[#This Row],[6]])),LEN(Tabela1[[#This Row],[6]])-LEN(SUBSTITUTE(Tabela1[[#This Row],[6]],",",""))+1,1),"")</f>
        <v>1</v>
      </c>
      <c r="AF91" t="str">
        <f>IF(Tabela1[[#This Row],[7]]&lt;&gt;"",IF(ISNUMBER(FIND(",",Tabela1[[#This Row],[7]])),LEN(Tabela1[[#This Row],[7]])-LEN(SUBSTITUTE(Tabela1[[#This Row],[7]],",",""))+1,1),"")</f>
        <v/>
      </c>
      <c r="AG91" t="str">
        <f>IF(Tabela1[[#This Row],[8]]&lt;&gt;"",IF(ISNUMBER(FIND(",",Tabela1[[#This Row],[8]])),LEN(Tabela1[[#This Row],[8]])-LEN(SUBSTITUTE(Tabela1[[#This Row],[8]],",",""))+1,1),"")</f>
        <v/>
      </c>
      <c r="AH91" t="str">
        <f>IF(Tabela1[[#This Row],[9]]&lt;&gt;"",IF(ISNUMBER(FIND(",",Tabela1[[#This Row],[9]])),LEN(Tabela1[[#This Row],[9]])-LEN(SUBSTITUTE(Tabela1[[#This Row],[9]],",",""))+1,1),"")</f>
        <v/>
      </c>
      <c r="AI91" t="str">
        <f>IF(Tabela1[[#This Row],[10]]&lt;&gt;"",IF(ISNUMBER(FIND(",",Tabela1[[#This Row],[10]])),LEN(Tabela1[[#This Row],[10]])-LEN(SUBSTITUTE(Tabela1[[#This Row],[10]],",",""))+1,1),"")</f>
        <v/>
      </c>
      <c r="AJ91" t="str">
        <f>IF(Tabela1[[#This Row],[11]]&lt;&gt;"",IF(ISNUMBER(FIND(",",Tabela1[[#This Row],[11]])),LEN(Tabela1[[#This Row],[11]])-LEN(SUBSTITUTE(Tabela1[[#This Row],[11]],",",""))+1,1),"")</f>
        <v/>
      </c>
      <c r="AK91" t="str">
        <f>IF(Tabela1[[#This Row],[12]]&lt;&gt;"",IF(ISNUMBER(FIND(",",Tabela1[[#This Row],[12]])),LEN(Tabela1[[#This Row],[12]])-LEN(SUBSTITUTE(Tabela1[[#This Row],[12]],",",""))+1,1),"")</f>
        <v/>
      </c>
      <c r="AL91" t="str">
        <f>IF(Tabela1[[#This Row],[13]]&lt;&gt;"",IF(ISNUMBER(FIND(",",Tabela1[[#This Row],[13]])),LEN(Tabela1[[#This Row],[13]])-LEN(SUBSTITUTE(Tabela1[[#This Row],[13]],",",""))+1,1),"")</f>
        <v/>
      </c>
      <c r="AM91" t="str">
        <f>IF(Tabela1[[#This Row],[14]]&lt;&gt;"",IF(ISNUMBER(FIND(",",Tabela1[[#This Row],[14]])),LEN(Tabela1[[#This Row],[14]])-LEN(SUBSTITUTE(Tabela1[[#This Row],[14]],",",""))+1,1),"")</f>
        <v/>
      </c>
      <c r="AN91" t="str">
        <f>IF(Tabela1[[#This Row],[15]]&lt;&gt;"",IF(ISNUMBER(FIND(",",Tabela1[[#This Row],[15]])),LEN(Tabela1[[#This Row],[15]])-LEN(SUBSTITUTE(Tabela1[[#This Row],[15]],",",""))+1,1),"")</f>
        <v/>
      </c>
      <c r="AO91">
        <f>IF(Tabela1[[#This Row],[16]]&lt;&gt;"",IF(ISNUMBER(FIND(",",Tabela1[[#This Row],[16]])),LEN(Tabela1[[#This Row],[16]])-LEN(SUBSTITUTE(Tabela1[[#This Row],[16]],",",""))+1,1),"")</f>
        <v>1</v>
      </c>
      <c r="AP91" t="str">
        <f>IF(Tabela1[[#This Row],[17]]&lt;&gt;"",IF(ISNUMBER(FIND(",",Tabela1[[#This Row],[17]])),LEN(Tabela1[[#This Row],[17]])-LEN(SUBSTITUTE(Tabela1[[#This Row],[17]],",",""))+1,1),"")</f>
        <v/>
      </c>
      <c r="AQ91" t="str">
        <f>IF(Tabela1[[#This Row],[18]]&lt;&gt;"",IF(ISNUMBER(FIND(",",Tabela1[[#This Row],[18]])),LEN(Tabela1[[#This Row],[18]])-LEN(SUBSTITUTE(Tabela1[[#This Row],[18]],",",""))+1,1),"")</f>
        <v/>
      </c>
      <c r="AR91" s="13" t="str">
        <f>IF(Tabela1[[#This Row],[19_LENGTH]]&lt;&gt;"",IF(ISNUMBER(FIND(",",Tabela1[[#This Row],[19_LENGTH]])),LEN(Tabela1[[#This Row],[19_LENGTH]])-LEN(SUBSTITUTE(Tabela1[[#This Row],[19_LENGTH]],",",""))+1,1),"")</f>
        <v/>
      </c>
      <c r="AS91">
        <f>SUM(Tabela1[[#This Row],[1_]:[19_]])</f>
        <v>2</v>
      </c>
    </row>
    <row r="92" spans="1:45" x14ac:dyDescent="0.25">
      <c r="A92" s="27" t="s">
        <v>1319</v>
      </c>
      <c r="B92" s="19" t="s">
        <v>337</v>
      </c>
      <c r="C92" s="19">
        <v>202</v>
      </c>
      <c r="D92" s="19" t="s">
        <v>1299</v>
      </c>
      <c r="E92" s="20">
        <v>43448</v>
      </c>
      <c r="F92" s="19"/>
      <c r="G92" s="19"/>
      <c r="H92" s="19" t="s">
        <v>34</v>
      </c>
      <c r="I92" s="19">
        <v>47</v>
      </c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9"/>
      <c r="U92" s="19">
        <v>8</v>
      </c>
      <c r="V92" s="19"/>
      <c r="W92" s="19"/>
      <c r="X92" s="19"/>
      <c r="Y92" s="19"/>
      <c r="Z92" t="str">
        <f>IF(Tabela1[[#This Row],[1]]&lt;&gt;"",IF(ISNUMBER(FIND(",",Tabela1[[#This Row],[1]])),LEN(Tabela1[[#This Row],[1]])-LEN(SUBSTITUTE(Tabela1[[#This Row],[1]],",",""))+1,1),"")</f>
        <v/>
      </c>
      <c r="AA92" t="str">
        <f>IF(Tabela1[[#This Row],[2]]&lt;&gt;"",IF(ISNUMBER(FIND(",",Tabela1[[#This Row],[2]])),LEN(Tabela1[[#This Row],[2]])-LEN(SUBSTITUTE(Tabela1[[#This Row],[2]],",",""))+1,1),"")</f>
        <v/>
      </c>
      <c r="AB92">
        <f>IF(Tabela1[[#This Row],[3]]&lt;&gt;"",IF(ISNUMBER(FIND(",",Tabela1[[#This Row],[3]])),LEN(Tabela1[[#This Row],[3]])-LEN(SUBSTITUTE(Tabela1[[#This Row],[3]],",",""))+1,1),"")</f>
        <v>1</v>
      </c>
      <c r="AC92">
        <f>IF(Tabela1[[#This Row],[4]]&lt;&gt;"",IF(ISNUMBER(FIND(",",Tabela1[[#This Row],[4]])),LEN(Tabela1[[#This Row],[4]])-LEN(SUBSTITUTE(Tabela1[[#This Row],[4]],",",""))+1,1),"")</f>
        <v>1</v>
      </c>
      <c r="AD92" t="str">
        <f>IF(Tabela1[[#This Row],[5]]&lt;&gt;"",IF(ISNUMBER(FIND(",",Tabela1[[#This Row],[5]])),LEN(Tabela1[[#This Row],[5]])-LEN(SUBSTITUTE(Tabela1[[#This Row],[5]],",",""))+1,1),"")</f>
        <v/>
      </c>
      <c r="AE92" t="str">
        <f>IF(Tabela1[[#This Row],[6]]&lt;&gt;"",IF(ISNUMBER(FIND(",",Tabela1[[#This Row],[6]])),LEN(Tabela1[[#This Row],[6]])-LEN(SUBSTITUTE(Tabela1[[#This Row],[6]],",",""))+1,1),"")</f>
        <v/>
      </c>
      <c r="AF92" t="str">
        <f>IF(Tabela1[[#This Row],[7]]&lt;&gt;"",IF(ISNUMBER(FIND(",",Tabela1[[#This Row],[7]])),LEN(Tabela1[[#This Row],[7]])-LEN(SUBSTITUTE(Tabela1[[#This Row],[7]],",",""))+1,1),"")</f>
        <v/>
      </c>
      <c r="AG92" t="str">
        <f>IF(Tabela1[[#This Row],[8]]&lt;&gt;"",IF(ISNUMBER(FIND(",",Tabela1[[#This Row],[8]])),LEN(Tabela1[[#This Row],[8]])-LEN(SUBSTITUTE(Tabela1[[#This Row],[8]],",",""))+1,1),"")</f>
        <v/>
      </c>
      <c r="AH92" t="str">
        <f>IF(Tabela1[[#This Row],[9]]&lt;&gt;"",IF(ISNUMBER(FIND(",",Tabela1[[#This Row],[9]])),LEN(Tabela1[[#This Row],[9]])-LEN(SUBSTITUTE(Tabela1[[#This Row],[9]],",",""))+1,1),"")</f>
        <v/>
      </c>
      <c r="AI92" t="str">
        <f>IF(Tabela1[[#This Row],[10]]&lt;&gt;"",IF(ISNUMBER(FIND(",",Tabela1[[#This Row],[10]])),LEN(Tabela1[[#This Row],[10]])-LEN(SUBSTITUTE(Tabela1[[#This Row],[10]],",",""))+1,1),"")</f>
        <v/>
      </c>
      <c r="AJ92" t="str">
        <f>IF(Tabela1[[#This Row],[11]]&lt;&gt;"",IF(ISNUMBER(FIND(",",Tabela1[[#This Row],[11]])),LEN(Tabela1[[#This Row],[11]])-LEN(SUBSTITUTE(Tabela1[[#This Row],[11]],",",""))+1,1),"")</f>
        <v/>
      </c>
      <c r="AK92" t="str">
        <f>IF(Tabela1[[#This Row],[12]]&lt;&gt;"",IF(ISNUMBER(FIND(",",Tabela1[[#This Row],[12]])),LEN(Tabela1[[#This Row],[12]])-LEN(SUBSTITUTE(Tabela1[[#This Row],[12]],",",""))+1,1),"")</f>
        <v/>
      </c>
      <c r="AL92" t="str">
        <f>IF(Tabela1[[#This Row],[13]]&lt;&gt;"",IF(ISNUMBER(FIND(",",Tabela1[[#This Row],[13]])),LEN(Tabela1[[#This Row],[13]])-LEN(SUBSTITUTE(Tabela1[[#This Row],[13]],",",""))+1,1),"")</f>
        <v/>
      </c>
      <c r="AM92" t="str">
        <f>IF(Tabela1[[#This Row],[14]]&lt;&gt;"",IF(ISNUMBER(FIND(",",Tabela1[[#This Row],[14]])),LEN(Tabela1[[#This Row],[14]])-LEN(SUBSTITUTE(Tabela1[[#This Row],[14]],",",""))+1,1),"")</f>
        <v/>
      </c>
      <c r="AN92" t="str">
        <f>IF(Tabela1[[#This Row],[15]]&lt;&gt;"",IF(ISNUMBER(FIND(",",Tabela1[[#This Row],[15]])),LEN(Tabela1[[#This Row],[15]])-LEN(SUBSTITUTE(Tabela1[[#This Row],[15]],",",""))+1,1),"")</f>
        <v/>
      </c>
      <c r="AO92">
        <f>IF(Tabela1[[#This Row],[16]]&lt;&gt;"",IF(ISNUMBER(FIND(",",Tabela1[[#This Row],[16]])),LEN(Tabela1[[#This Row],[16]])-LEN(SUBSTITUTE(Tabela1[[#This Row],[16]],",",""))+1,1),"")</f>
        <v>1</v>
      </c>
      <c r="AP92" t="str">
        <f>IF(Tabela1[[#This Row],[17]]&lt;&gt;"",IF(ISNUMBER(FIND(",",Tabela1[[#This Row],[17]])),LEN(Tabela1[[#This Row],[17]])-LEN(SUBSTITUTE(Tabela1[[#This Row],[17]],",",""))+1,1),"")</f>
        <v/>
      </c>
      <c r="AQ92" t="str">
        <f>IF(Tabela1[[#This Row],[18]]&lt;&gt;"",IF(ISNUMBER(FIND(",",Tabela1[[#This Row],[18]])),LEN(Tabela1[[#This Row],[18]])-LEN(SUBSTITUTE(Tabela1[[#This Row],[18]],",",""))+1,1),"")</f>
        <v/>
      </c>
      <c r="AR92" s="13" t="str">
        <f>IF(Tabela1[[#This Row],[19_LENGTH]]&lt;&gt;"",IF(ISNUMBER(FIND(",",Tabela1[[#This Row],[19_LENGTH]])),LEN(Tabela1[[#This Row],[19_LENGTH]])-LEN(SUBSTITUTE(Tabela1[[#This Row],[19_LENGTH]],",",""))+1,1),"")</f>
        <v/>
      </c>
      <c r="AS92">
        <f>SUM(Tabela1[[#This Row],[1_]:[19_]])</f>
        <v>3</v>
      </c>
    </row>
    <row r="93" spans="1:45" x14ac:dyDescent="0.25">
      <c r="A93" s="27" t="s">
        <v>1319</v>
      </c>
      <c r="B93" s="19" t="s">
        <v>338</v>
      </c>
      <c r="C93" s="19">
        <v>222</v>
      </c>
      <c r="D93" s="19" t="s">
        <v>1296</v>
      </c>
      <c r="E93" s="20">
        <v>43448</v>
      </c>
      <c r="F93" s="19"/>
      <c r="G93" s="19"/>
      <c r="H93" s="19"/>
      <c r="I93" s="19">
        <v>195</v>
      </c>
      <c r="J93" s="19"/>
      <c r="K93" s="19"/>
      <c r="L93" s="19"/>
      <c r="M93" s="19"/>
      <c r="N93" s="19"/>
      <c r="O93" s="19"/>
      <c r="P93" s="19"/>
      <c r="Q93" s="19"/>
      <c r="R93" s="19"/>
      <c r="S93" s="19"/>
      <c r="T93" s="19"/>
      <c r="U93" s="19"/>
      <c r="V93" s="19"/>
      <c r="W93" s="19"/>
      <c r="X93" s="19"/>
      <c r="Y93" s="19"/>
      <c r="Z93" t="str">
        <f>IF(Tabela1[[#This Row],[1]]&lt;&gt;"",IF(ISNUMBER(FIND(",",Tabela1[[#This Row],[1]])),LEN(Tabela1[[#This Row],[1]])-LEN(SUBSTITUTE(Tabela1[[#This Row],[1]],",",""))+1,1),"")</f>
        <v/>
      </c>
      <c r="AA93" t="str">
        <f>IF(Tabela1[[#This Row],[2]]&lt;&gt;"",IF(ISNUMBER(FIND(",",Tabela1[[#This Row],[2]])),LEN(Tabela1[[#This Row],[2]])-LEN(SUBSTITUTE(Tabela1[[#This Row],[2]],",",""))+1,1),"")</f>
        <v/>
      </c>
      <c r="AB93" t="str">
        <f>IF(Tabela1[[#This Row],[3]]&lt;&gt;"",IF(ISNUMBER(FIND(",",Tabela1[[#This Row],[3]])),LEN(Tabela1[[#This Row],[3]])-LEN(SUBSTITUTE(Tabela1[[#This Row],[3]],",",""))+1,1),"")</f>
        <v/>
      </c>
      <c r="AC93">
        <f>IF(Tabela1[[#This Row],[4]]&lt;&gt;"",IF(ISNUMBER(FIND(",",Tabela1[[#This Row],[4]])),LEN(Tabela1[[#This Row],[4]])-LEN(SUBSTITUTE(Tabela1[[#This Row],[4]],",",""))+1,1),"")</f>
        <v>1</v>
      </c>
      <c r="AD93" t="str">
        <f>IF(Tabela1[[#This Row],[5]]&lt;&gt;"",IF(ISNUMBER(FIND(",",Tabela1[[#This Row],[5]])),LEN(Tabela1[[#This Row],[5]])-LEN(SUBSTITUTE(Tabela1[[#This Row],[5]],",",""))+1,1),"")</f>
        <v/>
      </c>
      <c r="AE93" t="str">
        <f>IF(Tabela1[[#This Row],[6]]&lt;&gt;"",IF(ISNUMBER(FIND(",",Tabela1[[#This Row],[6]])),LEN(Tabela1[[#This Row],[6]])-LEN(SUBSTITUTE(Tabela1[[#This Row],[6]],",",""))+1,1),"")</f>
        <v/>
      </c>
      <c r="AF93" t="str">
        <f>IF(Tabela1[[#This Row],[7]]&lt;&gt;"",IF(ISNUMBER(FIND(",",Tabela1[[#This Row],[7]])),LEN(Tabela1[[#This Row],[7]])-LEN(SUBSTITUTE(Tabela1[[#This Row],[7]],",",""))+1,1),"")</f>
        <v/>
      </c>
      <c r="AG93" t="str">
        <f>IF(Tabela1[[#This Row],[8]]&lt;&gt;"",IF(ISNUMBER(FIND(",",Tabela1[[#This Row],[8]])),LEN(Tabela1[[#This Row],[8]])-LEN(SUBSTITUTE(Tabela1[[#This Row],[8]],",",""))+1,1),"")</f>
        <v/>
      </c>
      <c r="AH93" t="str">
        <f>IF(Tabela1[[#This Row],[9]]&lt;&gt;"",IF(ISNUMBER(FIND(",",Tabela1[[#This Row],[9]])),LEN(Tabela1[[#This Row],[9]])-LEN(SUBSTITUTE(Tabela1[[#This Row],[9]],",",""))+1,1),"")</f>
        <v/>
      </c>
      <c r="AI93" t="str">
        <f>IF(Tabela1[[#This Row],[10]]&lt;&gt;"",IF(ISNUMBER(FIND(",",Tabela1[[#This Row],[10]])),LEN(Tabela1[[#This Row],[10]])-LEN(SUBSTITUTE(Tabela1[[#This Row],[10]],",",""))+1,1),"")</f>
        <v/>
      </c>
      <c r="AJ93" t="str">
        <f>IF(Tabela1[[#This Row],[11]]&lt;&gt;"",IF(ISNUMBER(FIND(",",Tabela1[[#This Row],[11]])),LEN(Tabela1[[#This Row],[11]])-LEN(SUBSTITUTE(Tabela1[[#This Row],[11]],",",""))+1,1),"")</f>
        <v/>
      </c>
      <c r="AK93" t="str">
        <f>IF(Tabela1[[#This Row],[12]]&lt;&gt;"",IF(ISNUMBER(FIND(",",Tabela1[[#This Row],[12]])),LEN(Tabela1[[#This Row],[12]])-LEN(SUBSTITUTE(Tabela1[[#This Row],[12]],",",""))+1,1),"")</f>
        <v/>
      </c>
      <c r="AL93" t="str">
        <f>IF(Tabela1[[#This Row],[13]]&lt;&gt;"",IF(ISNUMBER(FIND(",",Tabela1[[#This Row],[13]])),LEN(Tabela1[[#This Row],[13]])-LEN(SUBSTITUTE(Tabela1[[#This Row],[13]],",",""))+1,1),"")</f>
        <v/>
      </c>
      <c r="AM93" t="str">
        <f>IF(Tabela1[[#This Row],[14]]&lt;&gt;"",IF(ISNUMBER(FIND(",",Tabela1[[#This Row],[14]])),LEN(Tabela1[[#This Row],[14]])-LEN(SUBSTITUTE(Tabela1[[#This Row],[14]],",",""))+1,1),"")</f>
        <v/>
      </c>
      <c r="AN93" t="str">
        <f>IF(Tabela1[[#This Row],[15]]&lt;&gt;"",IF(ISNUMBER(FIND(",",Tabela1[[#This Row],[15]])),LEN(Tabela1[[#This Row],[15]])-LEN(SUBSTITUTE(Tabela1[[#This Row],[15]],",",""))+1,1),"")</f>
        <v/>
      </c>
      <c r="AO93" t="str">
        <f>IF(Tabela1[[#This Row],[16]]&lt;&gt;"",IF(ISNUMBER(FIND(",",Tabela1[[#This Row],[16]])),LEN(Tabela1[[#This Row],[16]])-LEN(SUBSTITUTE(Tabela1[[#This Row],[16]],",",""))+1,1),"")</f>
        <v/>
      </c>
      <c r="AP93" t="str">
        <f>IF(Tabela1[[#This Row],[17]]&lt;&gt;"",IF(ISNUMBER(FIND(",",Tabela1[[#This Row],[17]])),LEN(Tabela1[[#This Row],[17]])-LEN(SUBSTITUTE(Tabela1[[#This Row],[17]],",",""))+1,1),"")</f>
        <v/>
      </c>
      <c r="AQ93" t="str">
        <f>IF(Tabela1[[#This Row],[18]]&lt;&gt;"",IF(ISNUMBER(FIND(",",Tabela1[[#This Row],[18]])),LEN(Tabela1[[#This Row],[18]])-LEN(SUBSTITUTE(Tabela1[[#This Row],[18]],",",""))+1,1),"")</f>
        <v/>
      </c>
      <c r="AR93" s="13" t="str">
        <f>IF(Tabela1[[#This Row],[19_LENGTH]]&lt;&gt;"",IF(ISNUMBER(FIND(",",Tabela1[[#This Row],[19_LENGTH]])),LEN(Tabela1[[#This Row],[19_LENGTH]])-LEN(SUBSTITUTE(Tabela1[[#This Row],[19_LENGTH]],",",""))+1,1),"")</f>
        <v/>
      </c>
      <c r="AS93">
        <f>SUM(Tabela1[[#This Row],[1_]:[19_]])</f>
        <v>1</v>
      </c>
    </row>
    <row r="94" spans="1:45" x14ac:dyDescent="0.25">
      <c r="A94" s="27" t="s">
        <v>1319</v>
      </c>
      <c r="B94" s="19" t="s">
        <v>339</v>
      </c>
      <c r="C94" s="19">
        <v>202</v>
      </c>
      <c r="D94" s="19" t="s">
        <v>1299</v>
      </c>
      <c r="E94" s="20">
        <v>43448</v>
      </c>
      <c r="F94" s="19"/>
      <c r="G94" s="19"/>
      <c r="H94" s="19">
        <v>6</v>
      </c>
      <c r="I94" s="19"/>
      <c r="J94" s="19"/>
      <c r="K94" s="19"/>
      <c r="L94" s="19"/>
      <c r="M94" s="19"/>
      <c r="N94" s="19"/>
      <c r="O94" s="19"/>
      <c r="P94" s="19"/>
      <c r="Q94" s="19"/>
      <c r="R94" s="19"/>
      <c r="S94" s="19"/>
      <c r="T94" s="19"/>
      <c r="U94" s="19"/>
      <c r="V94" s="19"/>
      <c r="W94" s="19"/>
      <c r="X94" s="19"/>
      <c r="Y94" s="19"/>
      <c r="Z94" t="str">
        <f>IF(Tabela1[[#This Row],[1]]&lt;&gt;"",IF(ISNUMBER(FIND(",",Tabela1[[#This Row],[1]])),LEN(Tabela1[[#This Row],[1]])-LEN(SUBSTITUTE(Tabela1[[#This Row],[1]],",",""))+1,1),"")</f>
        <v/>
      </c>
      <c r="AA94" t="str">
        <f>IF(Tabela1[[#This Row],[2]]&lt;&gt;"",IF(ISNUMBER(FIND(",",Tabela1[[#This Row],[2]])),LEN(Tabela1[[#This Row],[2]])-LEN(SUBSTITUTE(Tabela1[[#This Row],[2]],",",""))+1,1),"")</f>
        <v/>
      </c>
      <c r="AB94">
        <f>IF(Tabela1[[#This Row],[3]]&lt;&gt;"",IF(ISNUMBER(FIND(",",Tabela1[[#This Row],[3]])),LEN(Tabela1[[#This Row],[3]])-LEN(SUBSTITUTE(Tabela1[[#This Row],[3]],",",""))+1,1),"")</f>
        <v>1</v>
      </c>
      <c r="AC94" t="str">
        <f>IF(Tabela1[[#This Row],[4]]&lt;&gt;"",IF(ISNUMBER(FIND(",",Tabela1[[#This Row],[4]])),LEN(Tabela1[[#This Row],[4]])-LEN(SUBSTITUTE(Tabela1[[#This Row],[4]],",",""))+1,1),"")</f>
        <v/>
      </c>
      <c r="AD94" t="str">
        <f>IF(Tabela1[[#This Row],[5]]&lt;&gt;"",IF(ISNUMBER(FIND(",",Tabela1[[#This Row],[5]])),LEN(Tabela1[[#This Row],[5]])-LEN(SUBSTITUTE(Tabela1[[#This Row],[5]],",",""))+1,1),"")</f>
        <v/>
      </c>
      <c r="AE94" t="str">
        <f>IF(Tabela1[[#This Row],[6]]&lt;&gt;"",IF(ISNUMBER(FIND(",",Tabela1[[#This Row],[6]])),LEN(Tabela1[[#This Row],[6]])-LEN(SUBSTITUTE(Tabela1[[#This Row],[6]],",",""))+1,1),"")</f>
        <v/>
      </c>
      <c r="AF94" t="str">
        <f>IF(Tabela1[[#This Row],[7]]&lt;&gt;"",IF(ISNUMBER(FIND(",",Tabela1[[#This Row],[7]])),LEN(Tabela1[[#This Row],[7]])-LEN(SUBSTITUTE(Tabela1[[#This Row],[7]],",",""))+1,1),"")</f>
        <v/>
      </c>
      <c r="AG94" t="str">
        <f>IF(Tabela1[[#This Row],[8]]&lt;&gt;"",IF(ISNUMBER(FIND(",",Tabela1[[#This Row],[8]])),LEN(Tabela1[[#This Row],[8]])-LEN(SUBSTITUTE(Tabela1[[#This Row],[8]],",",""))+1,1),"")</f>
        <v/>
      </c>
      <c r="AH94" t="str">
        <f>IF(Tabela1[[#This Row],[9]]&lt;&gt;"",IF(ISNUMBER(FIND(",",Tabela1[[#This Row],[9]])),LEN(Tabela1[[#This Row],[9]])-LEN(SUBSTITUTE(Tabela1[[#This Row],[9]],",",""))+1,1),"")</f>
        <v/>
      </c>
      <c r="AI94" t="str">
        <f>IF(Tabela1[[#This Row],[10]]&lt;&gt;"",IF(ISNUMBER(FIND(",",Tabela1[[#This Row],[10]])),LEN(Tabela1[[#This Row],[10]])-LEN(SUBSTITUTE(Tabela1[[#This Row],[10]],",",""))+1,1),"")</f>
        <v/>
      </c>
      <c r="AJ94" t="str">
        <f>IF(Tabela1[[#This Row],[11]]&lt;&gt;"",IF(ISNUMBER(FIND(",",Tabela1[[#This Row],[11]])),LEN(Tabela1[[#This Row],[11]])-LEN(SUBSTITUTE(Tabela1[[#This Row],[11]],",",""))+1,1),"")</f>
        <v/>
      </c>
      <c r="AK94" t="str">
        <f>IF(Tabela1[[#This Row],[12]]&lt;&gt;"",IF(ISNUMBER(FIND(",",Tabela1[[#This Row],[12]])),LEN(Tabela1[[#This Row],[12]])-LEN(SUBSTITUTE(Tabela1[[#This Row],[12]],",",""))+1,1),"")</f>
        <v/>
      </c>
      <c r="AL94" t="str">
        <f>IF(Tabela1[[#This Row],[13]]&lt;&gt;"",IF(ISNUMBER(FIND(",",Tabela1[[#This Row],[13]])),LEN(Tabela1[[#This Row],[13]])-LEN(SUBSTITUTE(Tabela1[[#This Row],[13]],",",""))+1,1),"")</f>
        <v/>
      </c>
      <c r="AM94" t="str">
        <f>IF(Tabela1[[#This Row],[14]]&lt;&gt;"",IF(ISNUMBER(FIND(",",Tabela1[[#This Row],[14]])),LEN(Tabela1[[#This Row],[14]])-LEN(SUBSTITUTE(Tabela1[[#This Row],[14]],",",""))+1,1),"")</f>
        <v/>
      </c>
      <c r="AN94" t="str">
        <f>IF(Tabela1[[#This Row],[15]]&lt;&gt;"",IF(ISNUMBER(FIND(",",Tabela1[[#This Row],[15]])),LEN(Tabela1[[#This Row],[15]])-LEN(SUBSTITUTE(Tabela1[[#This Row],[15]],",",""))+1,1),"")</f>
        <v/>
      </c>
      <c r="AO94" t="str">
        <f>IF(Tabela1[[#This Row],[16]]&lt;&gt;"",IF(ISNUMBER(FIND(",",Tabela1[[#This Row],[16]])),LEN(Tabela1[[#This Row],[16]])-LEN(SUBSTITUTE(Tabela1[[#This Row],[16]],",",""))+1,1),"")</f>
        <v/>
      </c>
      <c r="AP94" t="str">
        <f>IF(Tabela1[[#This Row],[17]]&lt;&gt;"",IF(ISNUMBER(FIND(",",Tabela1[[#This Row],[17]])),LEN(Tabela1[[#This Row],[17]])-LEN(SUBSTITUTE(Tabela1[[#This Row],[17]],",",""))+1,1),"")</f>
        <v/>
      </c>
      <c r="AQ94" t="str">
        <f>IF(Tabela1[[#This Row],[18]]&lt;&gt;"",IF(ISNUMBER(FIND(",",Tabela1[[#This Row],[18]])),LEN(Tabela1[[#This Row],[18]])-LEN(SUBSTITUTE(Tabela1[[#This Row],[18]],",",""))+1,1),"")</f>
        <v/>
      </c>
      <c r="AR94" s="13" t="str">
        <f>IF(Tabela1[[#This Row],[19_LENGTH]]&lt;&gt;"",IF(ISNUMBER(FIND(",",Tabela1[[#This Row],[19_LENGTH]])),LEN(Tabela1[[#This Row],[19_LENGTH]])-LEN(SUBSTITUTE(Tabela1[[#This Row],[19_LENGTH]],",",""))+1,1),"")</f>
        <v/>
      </c>
      <c r="AS94">
        <f>SUM(Tabela1[[#This Row],[1_]:[19_]])</f>
        <v>1</v>
      </c>
    </row>
    <row r="95" spans="1:45" x14ac:dyDescent="0.25">
      <c r="A95" s="27" t="s">
        <v>1319</v>
      </c>
      <c r="B95" s="19" t="s">
        <v>340</v>
      </c>
      <c r="C95" s="19">
        <v>202</v>
      </c>
      <c r="D95" s="19" t="s">
        <v>1300</v>
      </c>
      <c r="E95" s="20">
        <v>43450</v>
      </c>
      <c r="F95" s="19"/>
      <c r="G95" s="19"/>
      <c r="H95" s="19"/>
      <c r="I95" s="19">
        <v>137</v>
      </c>
      <c r="J95" s="19"/>
      <c r="K95" s="19"/>
      <c r="L95" s="19"/>
      <c r="M95" s="19"/>
      <c r="N95" s="19"/>
      <c r="O95" s="19"/>
      <c r="P95" s="19"/>
      <c r="Q95" s="19"/>
      <c r="R95" s="19"/>
      <c r="S95" s="19"/>
      <c r="T95" s="19"/>
      <c r="U95" s="19"/>
      <c r="V95" s="19"/>
      <c r="W95" s="19"/>
      <c r="X95" s="19"/>
      <c r="Y95" s="19"/>
      <c r="Z95" t="str">
        <f>IF(Tabela1[[#This Row],[1]]&lt;&gt;"",IF(ISNUMBER(FIND(",",Tabela1[[#This Row],[1]])),LEN(Tabela1[[#This Row],[1]])-LEN(SUBSTITUTE(Tabela1[[#This Row],[1]],",",""))+1,1),"")</f>
        <v/>
      </c>
      <c r="AA95" t="str">
        <f>IF(Tabela1[[#This Row],[2]]&lt;&gt;"",IF(ISNUMBER(FIND(",",Tabela1[[#This Row],[2]])),LEN(Tabela1[[#This Row],[2]])-LEN(SUBSTITUTE(Tabela1[[#This Row],[2]],",",""))+1,1),"")</f>
        <v/>
      </c>
      <c r="AB95" t="str">
        <f>IF(Tabela1[[#This Row],[3]]&lt;&gt;"",IF(ISNUMBER(FIND(",",Tabela1[[#This Row],[3]])),LEN(Tabela1[[#This Row],[3]])-LEN(SUBSTITUTE(Tabela1[[#This Row],[3]],",",""))+1,1),"")</f>
        <v/>
      </c>
      <c r="AC95">
        <f>IF(Tabela1[[#This Row],[4]]&lt;&gt;"",IF(ISNUMBER(FIND(",",Tabela1[[#This Row],[4]])),LEN(Tabela1[[#This Row],[4]])-LEN(SUBSTITUTE(Tabela1[[#This Row],[4]],",",""))+1,1),"")</f>
        <v>1</v>
      </c>
      <c r="AD95" t="str">
        <f>IF(Tabela1[[#This Row],[5]]&lt;&gt;"",IF(ISNUMBER(FIND(",",Tabela1[[#This Row],[5]])),LEN(Tabela1[[#This Row],[5]])-LEN(SUBSTITUTE(Tabela1[[#This Row],[5]],",",""))+1,1),"")</f>
        <v/>
      </c>
      <c r="AE95" t="str">
        <f>IF(Tabela1[[#This Row],[6]]&lt;&gt;"",IF(ISNUMBER(FIND(",",Tabela1[[#This Row],[6]])),LEN(Tabela1[[#This Row],[6]])-LEN(SUBSTITUTE(Tabela1[[#This Row],[6]],",",""))+1,1),"")</f>
        <v/>
      </c>
      <c r="AF95" t="str">
        <f>IF(Tabela1[[#This Row],[7]]&lt;&gt;"",IF(ISNUMBER(FIND(",",Tabela1[[#This Row],[7]])),LEN(Tabela1[[#This Row],[7]])-LEN(SUBSTITUTE(Tabela1[[#This Row],[7]],",",""))+1,1),"")</f>
        <v/>
      </c>
      <c r="AG95" t="str">
        <f>IF(Tabela1[[#This Row],[8]]&lt;&gt;"",IF(ISNUMBER(FIND(",",Tabela1[[#This Row],[8]])),LEN(Tabela1[[#This Row],[8]])-LEN(SUBSTITUTE(Tabela1[[#This Row],[8]],",",""))+1,1),"")</f>
        <v/>
      </c>
      <c r="AH95" t="str">
        <f>IF(Tabela1[[#This Row],[9]]&lt;&gt;"",IF(ISNUMBER(FIND(",",Tabela1[[#This Row],[9]])),LEN(Tabela1[[#This Row],[9]])-LEN(SUBSTITUTE(Tabela1[[#This Row],[9]],",",""))+1,1),"")</f>
        <v/>
      </c>
      <c r="AI95" t="str">
        <f>IF(Tabela1[[#This Row],[10]]&lt;&gt;"",IF(ISNUMBER(FIND(",",Tabela1[[#This Row],[10]])),LEN(Tabela1[[#This Row],[10]])-LEN(SUBSTITUTE(Tabela1[[#This Row],[10]],",",""))+1,1),"")</f>
        <v/>
      </c>
      <c r="AJ95" t="str">
        <f>IF(Tabela1[[#This Row],[11]]&lt;&gt;"",IF(ISNUMBER(FIND(",",Tabela1[[#This Row],[11]])),LEN(Tabela1[[#This Row],[11]])-LEN(SUBSTITUTE(Tabela1[[#This Row],[11]],",",""))+1,1),"")</f>
        <v/>
      </c>
      <c r="AK95" t="str">
        <f>IF(Tabela1[[#This Row],[12]]&lt;&gt;"",IF(ISNUMBER(FIND(",",Tabela1[[#This Row],[12]])),LEN(Tabela1[[#This Row],[12]])-LEN(SUBSTITUTE(Tabela1[[#This Row],[12]],",",""))+1,1),"")</f>
        <v/>
      </c>
      <c r="AL95" t="str">
        <f>IF(Tabela1[[#This Row],[13]]&lt;&gt;"",IF(ISNUMBER(FIND(",",Tabela1[[#This Row],[13]])),LEN(Tabela1[[#This Row],[13]])-LEN(SUBSTITUTE(Tabela1[[#This Row],[13]],",",""))+1,1),"")</f>
        <v/>
      </c>
      <c r="AM95" t="str">
        <f>IF(Tabela1[[#This Row],[14]]&lt;&gt;"",IF(ISNUMBER(FIND(",",Tabela1[[#This Row],[14]])),LEN(Tabela1[[#This Row],[14]])-LEN(SUBSTITUTE(Tabela1[[#This Row],[14]],",",""))+1,1),"")</f>
        <v/>
      </c>
      <c r="AN95" t="str">
        <f>IF(Tabela1[[#This Row],[15]]&lt;&gt;"",IF(ISNUMBER(FIND(",",Tabela1[[#This Row],[15]])),LEN(Tabela1[[#This Row],[15]])-LEN(SUBSTITUTE(Tabela1[[#This Row],[15]],",",""))+1,1),"")</f>
        <v/>
      </c>
      <c r="AO95" t="str">
        <f>IF(Tabela1[[#This Row],[16]]&lt;&gt;"",IF(ISNUMBER(FIND(",",Tabela1[[#This Row],[16]])),LEN(Tabela1[[#This Row],[16]])-LEN(SUBSTITUTE(Tabela1[[#This Row],[16]],",",""))+1,1),"")</f>
        <v/>
      </c>
      <c r="AP95" t="str">
        <f>IF(Tabela1[[#This Row],[17]]&lt;&gt;"",IF(ISNUMBER(FIND(",",Tabela1[[#This Row],[17]])),LEN(Tabela1[[#This Row],[17]])-LEN(SUBSTITUTE(Tabela1[[#This Row],[17]],",",""))+1,1),"")</f>
        <v/>
      </c>
      <c r="AQ95" t="str">
        <f>IF(Tabela1[[#This Row],[18]]&lt;&gt;"",IF(ISNUMBER(FIND(",",Tabela1[[#This Row],[18]])),LEN(Tabela1[[#This Row],[18]])-LEN(SUBSTITUTE(Tabela1[[#This Row],[18]],",",""))+1,1),"")</f>
        <v/>
      </c>
      <c r="AR95" s="13" t="str">
        <f>IF(Tabela1[[#This Row],[19_LENGTH]]&lt;&gt;"",IF(ISNUMBER(FIND(",",Tabela1[[#This Row],[19_LENGTH]])),LEN(Tabela1[[#This Row],[19_LENGTH]])-LEN(SUBSTITUTE(Tabela1[[#This Row],[19_LENGTH]],",",""))+1,1),"")</f>
        <v/>
      </c>
      <c r="AS95">
        <f>SUM(Tabela1[[#This Row],[1_]:[19_]])</f>
        <v>1</v>
      </c>
    </row>
    <row r="96" spans="1:45" x14ac:dyDescent="0.25">
      <c r="A96" s="27" t="s">
        <v>1319</v>
      </c>
      <c r="B96" s="19" t="s">
        <v>341</v>
      </c>
      <c r="C96" s="19">
        <v>201</v>
      </c>
      <c r="D96" s="19" t="s">
        <v>1300</v>
      </c>
      <c r="E96" s="20">
        <v>43449</v>
      </c>
      <c r="F96" s="19"/>
      <c r="G96" s="19"/>
      <c r="H96" s="19"/>
      <c r="I96" s="19">
        <v>9</v>
      </c>
      <c r="J96" s="19"/>
      <c r="K96" s="19"/>
      <c r="L96" s="19"/>
      <c r="M96" s="19"/>
      <c r="N96" s="19"/>
      <c r="O96" s="19"/>
      <c r="P96" s="19"/>
      <c r="Q96" s="19"/>
      <c r="R96" s="19"/>
      <c r="S96" s="19"/>
      <c r="T96" s="19"/>
      <c r="U96" s="19"/>
      <c r="V96" s="19"/>
      <c r="W96" s="19"/>
      <c r="X96" s="19"/>
      <c r="Y96" s="19"/>
      <c r="Z96" t="str">
        <f>IF(Tabela1[[#This Row],[1]]&lt;&gt;"",IF(ISNUMBER(FIND(",",Tabela1[[#This Row],[1]])),LEN(Tabela1[[#This Row],[1]])-LEN(SUBSTITUTE(Tabela1[[#This Row],[1]],",",""))+1,1),"")</f>
        <v/>
      </c>
      <c r="AA96" t="str">
        <f>IF(Tabela1[[#This Row],[2]]&lt;&gt;"",IF(ISNUMBER(FIND(",",Tabela1[[#This Row],[2]])),LEN(Tabela1[[#This Row],[2]])-LEN(SUBSTITUTE(Tabela1[[#This Row],[2]],",",""))+1,1),"")</f>
        <v/>
      </c>
      <c r="AB96" t="str">
        <f>IF(Tabela1[[#This Row],[3]]&lt;&gt;"",IF(ISNUMBER(FIND(",",Tabela1[[#This Row],[3]])),LEN(Tabela1[[#This Row],[3]])-LEN(SUBSTITUTE(Tabela1[[#This Row],[3]],",",""))+1,1),"")</f>
        <v/>
      </c>
      <c r="AC96">
        <f>IF(Tabela1[[#This Row],[4]]&lt;&gt;"",IF(ISNUMBER(FIND(",",Tabela1[[#This Row],[4]])),LEN(Tabela1[[#This Row],[4]])-LEN(SUBSTITUTE(Tabela1[[#This Row],[4]],",",""))+1,1),"")</f>
        <v>1</v>
      </c>
      <c r="AD96" t="str">
        <f>IF(Tabela1[[#This Row],[5]]&lt;&gt;"",IF(ISNUMBER(FIND(",",Tabela1[[#This Row],[5]])),LEN(Tabela1[[#This Row],[5]])-LEN(SUBSTITUTE(Tabela1[[#This Row],[5]],",",""))+1,1),"")</f>
        <v/>
      </c>
      <c r="AE96" t="str">
        <f>IF(Tabela1[[#This Row],[6]]&lt;&gt;"",IF(ISNUMBER(FIND(",",Tabela1[[#This Row],[6]])),LEN(Tabela1[[#This Row],[6]])-LEN(SUBSTITUTE(Tabela1[[#This Row],[6]],",",""))+1,1),"")</f>
        <v/>
      </c>
      <c r="AF96" t="str">
        <f>IF(Tabela1[[#This Row],[7]]&lt;&gt;"",IF(ISNUMBER(FIND(",",Tabela1[[#This Row],[7]])),LEN(Tabela1[[#This Row],[7]])-LEN(SUBSTITUTE(Tabela1[[#This Row],[7]],",",""))+1,1),"")</f>
        <v/>
      </c>
      <c r="AG96" t="str">
        <f>IF(Tabela1[[#This Row],[8]]&lt;&gt;"",IF(ISNUMBER(FIND(",",Tabela1[[#This Row],[8]])),LEN(Tabela1[[#This Row],[8]])-LEN(SUBSTITUTE(Tabela1[[#This Row],[8]],",",""))+1,1),"")</f>
        <v/>
      </c>
      <c r="AH96" t="str">
        <f>IF(Tabela1[[#This Row],[9]]&lt;&gt;"",IF(ISNUMBER(FIND(",",Tabela1[[#This Row],[9]])),LEN(Tabela1[[#This Row],[9]])-LEN(SUBSTITUTE(Tabela1[[#This Row],[9]],",",""))+1,1),"")</f>
        <v/>
      </c>
      <c r="AI96" t="str">
        <f>IF(Tabela1[[#This Row],[10]]&lt;&gt;"",IF(ISNUMBER(FIND(",",Tabela1[[#This Row],[10]])),LEN(Tabela1[[#This Row],[10]])-LEN(SUBSTITUTE(Tabela1[[#This Row],[10]],",",""))+1,1),"")</f>
        <v/>
      </c>
      <c r="AJ96" t="str">
        <f>IF(Tabela1[[#This Row],[11]]&lt;&gt;"",IF(ISNUMBER(FIND(",",Tabela1[[#This Row],[11]])),LEN(Tabela1[[#This Row],[11]])-LEN(SUBSTITUTE(Tabela1[[#This Row],[11]],",",""))+1,1),"")</f>
        <v/>
      </c>
      <c r="AK96" t="str">
        <f>IF(Tabela1[[#This Row],[12]]&lt;&gt;"",IF(ISNUMBER(FIND(",",Tabela1[[#This Row],[12]])),LEN(Tabela1[[#This Row],[12]])-LEN(SUBSTITUTE(Tabela1[[#This Row],[12]],",",""))+1,1),"")</f>
        <v/>
      </c>
      <c r="AL96" t="str">
        <f>IF(Tabela1[[#This Row],[13]]&lt;&gt;"",IF(ISNUMBER(FIND(",",Tabela1[[#This Row],[13]])),LEN(Tabela1[[#This Row],[13]])-LEN(SUBSTITUTE(Tabela1[[#This Row],[13]],",",""))+1,1),"")</f>
        <v/>
      </c>
      <c r="AM96" t="str">
        <f>IF(Tabela1[[#This Row],[14]]&lt;&gt;"",IF(ISNUMBER(FIND(",",Tabela1[[#This Row],[14]])),LEN(Tabela1[[#This Row],[14]])-LEN(SUBSTITUTE(Tabela1[[#This Row],[14]],",",""))+1,1),"")</f>
        <v/>
      </c>
      <c r="AN96" t="str">
        <f>IF(Tabela1[[#This Row],[15]]&lt;&gt;"",IF(ISNUMBER(FIND(",",Tabela1[[#This Row],[15]])),LEN(Tabela1[[#This Row],[15]])-LEN(SUBSTITUTE(Tabela1[[#This Row],[15]],",",""))+1,1),"")</f>
        <v/>
      </c>
      <c r="AO96" t="str">
        <f>IF(Tabela1[[#This Row],[16]]&lt;&gt;"",IF(ISNUMBER(FIND(",",Tabela1[[#This Row],[16]])),LEN(Tabela1[[#This Row],[16]])-LEN(SUBSTITUTE(Tabela1[[#This Row],[16]],",",""))+1,1),"")</f>
        <v/>
      </c>
      <c r="AP96" t="str">
        <f>IF(Tabela1[[#This Row],[17]]&lt;&gt;"",IF(ISNUMBER(FIND(",",Tabela1[[#This Row],[17]])),LEN(Tabela1[[#This Row],[17]])-LEN(SUBSTITUTE(Tabela1[[#This Row],[17]],",",""))+1,1),"")</f>
        <v/>
      </c>
      <c r="AQ96" t="str">
        <f>IF(Tabela1[[#This Row],[18]]&lt;&gt;"",IF(ISNUMBER(FIND(",",Tabela1[[#This Row],[18]])),LEN(Tabela1[[#This Row],[18]])-LEN(SUBSTITUTE(Tabela1[[#This Row],[18]],",",""))+1,1),"")</f>
        <v/>
      </c>
      <c r="AR96" s="13" t="str">
        <f>IF(Tabela1[[#This Row],[19_LENGTH]]&lt;&gt;"",IF(ISNUMBER(FIND(",",Tabela1[[#This Row],[19_LENGTH]])),LEN(Tabela1[[#This Row],[19_LENGTH]])-LEN(SUBSTITUTE(Tabela1[[#This Row],[19_LENGTH]],",",""))+1,1),"")</f>
        <v/>
      </c>
      <c r="AS96">
        <f>SUM(Tabela1[[#This Row],[1_]:[19_]])</f>
        <v>1</v>
      </c>
    </row>
    <row r="97" spans="1:45" x14ac:dyDescent="0.25">
      <c r="A97" s="27" t="s">
        <v>1319</v>
      </c>
      <c r="B97" s="19" t="s">
        <v>342</v>
      </c>
      <c r="C97" s="19">
        <v>224</v>
      </c>
      <c r="D97" s="19" t="s">
        <v>1301</v>
      </c>
      <c r="E97" s="20">
        <v>43449</v>
      </c>
      <c r="F97" s="19"/>
      <c r="G97" s="19"/>
      <c r="H97" s="19" t="s">
        <v>35</v>
      </c>
      <c r="I97" s="19"/>
      <c r="J97" s="19"/>
      <c r="K97" s="19"/>
      <c r="L97" s="19"/>
      <c r="M97" s="19"/>
      <c r="N97" s="19"/>
      <c r="O97" s="19"/>
      <c r="P97" s="19"/>
      <c r="Q97" s="19"/>
      <c r="R97" s="19"/>
      <c r="S97" s="19"/>
      <c r="T97" s="19"/>
      <c r="U97" s="19">
        <v>114</v>
      </c>
      <c r="V97" s="19">
        <v>94</v>
      </c>
      <c r="W97" s="19"/>
      <c r="X97" s="19"/>
      <c r="Y97" s="19"/>
      <c r="Z97" t="str">
        <f>IF(Tabela1[[#This Row],[1]]&lt;&gt;"",IF(ISNUMBER(FIND(",",Tabela1[[#This Row],[1]])),LEN(Tabela1[[#This Row],[1]])-LEN(SUBSTITUTE(Tabela1[[#This Row],[1]],",",""))+1,1),"")</f>
        <v/>
      </c>
      <c r="AA97" t="str">
        <f>IF(Tabela1[[#This Row],[2]]&lt;&gt;"",IF(ISNUMBER(FIND(",",Tabela1[[#This Row],[2]])),LEN(Tabela1[[#This Row],[2]])-LEN(SUBSTITUTE(Tabela1[[#This Row],[2]],",",""))+1,1),"")</f>
        <v/>
      </c>
      <c r="AB97">
        <f>IF(Tabela1[[#This Row],[3]]&lt;&gt;"",IF(ISNUMBER(FIND(",",Tabela1[[#This Row],[3]])),LEN(Tabela1[[#This Row],[3]])-LEN(SUBSTITUTE(Tabela1[[#This Row],[3]],",",""))+1,1),"")</f>
        <v>2</v>
      </c>
      <c r="AC97" t="str">
        <f>IF(Tabela1[[#This Row],[4]]&lt;&gt;"",IF(ISNUMBER(FIND(",",Tabela1[[#This Row],[4]])),LEN(Tabela1[[#This Row],[4]])-LEN(SUBSTITUTE(Tabela1[[#This Row],[4]],",",""))+1,1),"")</f>
        <v/>
      </c>
      <c r="AD97" t="str">
        <f>IF(Tabela1[[#This Row],[5]]&lt;&gt;"",IF(ISNUMBER(FIND(",",Tabela1[[#This Row],[5]])),LEN(Tabela1[[#This Row],[5]])-LEN(SUBSTITUTE(Tabela1[[#This Row],[5]],",",""))+1,1),"")</f>
        <v/>
      </c>
      <c r="AE97" t="str">
        <f>IF(Tabela1[[#This Row],[6]]&lt;&gt;"",IF(ISNUMBER(FIND(",",Tabela1[[#This Row],[6]])),LEN(Tabela1[[#This Row],[6]])-LEN(SUBSTITUTE(Tabela1[[#This Row],[6]],",",""))+1,1),"")</f>
        <v/>
      </c>
      <c r="AF97" t="str">
        <f>IF(Tabela1[[#This Row],[7]]&lt;&gt;"",IF(ISNUMBER(FIND(",",Tabela1[[#This Row],[7]])),LEN(Tabela1[[#This Row],[7]])-LEN(SUBSTITUTE(Tabela1[[#This Row],[7]],",",""))+1,1),"")</f>
        <v/>
      </c>
      <c r="AG97" t="str">
        <f>IF(Tabela1[[#This Row],[8]]&lt;&gt;"",IF(ISNUMBER(FIND(",",Tabela1[[#This Row],[8]])),LEN(Tabela1[[#This Row],[8]])-LEN(SUBSTITUTE(Tabela1[[#This Row],[8]],",",""))+1,1),"")</f>
        <v/>
      </c>
      <c r="AH97" t="str">
        <f>IF(Tabela1[[#This Row],[9]]&lt;&gt;"",IF(ISNUMBER(FIND(",",Tabela1[[#This Row],[9]])),LEN(Tabela1[[#This Row],[9]])-LEN(SUBSTITUTE(Tabela1[[#This Row],[9]],",",""))+1,1),"")</f>
        <v/>
      </c>
      <c r="AI97" t="str">
        <f>IF(Tabela1[[#This Row],[10]]&lt;&gt;"",IF(ISNUMBER(FIND(",",Tabela1[[#This Row],[10]])),LEN(Tabela1[[#This Row],[10]])-LEN(SUBSTITUTE(Tabela1[[#This Row],[10]],",",""))+1,1),"")</f>
        <v/>
      </c>
      <c r="AJ97" t="str">
        <f>IF(Tabela1[[#This Row],[11]]&lt;&gt;"",IF(ISNUMBER(FIND(",",Tabela1[[#This Row],[11]])),LEN(Tabela1[[#This Row],[11]])-LEN(SUBSTITUTE(Tabela1[[#This Row],[11]],",",""))+1,1),"")</f>
        <v/>
      </c>
      <c r="AK97" t="str">
        <f>IF(Tabela1[[#This Row],[12]]&lt;&gt;"",IF(ISNUMBER(FIND(",",Tabela1[[#This Row],[12]])),LEN(Tabela1[[#This Row],[12]])-LEN(SUBSTITUTE(Tabela1[[#This Row],[12]],",",""))+1,1),"")</f>
        <v/>
      </c>
      <c r="AL97" t="str">
        <f>IF(Tabela1[[#This Row],[13]]&lt;&gt;"",IF(ISNUMBER(FIND(",",Tabela1[[#This Row],[13]])),LEN(Tabela1[[#This Row],[13]])-LEN(SUBSTITUTE(Tabela1[[#This Row],[13]],",",""))+1,1),"")</f>
        <v/>
      </c>
      <c r="AM97" t="str">
        <f>IF(Tabela1[[#This Row],[14]]&lt;&gt;"",IF(ISNUMBER(FIND(",",Tabela1[[#This Row],[14]])),LEN(Tabela1[[#This Row],[14]])-LEN(SUBSTITUTE(Tabela1[[#This Row],[14]],",",""))+1,1),"")</f>
        <v/>
      </c>
      <c r="AN97" t="str">
        <f>IF(Tabela1[[#This Row],[15]]&lt;&gt;"",IF(ISNUMBER(FIND(",",Tabela1[[#This Row],[15]])),LEN(Tabela1[[#This Row],[15]])-LEN(SUBSTITUTE(Tabela1[[#This Row],[15]],",",""))+1,1),"")</f>
        <v/>
      </c>
      <c r="AO97">
        <f>IF(Tabela1[[#This Row],[16]]&lt;&gt;"",IF(ISNUMBER(FIND(",",Tabela1[[#This Row],[16]])),LEN(Tabela1[[#This Row],[16]])-LEN(SUBSTITUTE(Tabela1[[#This Row],[16]],",",""))+1,1),"")</f>
        <v>1</v>
      </c>
      <c r="AP97">
        <f>IF(Tabela1[[#This Row],[17]]&lt;&gt;"",IF(ISNUMBER(FIND(",",Tabela1[[#This Row],[17]])),LEN(Tabela1[[#This Row],[17]])-LEN(SUBSTITUTE(Tabela1[[#This Row],[17]],",",""))+1,1),"")</f>
        <v>1</v>
      </c>
      <c r="AQ97" t="str">
        <f>IF(Tabela1[[#This Row],[18]]&lt;&gt;"",IF(ISNUMBER(FIND(",",Tabela1[[#This Row],[18]])),LEN(Tabela1[[#This Row],[18]])-LEN(SUBSTITUTE(Tabela1[[#This Row],[18]],",",""))+1,1),"")</f>
        <v/>
      </c>
      <c r="AR97" s="13" t="str">
        <f>IF(Tabela1[[#This Row],[19_LENGTH]]&lt;&gt;"",IF(ISNUMBER(FIND(",",Tabela1[[#This Row],[19_LENGTH]])),LEN(Tabela1[[#This Row],[19_LENGTH]])-LEN(SUBSTITUTE(Tabela1[[#This Row],[19_LENGTH]],",",""))+1,1),"")</f>
        <v/>
      </c>
      <c r="AS97">
        <f>SUM(Tabela1[[#This Row],[1_]:[19_]])</f>
        <v>4</v>
      </c>
    </row>
    <row r="98" spans="1:45" x14ac:dyDescent="0.25">
      <c r="A98" s="27" t="s">
        <v>1319</v>
      </c>
      <c r="B98" s="19" t="s">
        <v>343</v>
      </c>
      <c r="C98" s="19">
        <v>202</v>
      </c>
      <c r="D98" s="19" t="s">
        <v>1301</v>
      </c>
      <c r="E98" s="20">
        <v>43449</v>
      </c>
      <c r="F98" s="19"/>
      <c r="G98" s="19"/>
      <c r="H98" s="19">
        <v>14</v>
      </c>
      <c r="I98" s="19"/>
      <c r="J98" s="19"/>
      <c r="K98" s="19"/>
      <c r="L98" s="19"/>
      <c r="M98" s="19"/>
      <c r="N98" s="19"/>
      <c r="O98" s="19"/>
      <c r="P98" s="19"/>
      <c r="Q98" s="19"/>
      <c r="R98" s="19"/>
      <c r="S98" s="19"/>
      <c r="T98" s="19"/>
      <c r="U98" s="19"/>
      <c r="V98" s="19"/>
      <c r="W98" s="19"/>
      <c r="X98" s="19"/>
      <c r="Y98" s="19"/>
      <c r="Z98" t="str">
        <f>IF(Tabela1[[#This Row],[1]]&lt;&gt;"",IF(ISNUMBER(FIND(",",Tabela1[[#This Row],[1]])),LEN(Tabela1[[#This Row],[1]])-LEN(SUBSTITUTE(Tabela1[[#This Row],[1]],",",""))+1,1),"")</f>
        <v/>
      </c>
      <c r="AA98" t="str">
        <f>IF(Tabela1[[#This Row],[2]]&lt;&gt;"",IF(ISNUMBER(FIND(",",Tabela1[[#This Row],[2]])),LEN(Tabela1[[#This Row],[2]])-LEN(SUBSTITUTE(Tabela1[[#This Row],[2]],",",""))+1,1),"")</f>
        <v/>
      </c>
      <c r="AB98">
        <f>IF(Tabela1[[#This Row],[3]]&lt;&gt;"",IF(ISNUMBER(FIND(",",Tabela1[[#This Row],[3]])),LEN(Tabela1[[#This Row],[3]])-LEN(SUBSTITUTE(Tabela1[[#This Row],[3]],",",""))+1,1),"")</f>
        <v>1</v>
      </c>
      <c r="AC98" t="str">
        <f>IF(Tabela1[[#This Row],[4]]&lt;&gt;"",IF(ISNUMBER(FIND(",",Tabela1[[#This Row],[4]])),LEN(Tabela1[[#This Row],[4]])-LEN(SUBSTITUTE(Tabela1[[#This Row],[4]],",",""))+1,1),"")</f>
        <v/>
      </c>
      <c r="AD98" t="str">
        <f>IF(Tabela1[[#This Row],[5]]&lt;&gt;"",IF(ISNUMBER(FIND(",",Tabela1[[#This Row],[5]])),LEN(Tabela1[[#This Row],[5]])-LEN(SUBSTITUTE(Tabela1[[#This Row],[5]],",",""))+1,1),"")</f>
        <v/>
      </c>
      <c r="AE98" t="str">
        <f>IF(Tabela1[[#This Row],[6]]&lt;&gt;"",IF(ISNUMBER(FIND(",",Tabela1[[#This Row],[6]])),LEN(Tabela1[[#This Row],[6]])-LEN(SUBSTITUTE(Tabela1[[#This Row],[6]],",",""))+1,1),"")</f>
        <v/>
      </c>
      <c r="AF98" t="str">
        <f>IF(Tabela1[[#This Row],[7]]&lt;&gt;"",IF(ISNUMBER(FIND(",",Tabela1[[#This Row],[7]])),LEN(Tabela1[[#This Row],[7]])-LEN(SUBSTITUTE(Tabela1[[#This Row],[7]],",",""))+1,1),"")</f>
        <v/>
      </c>
      <c r="AG98" t="str">
        <f>IF(Tabela1[[#This Row],[8]]&lt;&gt;"",IF(ISNUMBER(FIND(",",Tabela1[[#This Row],[8]])),LEN(Tabela1[[#This Row],[8]])-LEN(SUBSTITUTE(Tabela1[[#This Row],[8]],",",""))+1,1),"")</f>
        <v/>
      </c>
      <c r="AH98" t="str">
        <f>IF(Tabela1[[#This Row],[9]]&lt;&gt;"",IF(ISNUMBER(FIND(",",Tabela1[[#This Row],[9]])),LEN(Tabela1[[#This Row],[9]])-LEN(SUBSTITUTE(Tabela1[[#This Row],[9]],",",""))+1,1),"")</f>
        <v/>
      </c>
      <c r="AI98" t="str">
        <f>IF(Tabela1[[#This Row],[10]]&lt;&gt;"",IF(ISNUMBER(FIND(",",Tabela1[[#This Row],[10]])),LEN(Tabela1[[#This Row],[10]])-LEN(SUBSTITUTE(Tabela1[[#This Row],[10]],",",""))+1,1),"")</f>
        <v/>
      </c>
      <c r="AJ98" t="str">
        <f>IF(Tabela1[[#This Row],[11]]&lt;&gt;"",IF(ISNUMBER(FIND(",",Tabela1[[#This Row],[11]])),LEN(Tabela1[[#This Row],[11]])-LEN(SUBSTITUTE(Tabela1[[#This Row],[11]],",",""))+1,1),"")</f>
        <v/>
      </c>
      <c r="AK98" t="str">
        <f>IF(Tabela1[[#This Row],[12]]&lt;&gt;"",IF(ISNUMBER(FIND(",",Tabela1[[#This Row],[12]])),LEN(Tabela1[[#This Row],[12]])-LEN(SUBSTITUTE(Tabela1[[#This Row],[12]],",",""))+1,1),"")</f>
        <v/>
      </c>
      <c r="AL98" t="str">
        <f>IF(Tabela1[[#This Row],[13]]&lt;&gt;"",IF(ISNUMBER(FIND(",",Tabela1[[#This Row],[13]])),LEN(Tabela1[[#This Row],[13]])-LEN(SUBSTITUTE(Tabela1[[#This Row],[13]],",",""))+1,1),"")</f>
        <v/>
      </c>
      <c r="AM98" t="str">
        <f>IF(Tabela1[[#This Row],[14]]&lt;&gt;"",IF(ISNUMBER(FIND(",",Tabela1[[#This Row],[14]])),LEN(Tabela1[[#This Row],[14]])-LEN(SUBSTITUTE(Tabela1[[#This Row],[14]],",",""))+1,1),"")</f>
        <v/>
      </c>
      <c r="AN98" t="str">
        <f>IF(Tabela1[[#This Row],[15]]&lt;&gt;"",IF(ISNUMBER(FIND(",",Tabela1[[#This Row],[15]])),LEN(Tabela1[[#This Row],[15]])-LEN(SUBSTITUTE(Tabela1[[#This Row],[15]],",",""))+1,1),"")</f>
        <v/>
      </c>
      <c r="AO98" t="str">
        <f>IF(Tabela1[[#This Row],[16]]&lt;&gt;"",IF(ISNUMBER(FIND(",",Tabela1[[#This Row],[16]])),LEN(Tabela1[[#This Row],[16]])-LEN(SUBSTITUTE(Tabela1[[#This Row],[16]],",",""))+1,1),"")</f>
        <v/>
      </c>
      <c r="AP98" t="str">
        <f>IF(Tabela1[[#This Row],[17]]&lt;&gt;"",IF(ISNUMBER(FIND(",",Tabela1[[#This Row],[17]])),LEN(Tabela1[[#This Row],[17]])-LEN(SUBSTITUTE(Tabela1[[#This Row],[17]],",",""))+1,1),"")</f>
        <v/>
      </c>
      <c r="AQ98" t="str">
        <f>IF(Tabela1[[#This Row],[18]]&lt;&gt;"",IF(ISNUMBER(FIND(",",Tabela1[[#This Row],[18]])),LEN(Tabela1[[#This Row],[18]])-LEN(SUBSTITUTE(Tabela1[[#This Row],[18]],",",""))+1,1),"")</f>
        <v/>
      </c>
      <c r="AR98" s="13" t="str">
        <f>IF(Tabela1[[#This Row],[19_LENGTH]]&lt;&gt;"",IF(ISNUMBER(FIND(",",Tabela1[[#This Row],[19_LENGTH]])),LEN(Tabela1[[#This Row],[19_LENGTH]])-LEN(SUBSTITUTE(Tabela1[[#This Row],[19_LENGTH]],",",""))+1,1),"")</f>
        <v/>
      </c>
      <c r="AS98">
        <f>SUM(Tabela1[[#This Row],[1_]:[19_]])</f>
        <v>1</v>
      </c>
    </row>
    <row r="99" spans="1:45" x14ac:dyDescent="0.25">
      <c r="A99" s="27" t="s">
        <v>1319</v>
      </c>
      <c r="B99" s="19" t="s">
        <v>344</v>
      </c>
      <c r="C99" s="19">
        <v>234</v>
      </c>
      <c r="D99" s="19" t="s">
        <v>1301</v>
      </c>
      <c r="E99" s="20">
        <v>43449</v>
      </c>
      <c r="F99" s="19"/>
      <c r="G99" s="19"/>
      <c r="H99" s="19"/>
      <c r="I99" s="19">
        <v>88</v>
      </c>
      <c r="J99" s="19"/>
      <c r="K99" s="19"/>
      <c r="L99" s="19"/>
      <c r="M99" s="19"/>
      <c r="N99" s="19"/>
      <c r="O99" s="19"/>
      <c r="P99" s="19"/>
      <c r="Q99" s="19"/>
      <c r="R99" s="19"/>
      <c r="S99" s="19"/>
      <c r="T99" s="19"/>
      <c r="U99" s="19">
        <v>203</v>
      </c>
      <c r="V99" s="19"/>
      <c r="W99" s="19"/>
      <c r="X99" s="19"/>
      <c r="Y99" s="19"/>
      <c r="Z99" t="str">
        <f>IF(Tabela1[[#This Row],[1]]&lt;&gt;"",IF(ISNUMBER(FIND(",",Tabela1[[#This Row],[1]])),LEN(Tabela1[[#This Row],[1]])-LEN(SUBSTITUTE(Tabela1[[#This Row],[1]],",",""))+1,1),"")</f>
        <v/>
      </c>
      <c r="AA99" t="str">
        <f>IF(Tabela1[[#This Row],[2]]&lt;&gt;"",IF(ISNUMBER(FIND(",",Tabela1[[#This Row],[2]])),LEN(Tabela1[[#This Row],[2]])-LEN(SUBSTITUTE(Tabela1[[#This Row],[2]],",",""))+1,1),"")</f>
        <v/>
      </c>
      <c r="AB99" t="str">
        <f>IF(Tabela1[[#This Row],[3]]&lt;&gt;"",IF(ISNUMBER(FIND(",",Tabela1[[#This Row],[3]])),LEN(Tabela1[[#This Row],[3]])-LEN(SUBSTITUTE(Tabela1[[#This Row],[3]],",",""))+1,1),"")</f>
        <v/>
      </c>
      <c r="AC99">
        <f>IF(Tabela1[[#This Row],[4]]&lt;&gt;"",IF(ISNUMBER(FIND(",",Tabela1[[#This Row],[4]])),LEN(Tabela1[[#This Row],[4]])-LEN(SUBSTITUTE(Tabela1[[#This Row],[4]],",",""))+1,1),"")</f>
        <v>1</v>
      </c>
      <c r="AD99" t="str">
        <f>IF(Tabela1[[#This Row],[5]]&lt;&gt;"",IF(ISNUMBER(FIND(",",Tabela1[[#This Row],[5]])),LEN(Tabela1[[#This Row],[5]])-LEN(SUBSTITUTE(Tabela1[[#This Row],[5]],",",""))+1,1),"")</f>
        <v/>
      </c>
      <c r="AE99" t="str">
        <f>IF(Tabela1[[#This Row],[6]]&lt;&gt;"",IF(ISNUMBER(FIND(",",Tabela1[[#This Row],[6]])),LEN(Tabela1[[#This Row],[6]])-LEN(SUBSTITUTE(Tabela1[[#This Row],[6]],",",""))+1,1),"")</f>
        <v/>
      </c>
      <c r="AF99" t="str">
        <f>IF(Tabela1[[#This Row],[7]]&lt;&gt;"",IF(ISNUMBER(FIND(",",Tabela1[[#This Row],[7]])),LEN(Tabela1[[#This Row],[7]])-LEN(SUBSTITUTE(Tabela1[[#This Row],[7]],",",""))+1,1),"")</f>
        <v/>
      </c>
      <c r="AG99" t="str">
        <f>IF(Tabela1[[#This Row],[8]]&lt;&gt;"",IF(ISNUMBER(FIND(",",Tabela1[[#This Row],[8]])),LEN(Tabela1[[#This Row],[8]])-LEN(SUBSTITUTE(Tabela1[[#This Row],[8]],",",""))+1,1),"")</f>
        <v/>
      </c>
      <c r="AH99" t="str">
        <f>IF(Tabela1[[#This Row],[9]]&lt;&gt;"",IF(ISNUMBER(FIND(",",Tabela1[[#This Row],[9]])),LEN(Tabela1[[#This Row],[9]])-LEN(SUBSTITUTE(Tabela1[[#This Row],[9]],",",""))+1,1),"")</f>
        <v/>
      </c>
      <c r="AI99" t="str">
        <f>IF(Tabela1[[#This Row],[10]]&lt;&gt;"",IF(ISNUMBER(FIND(",",Tabela1[[#This Row],[10]])),LEN(Tabela1[[#This Row],[10]])-LEN(SUBSTITUTE(Tabela1[[#This Row],[10]],",",""))+1,1),"")</f>
        <v/>
      </c>
      <c r="AJ99" t="str">
        <f>IF(Tabela1[[#This Row],[11]]&lt;&gt;"",IF(ISNUMBER(FIND(",",Tabela1[[#This Row],[11]])),LEN(Tabela1[[#This Row],[11]])-LEN(SUBSTITUTE(Tabela1[[#This Row],[11]],",",""))+1,1),"")</f>
        <v/>
      </c>
      <c r="AK99" t="str">
        <f>IF(Tabela1[[#This Row],[12]]&lt;&gt;"",IF(ISNUMBER(FIND(",",Tabela1[[#This Row],[12]])),LEN(Tabela1[[#This Row],[12]])-LEN(SUBSTITUTE(Tabela1[[#This Row],[12]],",",""))+1,1),"")</f>
        <v/>
      </c>
      <c r="AL99" t="str">
        <f>IF(Tabela1[[#This Row],[13]]&lt;&gt;"",IF(ISNUMBER(FIND(",",Tabela1[[#This Row],[13]])),LEN(Tabela1[[#This Row],[13]])-LEN(SUBSTITUTE(Tabela1[[#This Row],[13]],",",""))+1,1),"")</f>
        <v/>
      </c>
      <c r="AM99" t="str">
        <f>IF(Tabela1[[#This Row],[14]]&lt;&gt;"",IF(ISNUMBER(FIND(",",Tabela1[[#This Row],[14]])),LEN(Tabela1[[#This Row],[14]])-LEN(SUBSTITUTE(Tabela1[[#This Row],[14]],",",""))+1,1),"")</f>
        <v/>
      </c>
      <c r="AN99" t="str">
        <f>IF(Tabela1[[#This Row],[15]]&lt;&gt;"",IF(ISNUMBER(FIND(",",Tabela1[[#This Row],[15]])),LEN(Tabela1[[#This Row],[15]])-LEN(SUBSTITUTE(Tabela1[[#This Row],[15]],",",""))+1,1),"")</f>
        <v/>
      </c>
      <c r="AO99">
        <f>IF(Tabela1[[#This Row],[16]]&lt;&gt;"",IF(ISNUMBER(FIND(",",Tabela1[[#This Row],[16]])),LEN(Tabela1[[#This Row],[16]])-LEN(SUBSTITUTE(Tabela1[[#This Row],[16]],",",""))+1,1),"")</f>
        <v>1</v>
      </c>
      <c r="AP99" t="str">
        <f>IF(Tabela1[[#This Row],[17]]&lt;&gt;"",IF(ISNUMBER(FIND(",",Tabela1[[#This Row],[17]])),LEN(Tabela1[[#This Row],[17]])-LEN(SUBSTITUTE(Tabela1[[#This Row],[17]],",",""))+1,1),"")</f>
        <v/>
      </c>
      <c r="AQ99" t="str">
        <f>IF(Tabela1[[#This Row],[18]]&lt;&gt;"",IF(ISNUMBER(FIND(",",Tabela1[[#This Row],[18]])),LEN(Tabela1[[#This Row],[18]])-LEN(SUBSTITUTE(Tabela1[[#This Row],[18]],",",""))+1,1),"")</f>
        <v/>
      </c>
      <c r="AR99" s="13" t="str">
        <f>IF(Tabela1[[#This Row],[19_LENGTH]]&lt;&gt;"",IF(ISNUMBER(FIND(",",Tabela1[[#This Row],[19_LENGTH]])),LEN(Tabela1[[#This Row],[19_LENGTH]])-LEN(SUBSTITUTE(Tabela1[[#This Row],[19_LENGTH]],",",""))+1,1),"")</f>
        <v/>
      </c>
      <c r="AS99">
        <f>SUM(Tabela1[[#This Row],[1_]:[19_]])</f>
        <v>2</v>
      </c>
    </row>
    <row r="100" spans="1:45" x14ac:dyDescent="0.25">
      <c r="A100" s="27" t="s">
        <v>1319</v>
      </c>
      <c r="B100" s="19" t="s">
        <v>345</v>
      </c>
      <c r="C100" s="19">
        <v>202</v>
      </c>
      <c r="D100" s="19" t="s">
        <v>1301</v>
      </c>
      <c r="E100" s="20">
        <v>43449</v>
      </c>
      <c r="F100" s="19"/>
      <c r="G100" s="19"/>
      <c r="H100" s="19">
        <v>23</v>
      </c>
      <c r="I100" s="19" t="s">
        <v>36</v>
      </c>
      <c r="J100" s="19" t="s">
        <v>37</v>
      </c>
      <c r="K100" s="19"/>
      <c r="L100" s="19"/>
      <c r="M100" s="19"/>
      <c r="N100" s="19"/>
      <c r="O100" s="19"/>
      <c r="P100" s="19"/>
      <c r="Q100" s="19"/>
      <c r="R100" s="19"/>
      <c r="S100" s="19"/>
      <c r="T100" s="19"/>
      <c r="U100" s="19" t="s">
        <v>38</v>
      </c>
      <c r="V100" s="19">
        <v>116</v>
      </c>
      <c r="W100" s="19"/>
      <c r="X100" s="19"/>
      <c r="Y100" s="19"/>
      <c r="Z100" t="str">
        <f>IF(Tabela1[[#This Row],[1]]&lt;&gt;"",IF(ISNUMBER(FIND(",",Tabela1[[#This Row],[1]])),LEN(Tabela1[[#This Row],[1]])-LEN(SUBSTITUTE(Tabela1[[#This Row],[1]],",",""))+1,1),"")</f>
        <v/>
      </c>
      <c r="AA100" t="str">
        <f>IF(Tabela1[[#This Row],[2]]&lt;&gt;"",IF(ISNUMBER(FIND(",",Tabela1[[#This Row],[2]])),LEN(Tabela1[[#This Row],[2]])-LEN(SUBSTITUTE(Tabela1[[#This Row],[2]],",",""))+1,1),"")</f>
        <v/>
      </c>
      <c r="AB100">
        <f>IF(Tabela1[[#This Row],[3]]&lt;&gt;"",IF(ISNUMBER(FIND(",",Tabela1[[#This Row],[3]])),LEN(Tabela1[[#This Row],[3]])-LEN(SUBSTITUTE(Tabela1[[#This Row],[3]],",",""))+1,1),"")</f>
        <v>1</v>
      </c>
      <c r="AC100">
        <f>IF(Tabela1[[#This Row],[4]]&lt;&gt;"",IF(ISNUMBER(FIND(",",Tabela1[[#This Row],[4]])),LEN(Tabela1[[#This Row],[4]])-LEN(SUBSTITUTE(Tabela1[[#This Row],[4]],",",""))+1,1),"")</f>
        <v>5</v>
      </c>
      <c r="AD100">
        <f>IF(Tabela1[[#This Row],[5]]&lt;&gt;"",IF(ISNUMBER(FIND(",",Tabela1[[#This Row],[5]])),LEN(Tabela1[[#This Row],[5]])-LEN(SUBSTITUTE(Tabela1[[#This Row],[5]],",",""))+1,1),"")</f>
        <v>2</v>
      </c>
      <c r="AE100" t="str">
        <f>IF(Tabela1[[#This Row],[6]]&lt;&gt;"",IF(ISNUMBER(FIND(",",Tabela1[[#This Row],[6]])),LEN(Tabela1[[#This Row],[6]])-LEN(SUBSTITUTE(Tabela1[[#This Row],[6]],",",""))+1,1),"")</f>
        <v/>
      </c>
      <c r="AF100" t="str">
        <f>IF(Tabela1[[#This Row],[7]]&lt;&gt;"",IF(ISNUMBER(FIND(",",Tabela1[[#This Row],[7]])),LEN(Tabela1[[#This Row],[7]])-LEN(SUBSTITUTE(Tabela1[[#This Row],[7]],",",""))+1,1),"")</f>
        <v/>
      </c>
      <c r="AG100" t="str">
        <f>IF(Tabela1[[#This Row],[8]]&lt;&gt;"",IF(ISNUMBER(FIND(",",Tabela1[[#This Row],[8]])),LEN(Tabela1[[#This Row],[8]])-LEN(SUBSTITUTE(Tabela1[[#This Row],[8]],",",""))+1,1),"")</f>
        <v/>
      </c>
      <c r="AH100" t="str">
        <f>IF(Tabela1[[#This Row],[9]]&lt;&gt;"",IF(ISNUMBER(FIND(",",Tabela1[[#This Row],[9]])),LEN(Tabela1[[#This Row],[9]])-LEN(SUBSTITUTE(Tabela1[[#This Row],[9]],",",""))+1,1),"")</f>
        <v/>
      </c>
      <c r="AI100" t="str">
        <f>IF(Tabela1[[#This Row],[10]]&lt;&gt;"",IF(ISNUMBER(FIND(",",Tabela1[[#This Row],[10]])),LEN(Tabela1[[#This Row],[10]])-LEN(SUBSTITUTE(Tabela1[[#This Row],[10]],",",""))+1,1),"")</f>
        <v/>
      </c>
      <c r="AJ100" t="str">
        <f>IF(Tabela1[[#This Row],[11]]&lt;&gt;"",IF(ISNUMBER(FIND(",",Tabela1[[#This Row],[11]])),LEN(Tabela1[[#This Row],[11]])-LEN(SUBSTITUTE(Tabela1[[#This Row],[11]],",",""))+1,1),"")</f>
        <v/>
      </c>
      <c r="AK100" t="str">
        <f>IF(Tabela1[[#This Row],[12]]&lt;&gt;"",IF(ISNUMBER(FIND(",",Tabela1[[#This Row],[12]])),LEN(Tabela1[[#This Row],[12]])-LEN(SUBSTITUTE(Tabela1[[#This Row],[12]],",",""))+1,1),"")</f>
        <v/>
      </c>
      <c r="AL100" t="str">
        <f>IF(Tabela1[[#This Row],[13]]&lt;&gt;"",IF(ISNUMBER(FIND(",",Tabela1[[#This Row],[13]])),LEN(Tabela1[[#This Row],[13]])-LEN(SUBSTITUTE(Tabela1[[#This Row],[13]],",",""))+1,1),"")</f>
        <v/>
      </c>
      <c r="AM100" t="str">
        <f>IF(Tabela1[[#This Row],[14]]&lt;&gt;"",IF(ISNUMBER(FIND(",",Tabela1[[#This Row],[14]])),LEN(Tabela1[[#This Row],[14]])-LEN(SUBSTITUTE(Tabela1[[#This Row],[14]],",",""))+1,1),"")</f>
        <v/>
      </c>
      <c r="AN100" t="str">
        <f>IF(Tabela1[[#This Row],[15]]&lt;&gt;"",IF(ISNUMBER(FIND(",",Tabela1[[#This Row],[15]])),LEN(Tabela1[[#This Row],[15]])-LEN(SUBSTITUTE(Tabela1[[#This Row],[15]],",",""))+1,1),"")</f>
        <v/>
      </c>
      <c r="AO100">
        <f>IF(Tabela1[[#This Row],[16]]&lt;&gt;"",IF(ISNUMBER(FIND(",",Tabela1[[#This Row],[16]])),LEN(Tabela1[[#This Row],[16]])-LEN(SUBSTITUTE(Tabela1[[#This Row],[16]],",",""))+1,1),"")</f>
        <v>2</v>
      </c>
      <c r="AP100">
        <f>IF(Tabela1[[#This Row],[17]]&lt;&gt;"",IF(ISNUMBER(FIND(",",Tabela1[[#This Row],[17]])),LEN(Tabela1[[#This Row],[17]])-LEN(SUBSTITUTE(Tabela1[[#This Row],[17]],",",""))+1,1),"")</f>
        <v>1</v>
      </c>
      <c r="AQ100" t="str">
        <f>IF(Tabela1[[#This Row],[18]]&lt;&gt;"",IF(ISNUMBER(FIND(",",Tabela1[[#This Row],[18]])),LEN(Tabela1[[#This Row],[18]])-LEN(SUBSTITUTE(Tabela1[[#This Row],[18]],",",""))+1,1),"")</f>
        <v/>
      </c>
      <c r="AR100" s="13" t="str">
        <f>IF(Tabela1[[#This Row],[19_LENGTH]]&lt;&gt;"",IF(ISNUMBER(FIND(",",Tabela1[[#This Row],[19_LENGTH]])),LEN(Tabela1[[#This Row],[19_LENGTH]])-LEN(SUBSTITUTE(Tabela1[[#This Row],[19_LENGTH]],",",""))+1,1),"")</f>
        <v/>
      </c>
      <c r="AS100">
        <f>SUM(Tabela1[[#This Row],[1_]:[19_]])</f>
        <v>11</v>
      </c>
    </row>
    <row r="101" spans="1:45" x14ac:dyDescent="0.25">
      <c r="A101" s="27" t="s">
        <v>1319</v>
      </c>
      <c r="B101" s="19" t="s">
        <v>346</v>
      </c>
      <c r="C101" s="19">
        <v>202</v>
      </c>
      <c r="D101" s="19" t="s">
        <v>1301</v>
      </c>
      <c r="E101" s="20">
        <v>43449</v>
      </c>
      <c r="F101" s="19"/>
      <c r="G101" s="19"/>
      <c r="H101" s="19"/>
      <c r="I101" s="19" t="s">
        <v>39</v>
      </c>
      <c r="J101" s="19"/>
      <c r="K101" s="19"/>
      <c r="L101" s="19"/>
      <c r="M101" s="19"/>
      <c r="N101" s="19"/>
      <c r="O101" s="19"/>
      <c r="P101" s="19"/>
      <c r="Q101" s="19"/>
      <c r="R101" s="19"/>
      <c r="S101" s="19"/>
      <c r="T101" s="19"/>
      <c r="U101" s="19">
        <v>123</v>
      </c>
      <c r="V101" s="19"/>
      <c r="W101" s="19"/>
      <c r="X101" s="19"/>
      <c r="Y101" s="19"/>
      <c r="Z101" t="str">
        <f>IF(Tabela1[[#This Row],[1]]&lt;&gt;"",IF(ISNUMBER(FIND(",",Tabela1[[#This Row],[1]])),LEN(Tabela1[[#This Row],[1]])-LEN(SUBSTITUTE(Tabela1[[#This Row],[1]],",",""))+1,1),"")</f>
        <v/>
      </c>
      <c r="AA101" t="str">
        <f>IF(Tabela1[[#This Row],[2]]&lt;&gt;"",IF(ISNUMBER(FIND(",",Tabela1[[#This Row],[2]])),LEN(Tabela1[[#This Row],[2]])-LEN(SUBSTITUTE(Tabela1[[#This Row],[2]],",",""))+1,1),"")</f>
        <v/>
      </c>
      <c r="AB101" t="str">
        <f>IF(Tabela1[[#This Row],[3]]&lt;&gt;"",IF(ISNUMBER(FIND(",",Tabela1[[#This Row],[3]])),LEN(Tabela1[[#This Row],[3]])-LEN(SUBSTITUTE(Tabela1[[#This Row],[3]],",",""))+1,1),"")</f>
        <v/>
      </c>
      <c r="AC101">
        <f>IF(Tabela1[[#This Row],[4]]&lt;&gt;"",IF(ISNUMBER(FIND(",",Tabela1[[#This Row],[4]])),LEN(Tabela1[[#This Row],[4]])-LEN(SUBSTITUTE(Tabela1[[#This Row],[4]],",",""))+1,1),"")</f>
        <v>3</v>
      </c>
      <c r="AD101" t="str">
        <f>IF(Tabela1[[#This Row],[5]]&lt;&gt;"",IF(ISNUMBER(FIND(",",Tabela1[[#This Row],[5]])),LEN(Tabela1[[#This Row],[5]])-LEN(SUBSTITUTE(Tabela1[[#This Row],[5]],",",""))+1,1),"")</f>
        <v/>
      </c>
      <c r="AE101" t="str">
        <f>IF(Tabela1[[#This Row],[6]]&lt;&gt;"",IF(ISNUMBER(FIND(",",Tabela1[[#This Row],[6]])),LEN(Tabela1[[#This Row],[6]])-LEN(SUBSTITUTE(Tabela1[[#This Row],[6]],",",""))+1,1),"")</f>
        <v/>
      </c>
      <c r="AF101" t="str">
        <f>IF(Tabela1[[#This Row],[7]]&lt;&gt;"",IF(ISNUMBER(FIND(",",Tabela1[[#This Row],[7]])),LEN(Tabela1[[#This Row],[7]])-LEN(SUBSTITUTE(Tabela1[[#This Row],[7]],",",""))+1,1),"")</f>
        <v/>
      </c>
      <c r="AG101" t="str">
        <f>IF(Tabela1[[#This Row],[8]]&lt;&gt;"",IF(ISNUMBER(FIND(",",Tabela1[[#This Row],[8]])),LEN(Tabela1[[#This Row],[8]])-LEN(SUBSTITUTE(Tabela1[[#This Row],[8]],",",""))+1,1),"")</f>
        <v/>
      </c>
      <c r="AH101" t="str">
        <f>IF(Tabela1[[#This Row],[9]]&lt;&gt;"",IF(ISNUMBER(FIND(",",Tabela1[[#This Row],[9]])),LEN(Tabela1[[#This Row],[9]])-LEN(SUBSTITUTE(Tabela1[[#This Row],[9]],",",""))+1,1),"")</f>
        <v/>
      </c>
      <c r="AI101" t="str">
        <f>IF(Tabela1[[#This Row],[10]]&lt;&gt;"",IF(ISNUMBER(FIND(",",Tabela1[[#This Row],[10]])),LEN(Tabela1[[#This Row],[10]])-LEN(SUBSTITUTE(Tabela1[[#This Row],[10]],",",""))+1,1),"")</f>
        <v/>
      </c>
      <c r="AJ101" t="str">
        <f>IF(Tabela1[[#This Row],[11]]&lt;&gt;"",IF(ISNUMBER(FIND(",",Tabela1[[#This Row],[11]])),LEN(Tabela1[[#This Row],[11]])-LEN(SUBSTITUTE(Tabela1[[#This Row],[11]],",",""))+1,1),"")</f>
        <v/>
      </c>
      <c r="AK101" t="str">
        <f>IF(Tabela1[[#This Row],[12]]&lt;&gt;"",IF(ISNUMBER(FIND(",",Tabela1[[#This Row],[12]])),LEN(Tabela1[[#This Row],[12]])-LEN(SUBSTITUTE(Tabela1[[#This Row],[12]],",",""))+1,1),"")</f>
        <v/>
      </c>
      <c r="AL101" t="str">
        <f>IF(Tabela1[[#This Row],[13]]&lt;&gt;"",IF(ISNUMBER(FIND(",",Tabela1[[#This Row],[13]])),LEN(Tabela1[[#This Row],[13]])-LEN(SUBSTITUTE(Tabela1[[#This Row],[13]],",",""))+1,1),"")</f>
        <v/>
      </c>
      <c r="AM101" t="str">
        <f>IF(Tabela1[[#This Row],[14]]&lt;&gt;"",IF(ISNUMBER(FIND(",",Tabela1[[#This Row],[14]])),LEN(Tabela1[[#This Row],[14]])-LEN(SUBSTITUTE(Tabela1[[#This Row],[14]],",",""))+1,1),"")</f>
        <v/>
      </c>
      <c r="AN101" t="str">
        <f>IF(Tabela1[[#This Row],[15]]&lt;&gt;"",IF(ISNUMBER(FIND(",",Tabela1[[#This Row],[15]])),LEN(Tabela1[[#This Row],[15]])-LEN(SUBSTITUTE(Tabela1[[#This Row],[15]],",",""))+1,1),"")</f>
        <v/>
      </c>
      <c r="AO101">
        <f>IF(Tabela1[[#This Row],[16]]&lt;&gt;"",IF(ISNUMBER(FIND(",",Tabela1[[#This Row],[16]])),LEN(Tabela1[[#This Row],[16]])-LEN(SUBSTITUTE(Tabela1[[#This Row],[16]],",",""))+1,1),"")</f>
        <v>1</v>
      </c>
      <c r="AP101" t="str">
        <f>IF(Tabela1[[#This Row],[17]]&lt;&gt;"",IF(ISNUMBER(FIND(",",Tabela1[[#This Row],[17]])),LEN(Tabela1[[#This Row],[17]])-LEN(SUBSTITUTE(Tabela1[[#This Row],[17]],",",""))+1,1),"")</f>
        <v/>
      </c>
      <c r="AQ101" t="str">
        <f>IF(Tabela1[[#This Row],[18]]&lt;&gt;"",IF(ISNUMBER(FIND(",",Tabela1[[#This Row],[18]])),LEN(Tabela1[[#This Row],[18]])-LEN(SUBSTITUTE(Tabela1[[#This Row],[18]],",",""))+1,1),"")</f>
        <v/>
      </c>
      <c r="AR101" s="13" t="str">
        <f>IF(Tabela1[[#This Row],[19_LENGTH]]&lt;&gt;"",IF(ISNUMBER(FIND(",",Tabela1[[#This Row],[19_LENGTH]])),LEN(Tabela1[[#This Row],[19_LENGTH]])-LEN(SUBSTITUTE(Tabela1[[#This Row],[19_LENGTH]],",",""))+1,1),"")</f>
        <v/>
      </c>
      <c r="AS101">
        <f>SUM(Tabela1[[#This Row],[1_]:[19_]])</f>
        <v>4</v>
      </c>
    </row>
    <row r="102" spans="1:45" x14ac:dyDescent="0.25">
      <c r="A102" s="27" t="s">
        <v>1319</v>
      </c>
      <c r="B102" s="19" t="s">
        <v>347</v>
      </c>
      <c r="C102" s="19">
        <v>202</v>
      </c>
      <c r="D102" s="19" t="s">
        <v>1292</v>
      </c>
      <c r="E102" s="20">
        <v>43451</v>
      </c>
      <c r="F102" s="19"/>
      <c r="G102" s="19"/>
      <c r="H102" s="19" t="s">
        <v>40</v>
      </c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  <c r="W102" s="19"/>
      <c r="X102" s="19"/>
      <c r="Y102" s="19"/>
      <c r="Z102" t="str">
        <f>IF(Tabela1[[#This Row],[1]]&lt;&gt;"",IF(ISNUMBER(FIND(",",Tabela1[[#This Row],[1]])),LEN(Tabela1[[#This Row],[1]])-LEN(SUBSTITUTE(Tabela1[[#This Row],[1]],",",""))+1,1),"")</f>
        <v/>
      </c>
      <c r="AA102" t="str">
        <f>IF(Tabela1[[#This Row],[2]]&lt;&gt;"",IF(ISNUMBER(FIND(",",Tabela1[[#This Row],[2]])),LEN(Tabela1[[#This Row],[2]])-LEN(SUBSTITUTE(Tabela1[[#This Row],[2]],",",""))+1,1),"")</f>
        <v/>
      </c>
      <c r="AB102">
        <f>IF(Tabela1[[#This Row],[3]]&lt;&gt;"",IF(ISNUMBER(FIND(",",Tabela1[[#This Row],[3]])),LEN(Tabela1[[#This Row],[3]])-LEN(SUBSTITUTE(Tabela1[[#This Row],[3]],",",""))+1,1),"")</f>
        <v>2</v>
      </c>
      <c r="AC102" t="str">
        <f>IF(Tabela1[[#This Row],[4]]&lt;&gt;"",IF(ISNUMBER(FIND(",",Tabela1[[#This Row],[4]])),LEN(Tabela1[[#This Row],[4]])-LEN(SUBSTITUTE(Tabela1[[#This Row],[4]],",",""))+1,1),"")</f>
        <v/>
      </c>
      <c r="AD102" t="str">
        <f>IF(Tabela1[[#This Row],[5]]&lt;&gt;"",IF(ISNUMBER(FIND(",",Tabela1[[#This Row],[5]])),LEN(Tabela1[[#This Row],[5]])-LEN(SUBSTITUTE(Tabela1[[#This Row],[5]],",",""))+1,1),"")</f>
        <v/>
      </c>
      <c r="AE102" t="str">
        <f>IF(Tabela1[[#This Row],[6]]&lt;&gt;"",IF(ISNUMBER(FIND(",",Tabela1[[#This Row],[6]])),LEN(Tabela1[[#This Row],[6]])-LEN(SUBSTITUTE(Tabela1[[#This Row],[6]],",",""))+1,1),"")</f>
        <v/>
      </c>
      <c r="AF102" t="str">
        <f>IF(Tabela1[[#This Row],[7]]&lt;&gt;"",IF(ISNUMBER(FIND(",",Tabela1[[#This Row],[7]])),LEN(Tabela1[[#This Row],[7]])-LEN(SUBSTITUTE(Tabela1[[#This Row],[7]],",",""))+1,1),"")</f>
        <v/>
      </c>
      <c r="AG102" t="str">
        <f>IF(Tabela1[[#This Row],[8]]&lt;&gt;"",IF(ISNUMBER(FIND(",",Tabela1[[#This Row],[8]])),LEN(Tabela1[[#This Row],[8]])-LEN(SUBSTITUTE(Tabela1[[#This Row],[8]],",",""))+1,1),"")</f>
        <v/>
      </c>
      <c r="AH102" t="str">
        <f>IF(Tabela1[[#This Row],[9]]&lt;&gt;"",IF(ISNUMBER(FIND(",",Tabela1[[#This Row],[9]])),LEN(Tabela1[[#This Row],[9]])-LEN(SUBSTITUTE(Tabela1[[#This Row],[9]],",",""))+1,1),"")</f>
        <v/>
      </c>
      <c r="AI102" t="str">
        <f>IF(Tabela1[[#This Row],[10]]&lt;&gt;"",IF(ISNUMBER(FIND(",",Tabela1[[#This Row],[10]])),LEN(Tabela1[[#This Row],[10]])-LEN(SUBSTITUTE(Tabela1[[#This Row],[10]],",",""))+1,1),"")</f>
        <v/>
      </c>
      <c r="AJ102" t="str">
        <f>IF(Tabela1[[#This Row],[11]]&lt;&gt;"",IF(ISNUMBER(FIND(",",Tabela1[[#This Row],[11]])),LEN(Tabela1[[#This Row],[11]])-LEN(SUBSTITUTE(Tabela1[[#This Row],[11]],",",""))+1,1),"")</f>
        <v/>
      </c>
      <c r="AK102" t="str">
        <f>IF(Tabela1[[#This Row],[12]]&lt;&gt;"",IF(ISNUMBER(FIND(",",Tabela1[[#This Row],[12]])),LEN(Tabela1[[#This Row],[12]])-LEN(SUBSTITUTE(Tabela1[[#This Row],[12]],",",""))+1,1),"")</f>
        <v/>
      </c>
      <c r="AL102" t="str">
        <f>IF(Tabela1[[#This Row],[13]]&lt;&gt;"",IF(ISNUMBER(FIND(",",Tabela1[[#This Row],[13]])),LEN(Tabela1[[#This Row],[13]])-LEN(SUBSTITUTE(Tabela1[[#This Row],[13]],",",""))+1,1),"")</f>
        <v/>
      </c>
      <c r="AM102" t="str">
        <f>IF(Tabela1[[#This Row],[14]]&lt;&gt;"",IF(ISNUMBER(FIND(",",Tabela1[[#This Row],[14]])),LEN(Tabela1[[#This Row],[14]])-LEN(SUBSTITUTE(Tabela1[[#This Row],[14]],",",""))+1,1),"")</f>
        <v/>
      </c>
      <c r="AN102" t="str">
        <f>IF(Tabela1[[#This Row],[15]]&lt;&gt;"",IF(ISNUMBER(FIND(",",Tabela1[[#This Row],[15]])),LEN(Tabela1[[#This Row],[15]])-LEN(SUBSTITUTE(Tabela1[[#This Row],[15]],",",""))+1,1),"")</f>
        <v/>
      </c>
      <c r="AO102" t="str">
        <f>IF(Tabela1[[#This Row],[16]]&lt;&gt;"",IF(ISNUMBER(FIND(",",Tabela1[[#This Row],[16]])),LEN(Tabela1[[#This Row],[16]])-LEN(SUBSTITUTE(Tabela1[[#This Row],[16]],",",""))+1,1),"")</f>
        <v/>
      </c>
      <c r="AP102" t="str">
        <f>IF(Tabela1[[#This Row],[17]]&lt;&gt;"",IF(ISNUMBER(FIND(",",Tabela1[[#This Row],[17]])),LEN(Tabela1[[#This Row],[17]])-LEN(SUBSTITUTE(Tabela1[[#This Row],[17]],",",""))+1,1),"")</f>
        <v/>
      </c>
      <c r="AQ102" t="str">
        <f>IF(Tabela1[[#This Row],[18]]&lt;&gt;"",IF(ISNUMBER(FIND(",",Tabela1[[#This Row],[18]])),LEN(Tabela1[[#This Row],[18]])-LEN(SUBSTITUTE(Tabela1[[#This Row],[18]],",",""))+1,1),"")</f>
        <v/>
      </c>
      <c r="AR102" s="13" t="str">
        <f>IF(Tabela1[[#This Row],[19_LENGTH]]&lt;&gt;"",IF(ISNUMBER(FIND(",",Tabela1[[#This Row],[19_LENGTH]])),LEN(Tabela1[[#This Row],[19_LENGTH]])-LEN(SUBSTITUTE(Tabela1[[#This Row],[19_LENGTH]],",",""))+1,1),"")</f>
        <v/>
      </c>
      <c r="AS102">
        <f>SUM(Tabela1[[#This Row],[1_]:[19_]])</f>
        <v>2</v>
      </c>
    </row>
    <row r="103" spans="1:45" x14ac:dyDescent="0.25">
      <c r="A103" s="27" t="s">
        <v>1319</v>
      </c>
      <c r="B103" s="19" t="s">
        <v>348</v>
      </c>
      <c r="C103" s="19">
        <v>202</v>
      </c>
      <c r="D103" s="19" t="s">
        <v>1292</v>
      </c>
      <c r="E103" s="20">
        <v>43450</v>
      </c>
      <c r="F103" s="19"/>
      <c r="G103" s="19"/>
      <c r="H103" s="19"/>
      <c r="I103" s="19">
        <v>21</v>
      </c>
      <c r="J103" s="19">
        <v>66</v>
      </c>
      <c r="K103" s="19">
        <v>24</v>
      </c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  <c r="W103" s="19"/>
      <c r="X103" s="19"/>
      <c r="Y103" s="19"/>
      <c r="Z103" t="str">
        <f>IF(Tabela1[[#This Row],[1]]&lt;&gt;"",IF(ISNUMBER(FIND(",",Tabela1[[#This Row],[1]])),LEN(Tabela1[[#This Row],[1]])-LEN(SUBSTITUTE(Tabela1[[#This Row],[1]],",",""))+1,1),"")</f>
        <v/>
      </c>
      <c r="AA103" t="str">
        <f>IF(Tabela1[[#This Row],[2]]&lt;&gt;"",IF(ISNUMBER(FIND(",",Tabela1[[#This Row],[2]])),LEN(Tabela1[[#This Row],[2]])-LEN(SUBSTITUTE(Tabela1[[#This Row],[2]],",",""))+1,1),"")</f>
        <v/>
      </c>
      <c r="AB103" t="str">
        <f>IF(Tabela1[[#This Row],[3]]&lt;&gt;"",IF(ISNUMBER(FIND(",",Tabela1[[#This Row],[3]])),LEN(Tabela1[[#This Row],[3]])-LEN(SUBSTITUTE(Tabela1[[#This Row],[3]],",",""))+1,1),"")</f>
        <v/>
      </c>
      <c r="AC103">
        <f>IF(Tabela1[[#This Row],[4]]&lt;&gt;"",IF(ISNUMBER(FIND(",",Tabela1[[#This Row],[4]])),LEN(Tabela1[[#This Row],[4]])-LEN(SUBSTITUTE(Tabela1[[#This Row],[4]],",",""))+1,1),"")</f>
        <v>1</v>
      </c>
      <c r="AD103">
        <f>IF(Tabela1[[#This Row],[5]]&lt;&gt;"",IF(ISNUMBER(FIND(",",Tabela1[[#This Row],[5]])),LEN(Tabela1[[#This Row],[5]])-LEN(SUBSTITUTE(Tabela1[[#This Row],[5]],",",""))+1,1),"")</f>
        <v>1</v>
      </c>
      <c r="AE103">
        <f>IF(Tabela1[[#This Row],[6]]&lt;&gt;"",IF(ISNUMBER(FIND(",",Tabela1[[#This Row],[6]])),LEN(Tabela1[[#This Row],[6]])-LEN(SUBSTITUTE(Tabela1[[#This Row],[6]],",",""))+1,1),"")</f>
        <v>1</v>
      </c>
      <c r="AF103" t="str">
        <f>IF(Tabela1[[#This Row],[7]]&lt;&gt;"",IF(ISNUMBER(FIND(",",Tabela1[[#This Row],[7]])),LEN(Tabela1[[#This Row],[7]])-LEN(SUBSTITUTE(Tabela1[[#This Row],[7]],",",""))+1,1),"")</f>
        <v/>
      </c>
      <c r="AG103" t="str">
        <f>IF(Tabela1[[#This Row],[8]]&lt;&gt;"",IF(ISNUMBER(FIND(",",Tabela1[[#This Row],[8]])),LEN(Tabela1[[#This Row],[8]])-LEN(SUBSTITUTE(Tabela1[[#This Row],[8]],",",""))+1,1),"")</f>
        <v/>
      </c>
      <c r="AH103" t="str">
        <f>IF(Tabela1[[#This Row],[9]]&lt;&gt;"",IF(ISNUMBER(FIND(",",Tabela1[[#This Row],[9]])),LEN(Tabela1[[#This Row],[9]])-LEN(SUBSTITUTE(Tabela1[[#This Row],[9]],",",""))+1,1),"")</f>
        <v/>
      </c>
      <c r="AI103" t="str">
        <f>IF(Tabela1[[#This Row],[10]]&lt;&gt;"",IF(ISNUMBER(FIND(",",Tabela1[[#This Row],[10]])),LEN(Tabela1[[#This Row],[10]])-LEN(SUBSTITUTE(Tabela1[[#This Row],[10]],",",""))+1,1),"")</f>
        <v/>
      </c>
      <c r="AJ103" t="str">
        <f>IF(Tabela1[[#This Row],[11]]&lt;&gt;"",IF(ISNUMBER(FIND(",",Tabela1[[#This Row],[11]])),LEN(Tabela1[[#This Row],[11]])-LEN(SUBSTITUTE(Tabela1[[#This Row],[11]],",",""))+1,1),"")</f>
        <v/>
      </c>
      <c r="AK103" t="str">
        <f>IF(Tabela1[[#This Row],[12]]&lt;&gt;"",IF(ISNUMBER(FIND(",",Tabela1[[#This Row],[12]])),LEN(Tabela1[[#This Row],[12]])-LEN(SUBSTITUTE(Tabela1[[#This Row],[12]],",",""))+1,1),"")</f>
        <v/>
      </c>
      <c r="AL103" t="str">
        <f>IF(Tabela1[[#This Row],[13]]&lt;&gt;"",IF(ISNUMBER(FIND(",",Tabela1[[#This Row],[13]])),LEN(Tabela1[[#This Row],[13]])-LEN(SUBSTITUTE(Tabela1[[#This Row],[13]],",",""))+1,1),"")</f>
        <v/>
      </c>
      <c r="AM103" t="str">
        <f>IF(Tabela1[[#This Row],[14]]&lt;&gt;"",IF(ISNUMBER(FIND(",",Tabela1[[#This Row],[14]])),LEN(Tabela1[[#This Row],[14]])-LEN(SUBSTITUTE(Tabela1[[#This Row],[14]],",",""))+1,1),"")</f>
        <v/>
      </c>
      <c r="AN103" t="str">
        <f>IF(Tabela1[[#This Row],[15]]&lt;&gt;"",IF(ISNUMBER(FIND(",",Tabela1[[#This Row],[15]])),LEN(Tabela1[[#This Row],[15]])-LEN(SUBSTITUTE(Tabela1[[#This Row],[15]],",",""))+1,1),"")</f>
        <v/>
      </c>
      <c r="AO103" t="str">
        <f>IF(Tabela1[[#This Row],[16]]&lt;&gt;"",IF(ISNUMBER(FIND(",",Tabela1[[#This Row],[16]])),LEN(Tabela1[[#This Row],[16]])-LEN(SUBSTITUTE(Tabela1[[#This Row],[16]],",",""))+1,1),"")</f>
        <v/>
      </c>
      <c r="AP103" t="str">
        <f>IF(Tabela1[[#This Row],[17]]&lt;&gt;"",IF(ISNUMBER(FIND(",",Tabela1[[#This Row],[17]])),LEN(Tabela1[[#This Row],[17]])-LEN(SUBSTITUTE(Tabela1[[#This Row],[17]],",",""))+1,1),"")</f>
        <v/>
      </c>
      <c r="AQ103" t="str">
        <f>IF(Tabela1[[#This Row],[18]]&lt;&gt;"",IF(ISNUMBER(FIND(",",Tabela1[[#This Row],[18]])),LEN(Tabela1[[#This Row],[18]])-LEN(SUBSTITUTE(Tabela1[[#This Row],[18]],",",""))+1,1),"")</f>
        <v/>
      </c>
      <c r="AR103" s="13" t="str">
        <f>IF(Tabela1[[#This Row],[19_LENGTH]]&lt;&gt;"",IF(ISNUMBER(FIND(",",Tabela1[[#This Row],[19_LENGTH]])),LEN(Tabela1[[#This Row],[19_LENGTH]])-LEN(SUBSTITUTE(Tabela1[[#This Row],[19_LENGTH]],",",""))+1,1),"")</f>
        <v/>
      </c>
      <c r="AS103">
        <f>SUM(Tabela1[[#This Row],[1_]:[19_]])</f>
        <v>3</v>
      </c>
    </row>
    <row r="104" spans="1:45" x14ac:dyDescent="0.25">
      <c r="A104" s="27" t="s">
        <v>1319</v>
      </c>
      <c r="B104" s="19" t="s">
        <v>349</v>
      </c>
      <c r="C104" s="19">
        <v>208</v>
      </c>
      <c r="D104" s="19" t="s">
        <v>1314</v>
      </c>
      <c r="E104" s="20">
        <v>43451</v>
      </c>
      <c r="F104" s="19"/>
      <c r="G104" s="19"/>
      <c r="H104" s="19"/>
      <c r="I104" s="19">
        <v>24</v>
      </c>
      <c r="J104" s="19"/>
      <c r="K104" s="19"/>
      <c r="L104" s="19"/>
      <c r="M104" s="19">
        <v>11</v>
      </c>
      <c r="N104" s="19"/>
      <c r="O104" s="19"/>
      <c r="P104" s="19"/>
      <c r="Q104" s="19"/>
      <c r="R104" s="19"/>
      <c r="S104" s="19"/>
      <c r="T104" s="19"/>
      <c r="U104" s="19"/>
      <c r="V104" s="19"/>
      <c r="W104" s="19"/>
      <c r="X104" s="19"/>
      <c r="Y104" s="19"/>
      <c r="Z104" t="str">
        <f>IF(Tabela1[[#This Row],[1]]&lt;&gt;"",IF(ISNUMBER(FIND(",",Tabela1[[#This Row],[1]])),LEN(Tabela1[[#This Row],[1]])-LEN(SUBSTITUTE(Tabela1[[#This Row],[1]],",",""))+1,1),"")</f>
        <v/>
      </c>
      <c r="AA104" t="str">
        <f>IF(Tabela1[[#This Row],[2]]&lt;&gt;"",IF(ISNUMBER(FIND(",",Tabela1[[#This Row],[2]])),LEN(Tabela1[[#This Row],[2]])-LEN(SUBSTITUTE(Tabela1[[#This Row],[2]],",",""))+1,1),"")</f>
        <v/>
      </c>
      <c r="AB104" t="str">
        <f>IF(Tabela1[[#This Row],[3]]&lt;&gt;"",IF(ISNUMBER(FIND(",",Tabela1[[#This Row],[3]])),LEN(Tabela1[[#This Row],[3]])-LEN(SUBSTITUTE(Tabela1[[#This Row],[3]],",",""))+1,1),"")</f>
        <v/>
      </c>
      <c r="AC104">
        <f>IF(Tabela1[[#This Row],[4]]&lt;&gt;"",IF(ISNUMBER(FIND(",",Tabela1[[#This Row],[4]])),LEN(Tabela1[[#This Row],[4]])-LEN(SUBSTITUTE(Tabela1[[#This Row],[4]],",",""))+1,1),"")</f>
        <v>1</v>
      </c>
      <c r="AD104" t="str">
        <f>IF(Tabela1[[#This Row],[5]]&lt;&gt;"",IF(ISNUMBER(FIND(",",Tabela1[[#This Row],[5]])),LEN(Tabela1[[#This Row],[5]])-LEN(SUBSTITUTE(Tabela1[[#This Row],[5]],",",""))+1,1),"")</f>
        <v/>
      </c>
      <c r="AE104" t="str">
        <f>IF(Tabela1[[#This Row],[6]]&lt;&gt;"",IF(ISNUMBER(FIND(",",Tabela1[[#This Row],[6]])),LEN(Tabela1[[#This Row],[6]])-LEN(SUBSTITUTE(Tabela1[[#This Row],[6]],",",""))+1,1),"")</f>
        <v/>
      </c>
      <c r="AF104" t="str">
        <f>IF(Tabela1[[#This Row],[7]]&lt;&gt;"",IF(ISNUMBER(FIND(",",Tabela1[[#This Row],[7]])),LEN(Tabela1[[#This Row],[7]])-LEN(SUBSTITUTE(Tabela1[[#This Row],[7]],",",""))+1,1),"")</f>
        <v/>
      </c>
      <c r="AG104">
        <f>IF(Tabela1[[#This Row],[8]]&lt;&gt;"",IF(ISNUMBER(FIND(",",Tabela1[[#This Row],[8]])),LEN(Tabela1[[#This Row],[8]])-LEN(SUBSTITUTE(Tabela1[[#This Row],[8]],",",""))+1,1),"")</f>
        <v>1</v>
      </c>
      <c r="AH104" t="str">
        <f>IF(Tabela1[[#This Row],[9]]&lt;&gt;"",IF(ISNUMBER(FIND(",",Tabela1[[#This Row],[9]])),LEN(Tabela1[[#This Row],[9]])-LEN(SUBSTITUTE(Tabela1[[#This Row],[9]],",",""))+1,1),"")</f>
        <v/>
      </c>
      <c r="AI104" t="str">
        <f>IF(Tabela1[[#This Row],[10]]&lt;&gt;"",IF(ISNUMBER(FIND(",",Tabela1[[#This Row],[10]])),LEN(Tabela1[[#This Row],[10]])-LEN(SUBSTITUTE(Tabela1[[#This Row],[10]],",",""))+1,1),"")</f>
        <v/>
      </c>
      <c r="AJ104" t="str">
        <f>IF(Tabela1[[#This Row],[11]]&lt;&gt;"",IF(ISNUMBER(FIND(",",Tabela1[[#This Row],[11]])),LEN(Tabela1[[#This Row],[11]])-LEN(SUBSTITUTE(Tabela1[[#This Row],[11]],",",""))+1,1),"")</f>
        <v/>
      </c>
      <c r="AK104" t="str">
        <f>IF(Tabela1[[#This Row],[12]]&lt;&gt;"",IF(ISNUMBER(FIND(",",Tabela1[[#This Row],[12]])),LEN(Tabela1[[#This Row],[12]])-LEN(SUBSTITUTE(Tabela1[[#This Row],[12]],",",""))+1,1),"")</f>
        <v/>
      </c>
      <c r="AL104" t="str">
        <f>IF(Tabela1[[#This Row],[13]]&lt;&gt;"",IF(ISNUMBER(FIND(",",Tabela1[[#This Row],[13]])),LEN(Tabela1[[#This Row],[13]])-LEN(SUBSTITUTE(Tabela1[[#This Row],[13]],",",""))+1,1),"")</f>
        <v/>
      </c>
      <c r="AM104" t="str">
        <f>IF(Tabela1[[#This Row],[14]]&lt;&gt;"",IF(ISNUMBER(FIND(",",Tabela1[[#This Row],[14]])),LEN(Tabela1[[#This Row],[14]])-LEN(SUBSTITUTE(Tabela1[[#This Row],[14]],",",""))+1,1),"")</f>
        <v/>
      </c>
      <c r="AN104" t="str">
        <f>IF(Tabela1[[#This Row],[15]]&lt;&gt;"",IF(ISNUMBER(FIND(",",Tabela1[[#This Row],[15]])),LEN(Tabela1[[#This Row],[15]])-LEN(SUBSTITUTE(Tabela1[[#This Row],[15]],",",""))+1,1),"")</f>
        <v/>
      </c>
      <c r="AO104" t="str">
        <f>IF(Tabela1[[#This Row],[16]]&lt;&gt;"",IF(ISNUMBER(FIND(",",Tabela1[[#This Row],[16]])),LEN(Tabela1[[#This Row],[16]])-LEN(SUBSTITUTE(Tabela1[[#This Row],[16]],",",""))+1,1),"")</f>
        <v/>
      </c>
      <c r="AP104" t="str">
        <f>IF(Tabela1[[#This Row],[17]]&lt;&gt;"",IF(ISNUMBER(FIND(",",Tabela1[[#This Row],[17]])),LEN(Tabela1[[#This Row],[17]])-LEN(SUBSTITUTE(Tabela1[[#This Row],[17]],",",""))+1,1),"")</f>
        <v/>
      </c>
      <c r="AQ104" t="str">
        <f>IF(Tabela1[[#This Row],[18]]&lt;&gt;"",IF(ISNUMBER(FIND(",",Tabela1[[#This Row],[18]])),LEN(Tabela1[[#This Row],[18]])-LEN(SUBSTITUTE(Tabela1[[#This Row],[18]],",",""))+1,1),"")</f>
        <v/>
      </c>
      <c r="AR104" s="13" t="str">
        <f>IF(Tabela1[[#This Row],[19_LENGTH]]&lt;&gt;"",IF(ISNUMBER(FIND(",",Tabela1[[#This Row],[19_LENGTH]])),LEN(Tabela1[[#This Row],[19_LENGTH]])-LEN(SUBSTITUTE(Tabela1[[#This Row],[19_LENGTH]],",",""))+1,1),"")</f>
        <v/>
      </c>
      <c r="AS104">
        <f>SUM(Tabela1[[#This Row],[1_]:[19_]])</f>
        <v>2</v>
      </c>
    </row>
    <row r="105" spans="1:45" x14ac:dyDescent="0.25">
      <c r="A105" s="27" t="s">
        <v>1319</v>
      </c>
      <c r="B105" s="19" t="s">
        <v>1400</v>
      </c>
      <c r="C105" s="19">
        <v>202</v>
      </c>
      <c r="D105" s="19" t="s">
        <v>1314</v>
      </c>
      <c r="E105" s="20">
        <v>43451</v>
      </c>
      <c r="F105" s="19"/>
      <c r="G105" s="19"/>
      <c r="H105" s="19"/>
      <c r="I105" s="19" t="s">
        <v>41</v>
      </c>
      <c r="J105" s="19"/>
      <c r="K105" s="19"/>
      <c r="L105" s="19"/>
      <c r="M105" s="19">
        <v>23</v>
      </c>
      <c r="N105" s="19"/>
      <c r="O105" s="19"/>
      <c r="P105" s="19"/>
      <c r="Q105" s="19"/>
      <c r="R105" s="19"/>
      <c r="S105" s="19"/>
      <c r="T105" s="19"/>
      <c r="U105" s="19"/>
      <c r="V105" s="19"/>
      <c r="W105" s="19"/>
      <c r="X105" s="19"/>
      <c r="Y105" s="19"/>
      <c r="Z105" t="str">
        <f>IF(Tabela1[[#This Row],[1]]&lt;&gt;"",IF(ISNUMBER(FIND(",",Tabela1[[#This Row],[1]])),LEN(Tabela1[[#This Row],[1]])-LEN(SUBSTITUTE(Tabela1[[#This Row],[1]],",",""))+1,1),"")</f>
        <v/>
      </c>
      <c r="AA105" t="str">
        <f>IF(Tabela1[[#This Row],[2]]&lt;&gt;"",IF(ISNUMBER(FIND(",",Tabela1[[#This Row],[2]])),LEN(Tabela1[[#This Row],[2]])-LEN(SUBSTITUTE(Tabela1[[#This Row],[2]],",",""))+1,1),"")</f>
        <v/>
      </c>
      <c r="AB105" t="str">
        <f>IF(Tabela1[[#This Row],[3]]&lt;&gt;"",IF(ISNUMBER(FIND(",",Tabela1[[#This Row],[3]])),LEN(Tabela1[[#This Row],[3]])-LEN(SUBSTITUTE(Tabela1[[#This Row],[3]],",",""))+1,1),"")</f>
        <v/>
      </c>
      <c r="AC105">
        <f>IF(Tabela1[[#This Row],[4]]&lt;&gt;"",IF(ISNUMBER(FIND(",",Tabela1[[#This Row],[4]])),LEN(Tabela1[[#This Row],[4]])-LEN(SUBSTITUTE(Tabela1[[#This Row],[4]],",",""))+1,1),"")</f>
        <v>2</v>
      </c>
      <c r="AD105" t="str">
        <f>IF(Tabela1[[#This Row],[5]]&lt;&gt;"",IF(ISNUMBER(FIND(",",Tabela1[[#This Row],[5]])),LEN(Tabela1[[#This Row],[5]])-LEN(SUBSTITUTE(Tabela1[[#This Row],[5]],",",""))+1,1),"")</f>
        <v/>
      </c>
      <c r="AE105" t="str">
        <f>IF(Tabela1[[#This Row],[6]]&lt;&gt;"",IF(ISNUMBER(FIND(",",Tabela1[[#This Row],[6]])),LEN(Tabela1[[#This Row],[6]])-LEN(SUBSTITUTE(Tabela1[[#This Row],[6]],",",""))+1,1),"")</f>
        <v/>
      </c>
      <c r="AF105" t="str">
        <f>IF(Tabela1[[#This Row],[7]]&lt;&gt;"",IF(ISNUMBER(FIND(",",Tabela1[[#This Row],[7]])),LEN(Tabela1[[#This Row],[7]])-LEN(SUBSTITUTE(Tabela1[[#This Row],[7]],",",""))+1,1),"")</f>
        <v/>
      </c>
      <c r="AG105">
        <f>IF(Tabela1[[#This Row],[8]]&lt;&gt;"",IF(ISNUMBER(FIND(",",Tabela1[[#This Row],[8]])),LEN(Tabela1[[#This Row],[8]])-LEN(SUBSTITUTE(Tabela1[[#This Row],[8]],",",""))+1,1),"")</f>
        <v>1</v>
      </c>
      <c r="AH105" t="str">
        <f>IF(Tabela1[[#This Row],[9]]&lt;&gt;"",IF(ISNUMBER(FIND(",",Tabela1[[#This Row],[9]])),LEN(Tabela1[[#This Row],[9]])-LEN(SUBSTITUTE(Tabela1[[#This Row],[9]],",",""))+1,1),"")</f>
        <v/>
      </c>
      <c r="AI105" t="str">
        <f>IF(Tabela1[[#This Row],[10]]&lt;&gt;"",IF(ISNUMBER(FIND(",",Tabela1[[#This Row],[10]])),LEN(Tabela1[[#This Row],[10]])-LEN(SUBSTITUTE(Tabela1[[#This Row],[10]],",",""))+1,1),"")</f>
        <v/>
      </c>
      <c r="AJ105" t="str">
        <f>IF(Tabela1[[#This Row],[11]]&lt;&gt;"",IF(ISNUMBER(FIND(",",Tabela1[[#This Row],[11]])),LEN(Tabela1[[#This Row],[11]])-LEN(SUBSTITUTE(Tabela1[[#This Row],[11]],",",""))+1,1),"")</f>
        <v/>
      </c>
      <c r="AK105" t="str">
        <f>IF(Tabela1[[#This Row],[12]]&lt;&gt;"",IF(ISNUMBER(FIND(",",Tabela1[[#This Row],[12]])),LEN(Tabela1[[#This Row],[12]])-LEN(SUBSTITUTE(Tabela1[[#This Row],[12]],",",""))+1,1),"")</f>
        <v/>
      </c>
      <c r="AL105" t="str">
        <f>IF(Tabela1[[#This Row],[13]]&lt;&gt;"",IF(ISNUMBER(FIND(",",Tabela1[[#This Row],[13]])),LEN(Tabela1[[#This Row],[13]])-LEN(SUBSTITUTE(Tabela1[[#This Row],[13]],",",""))+1,1),"")</f>
        <v/>
      </c>
      <c r="AM105" t="str">
        <f>IF(Tabela1[[#This Row],[14]]&lt;&gt;"",IF(ISNUMBER(FIND(",",Tabela1[[#This Row],[14]])),LEN(Tabela1[[#This Row],[14]])-LEN(SUBSTITUTE(Tabela1[[#This Row],[14]],",",""))+1,1),"")</f>
        <v/>
      </c>
      <c r="AN105" t="str">
        <f>IF(Tabela1[[#This Row],[15]]&lt;&gt;"",IF(ISNUMBER(FIND(",",Tabela1[[#This Row],[15]])),LEN(Tabela1[[#This Row],[15]])-LEN(SUBSTITUTE(Tabela1[[#This Row],[15]],",",""))+1,1),"")</f>
        <v/>
      </c>
      <c r="AO105" t="str">
        <f>IF(Tabela1[[#This Row],[16]]&lt;&gt;"",IF(ISNUMBER(FIND(",",Tabela1[[#This Row],[16]])),LEN(Tabela1[[#This Row],[16]])-LEN(SUBSTITUTE(Tabela1[[#This Row],[16]],",",""))+1,1),"")</f>
        <v/>
      </c>
      <c r="AP105" t="str">
        <f>IF(Tabela1[[#This Row],[17]]&lt;&gt;"",IF(ISNUMBER(FIND(",",Tabela1[[#This Row],[17]])),LEN(Tabela1[[#This Row],[17]])-LEN(SUBSTITUTE(Tabela1[[#This Row],[17]],",",""))+1,1),"")</f>
        <v/>
      </c>
      <c r="AQ105" t="str">
        <f>IF(Tabela1[[#This Row],[18]]&lt;&gt;"",IF(ISNUMBER(FIND(",",Tabela1[[#This Row],[18]])),LEN(Tabela1[[#This Row],[18]])-LEN(SUBSTITUTE(Tabela1[[#This Row],[18]],",",""))+1,1),"")</f>
        <v/>
      </c>
      <c r="AR105" s="13" t="str">
        <f>IF(Tabela1[[#This Row],[19_LENGTH]]&lt;&gt;"",IF(ISNUMBER(FIND(",",Tabela1[[#This Row],[19_LENGTH]])),LEN(Tabela1[[#This Row],[19_LENGTH]])-LEN(SUBSTITUTE(Tabela1[[#This Row],[19_LENGTH]],",",""))+1,1),"")</f>
        <v/>
      </c>
      <c r="AS105">
        <f>SUM(Tabela1[[#This Row],[1_]:[19_]])</f>
        <v>3</v>
      </c>
    </row>
    <row r="106" spans="1:45" x14ac:dyDescent="0.25">
      <c r="A106" s="27" t="s">
        <v>1319</v>
      </c>
      <c r="B106" s="19" t="s">
        <v>350</v>
      </c>
      <c r="C106" s="19">
        <v>220</v>
      </c>
      <c r="D106" s="19" t="s">
        <v>1315</v>
      </c>
      <c r="E106" s="20">
        <v>43451</v>
      </c>
      <c r="F106" s="19"/>
      <c r="G106" s="19"/>
      <c r="H106" s="19"/>
      <c r="I106" s="19">
        <v>91</v>
      </c>
      <c r="J106" s="19"/>
      <c r="K106" s="19"/>
      <c r="L106" s="19"/>
      <c r="M106" s="19"/>
      <c r="N106" s="19"/>
      <c r="O106" s="19"/>
      <c r="P106" s="19"/>
      <c r="Q106" s="19"/>
      <c r="R106" s="19"/>
      <c r="S106" s="19"/>
      <c r="T106" s="19"/>
      <c r="U106" s="19"/>
      <c r="V106" s="19"/>
      <c r="W106" s="19"/>
      <c r="X106" s="19"/>
      <c r="Y106" s="19"/>
      <c r="Z106" t="str">
        <f>IF(Tabela1[[#This Row],[1]]&lt;&gt;"",IF(ISNUMBER(FIND(",",Tabela1[[#This Row],[1]])),LEN(Tabela1[[#This Row],[1]])-LEN(SUBSTITUTE(Tabela1[[#This Row],[1]],",",""))+1,1),"")</f>
        <v/>
      </c>
      <c r="AA106" t="str">
        <f>IF(Tabela1[[#This Row],[2]]&lt;&gt;"",IF(ISNUMBER(FIND(",",Tabela1[[#This Row],[2]])),LEN(Tabela1[[#This Row],[2]])-LEN(SUBSTITUTE(Tabela1[[#This Row],[2]],",",""))+1,1),"")</f>
        <v/>
      </c>
      <c r="AB106" t="str">
        <f>IF(Tabela1[[#This Row],[3]]&lt;&gt;"",IF(ISNUMBER(FIND(",",Tabela1[[#This Row],[3]])),LEN(Tabela1[[#This Row],[3]])-LEN(SUBSTITUTE(Tabela1[[#This Row],[3]],",",""))+1,1),"")</f>
        <v/>
      </c>
      <c r="AC106">
        <f>IF(Tabela1[[#This Row],[4]]&lt;&gt;"",IF(ISNUMBER(FIND(",",Tabela1[[#This Row],[4]])),LEN(Tabela1[[#This Row],[4]])-LEN(SUBSTITUTE(Tabela1[[#This Row],[4]],",",""))+1,1),"")</f>
        <v>1</v>
      </c>
      <c r="AD106" t="str">
        <f>IF(Tabela1[[#This Row],[5]]&lt;&gt;"",IF(ISNUMBER(FIND(",",Tabela1[[#This Row],[5]])),LEN(Tabela1[[#This Row],[5]])-LEN(SUBSTITUTE(Tabela1[[#This Row],[5]],",",""))+1,1),"")</f>
        <v/>
      </c>
      <c r="AE106" t="str">
        <f>IF(Tabela1[[#This Row],[6]]&lt;&gt;"",IF(ISNUMBER(FIND(",",Tabela1[[#This Row],[6]])),LEN(Tabela1[[#This Row],[6]])-LEN(SUBSTITUTE(Tabela1[[#This Row],[6]],",",""))+1,1),"")</f>
        <v/>
      </c>
      <c r="AF106" t="str">
        <f>IF(Tabela1[[#This Row],[7]]&lt;&gt;"",IF(ISNUMBER(FIND(",",Tabela1[[#This Row],[7]])),LEN(Tabela1[[#This Row],[7]])-LEN(SUBSTITUTE(Tabela1[[#This Row],[7]],",",""))+1,1),"")</f>
        <v/>
      </c>
      <c r="AG106" t="str">
        <f>IF(Tabela1[[#This Row],[8]]&lt;&gt;"",IF(ISNUMBER(FIND(",",Tabela1[[#This Row],[8]])),LEN(Tabela1[[#This Row],[8]])-LEN(SUBSTITUTE(Tabela1[[#This Row],[8]],",",""))+1,1),"")</f>
        <v/>
      </c>
      <c r="AH106" t="str">
        <f>IF(Tabela1[[#This Row],[9]]&lt;&gt;"",IF(ISNUMBER(FIND(",",Tabela1[[#This Row],[9]])),LEN(Tabela1[[#This Row],[9]])-LEN(SUBSTITUTE(Tabela1[[#This Row],[9]],",",""))+1,1),"")</f>
        <v/>
      </c>
      <c r="AI106" t="str">
        <f>IF(Tabela1[[#This Row],[10]]&lt;&gt;"",IF(ISNUMBER(FIND(",",Tabela1[[#This Row],[10]])),LEN(Tabela1[[#This Row],[10]])-LEN(SUBSTITUTE(Tabela1[[#This Row],[10]],",",""))+1,1),"")</f>
        <v/>
      </c>
      <c r="AJ106" t="str">
        <f>IF(Tabela1[[#This Row],[11]]&lt;&gt;"",IF(ISNUMBER(FIND(",",Tabela1[[#This Row],[11]])),LEN(Tabela1[[#This Row],[11]])-LEN(SUBSTITUTE(Tabela1[[#This Row],[11]],",",""))+1,1),"")</f>
        <v/>
      </c>
      <c r="AK106" t="str">
        <f>IF(Tabela1[[#This Row],[12]]&lt;&gt;"",IF(ISNUMBER(FIND(",",Tabela1[[#This Row],[12]])),LEN(Tabela1[[#This Row],[12]])-LEN(SUBSTITUTE(Tabela1[[#This Row],[12]],",",""))+1,1),"")</f>
        <v/>
      </c>
      <c r="AL106" t="str">
        <f>IF(Tabela1[[#This Row],[13]]&lt;&gt;"",IF(ISNUMBER(FIND(",",Tabela1[[#This Row],[13]])),LEN(Tabela1[[#This Row],[13]])-LEN(SUBSTITUTE(Tabela1[[#This Row],[13]],",",""))+1,1),"")</f>
        <v/>
      </c>
      <c r="AM106" t="str">
        <f>IF(Tabela1[[#This Row],[14]]&lt;&gt;"",IF(ISNUMBER(FIND(",",Tabela1[[#This Row],[14]])),LEN(Tabela1[[#This Row],[14]])-LEN(SUBSTITUTE(Tabela1[[#This Row],[14]],",",""))+1,1),"")</f>
        <v/>
      </c>
      <c r="AN106" t="str">
        <f>IF(Tabela1[[#This Row],[15]]&lt;&gt;"",IF(ISNUMBER(FIND(",",Tabela1[[#This Row],[15]])),LEN(Tabela1[[#This Row],[15]])-LEN(SUBSTITUTE(Tabela1[[#This Row],[15]],",",""))+1,1),"")</f>
        <v/>
      </c>
      <c r="AO106" t="str">
        <f>IF(Tabela1[[#This Row],[16]]&lt;&gt;"",IF(ISNUMBER(FIND(",",Tabela1[[#This Row],[16]])),LEN(Tabela1[[#This Row],[16]])-LEN(SUBSTITUTE(Tabela1[[#This Row],[16]],",",""))+1,1),"")</f>
        <v/>
      </c>
      <c r="AP106" t="str">
        <f>IF(Tabela1[[#This Row],[17]]&lt;&gt;"",IF(ISNUMBER(FIND(",",Tabela1[[#This Row],[17]])),LEN(Tabela1[[#This Row],[17]])-LEN(SUBSTITUTE(Tabela1[[#This Row],[17]],",",""))+1,1),"")</f>
        <v/>
      </c>
      <c r="AQ106" t="str">
        <f>IF(Tabela1[[#This Row],[18]]&lt;&gt;"",IF(ISNUMBER(FIND(",",Tabela1[[#This Row],[18]])),LEN(Tabela1[[#This Row],[18]])-LEN(SUBSTITUTE(Tabela1[[#This Row],[18]],",",""))+1,1),"")</f>
        <v/>
      </c>
      <c r="AR106" s="13" t="str">
        <f>IF(Tabela1[[#This Row],[19_LENGTH]]&lt;&gt;"",IF(ISNUMBER(FIND(",",Tabela1[[#This Row],[19_LENGTH]])),LEN(Tabela1[[#This Row],[19_LENGTH]])-LEN(SUBSTITUTE(Tabela1[[#This Row],[19_LENGTH]],",",""))+1,1),"")</f>
        <v/>
      </c>
      <c r="AS106">
        <f>SUM(Tabela1[[#This Row],[1_]:[19_]])</f>
        <v>1</v>
      </c>
    </row>
    <row r="107" spans="1:45" x14ac:dyDescent="0.25">
      <c r="A107" s="27" t="s">
        <v>1319</v>
      </c>
      <c r="B107" s="19" t="s">
        <v>699</v>
      </c>
      <c r="C107" s="19">
        <v>202</v>
      </c>
      <c r="D107" s="19" t="s">
        <v>1314</v>
      </c>
      <c r="E107" s="20">
        <v>43451</v>
      </c>
      <c r="F107" s="19"/>
      <c r="G107" s="19"/>
      <c r="H107" s="19"/>
      <c r="I107" s="19" t="s">
        <v>42</v>
      </c>
      <c r="J107" s="19"/>
      <c r="K107" s="19"/>
      <c r="L107" s="19"/>
      <c r="M107" s="19"/>
      <c r="N107" s="19"/>
      <c r="O107" s="19"/>
      <c r="P107" s="19"/>
      <c r="Q107" s="19"/>
      <c r="R107" s="19"/>
      <c r="S107" s="19"/>
      <c r="T107" s="19"/>
      <c r="U107" s="19"/>
      <c r="V107" s="19"/>
      <c r="W107" s="19"/>
      <c r="X107" s="19"/>
      <c r="Y107" s="19"/>
      <c r="Z107" t="str">
        <f>IF(Tabela1[[#This Row],[1]]&lt;&gt;"",IF(ISNUMBER(FIND(",",Tabela1[[#This Row],[1]])),LEN(Tabela1[[#This Row],[1]])-LEN(SUBSTITUTE(Tabela1[[#This Row],[1]],",",""))+1,1),"")</f>
        <v/>
      </c>
      <c r="AA107" t="str">
        <f>IF(Tabela1[[#This Row],[2]]&lt;&gt;"",IF(ISNUMBER(FIND(",",Tabela1[[#This Row],[2]])),LEN(Tabela1[[#This Row],[2]])-LEN(SUBSTITUTE(Tabela1[[#This Row],[2]],",",""))+1,1),"")</f>
        <v/>
      </c>
      <c r="AB107" t="str">
        <f>IF(Tabela1[[#This Row],[3]]&lt;&gt;"",IF(ISNUMBER(FIND(",",Tabela1[[#This Row],[3]])),LEN(Tabela1[[#This Row],[3]])-LEN(SUBSTITUTE(Tabela1[[#This Row],[3]],",",""))+1,1),"")</f>
        <v/>
      </c>
      <c r="AC107">
        <f>IF(Tabela1[[#This Row],[4]]&lt;&gt;"",IF(ISNUMBER(FIND(",",Tabela1[[#This Row],[4]])),LEN(Tabela1[[#This Row],[4]])-LEN(SUBSTITUTE(Tabela1[[#This Row],[4]],",",""))+1,1),"")</f>
        <v>2</v>
      </c>
      <c r="AD107" t="str">
        <f>IF(Tabela1[[#This Row],[5]]&lt;&gt;"",IF(ISNUMBER(FIND(",",Tabela1[[#This Row],[5]])),LEN(Tabela1[[#This Row],[5]])-LEN(SUBSTITUTE(Tabela1[[#This Row],[5]],",",""))+1,1),"")</f>
        <v/>
      </c>
      <c r="AE107" t="str">
        <f>IF(Tabela1[[#This Row],[6]]&lt;&gt;"",IF(ISNUMBER(FIND(",",Tabela1[[#This Row],[6]])),LEN(Tabela1[[#This Row],[6]])-LEN(SUBSTITUTE(Tabela1[[#This Row],[6]],",",""))+1,1),"")</f>
        <v/>
      </c>
      <c r="AF107" t="str">
        <f>IF(Tabela1[[#This Row],[7]]&lt;&gt;"",IF(ISNUMBER(FIND(",",Tabela1[[#This Row],[7]])),LEN(Tabela1[[#This Row],[7]])-LEN(SUBSTITUTE(Tabela1[[#This Row],[7]],",",""))+1,1),"")</f>
        <v/>
      </c>
      <c r="AG107" t="str">
        <f>IF(Tabela1[[#This Row],[8]]&lt;&gt;"",IF(ISNUMBER(FIND(",",Tabela1[[#This Row],[8]])),LEN(Tabela1[[#This Row],[8]])-LEN(SUBSTITUTE(Tabela1[[#This Row],[8]],",",""))+1,1),"")</f>
        <v/>
      </c>
      <c r="AH107" t="str">
        <f>IF(Tabela1[[#This Row],[9]]&lt;&gt;"",IF(ISNUMBER(FIND(",",Tabela1[[#This Row],[9]])),LEN(Tabela1[[#This Row],[9]])-LEN(SUBSTITUTE(Tabela1[[#This Row],[9]],",",""))+1,1),"")</f>
        <v/>
      </c>
      <c r="AI107" t="str">
        <f>IF(Tabela1[[#This Row],[10]]&lt;&gt;"",IF(ISNUMBER(FIND(",",Tabela1[[#This Row],[10]])),LEN(Tabela1[[#This Row],[10]])-LEN(SUBSTITUTE(Tabela1[[#This Row],[10]],",",""))+1,1),"")</f>
        <v/>
      </c>
      <c r="AJ107" t="str">
        <f>IF(Tabela1[[#This Row],[11]]&lt;&gt;"",IF(ISNUMBER(FIND(",",Tabela1[[#This Row],[11]])),LEN(Tabela1[[#This Row],[11]])-LEN(SUBSTITUTE(Tabela1[[#This Row],[11]],",",""))+1,1),"")</f>
        <v/>
      </c>
      <c r="AK107" t="str">
        <f>IF(Tabela1[[#This Row],[12]]&lt;&gt;"",IF(ISNUMBER(FIND(",",Tabela1[[#This Row],[12]])),LEN(Tabela1[[#This Row],[12]])-LEN(SUBSTITUTE(Tabela1[[#This Row],[12]],",",""))+1,1),"")</f>
        <v/>
      </c>
      <c r="AL107" t="str">
        <f>IF(Tabela1[[#This Row],[13]]&lt;&gt;"",IF(ISNUMBER(FIND(",",Tabela1[[#This Row],[13]])),LEN(Tabela1[[#This Row],[13]])-LEN(SUBSTITUTE(Tabela1[[#This Row],[13]],",",""))+1,1),"")</f>
        <v/>
      </c>
      <c r="AM107" t="str">
        <f>IF(Tabela1[[#This Row],[14]]&lt;&gt;"",IF(ISNUMBER(FIND(",",Tabela1[[#This Row],[14]])),LEN(Tabela1[[#This Row],[14]])-LEN(SUBSTITUTE(Tabela1[[#This Row],[14]],",",""))+1,1),"")</f>
        <v/>
      </c>
      <c r="AN107" t="str">
        <f>IF(Tabela1[[#This Row],[15]]&lt;&gt;"",IF(ISNUMBER(FIND(",",Tabela1[[#This Row],[15]])),LEN(Tabela1[[#This Row],[15]])-LEN(SUBSTITUTE(Tabela1[[#This Row],[15]],",",""))+1,1),"")</f>
        <v/>
      </c>
      <c r="AO107" t="str">
        <f>IF(Tabela1[[#This Row],[16]]&lt;&gt;"",IF(ISNUMBER(FIND(",",Tabela1[[#This Row],[16]])),LEN(Tabela1[[#This Row],[16]])-LEN(SUBSTITUTE(Tabela1[[#This Row],[16]],",",""))+1,1),"")</f>
        <v/>
      </c>
      <c r="AP107" t="str">
        <f>IF(Tabela1[[#This Row],[17]]&lt;&gt;"",IF(ISNUMBER(FIND(",",Tabela1[[#This Row],[17]])),LEN(Tabela1[[#This Row],[17]])-LEN(SUBSTITUTE(Tabela1[[#This Row],[17]],",",""))+1,1),"")</f>
        <v/>
      </c>
      <c r="AQ107" t="str">
        <f>IF(Tabela1[[#This Row],[18]]&lt;&gt;"",IF(ISNUMBER(FIND(",",Tabela1[[#This Row],[18]])),LEN(Tabela1[[#This Row],[18]])-LEN(SUBSTITUTE(Tabela1[[#This Row],[18]],",",""))+1,1),"")</f>
        <v/>
      </c>
      <c r="AR107" s="13" t="str">
        <f>IF(Tabela1[[#This Row],[19_LENGTH]]&lt;&gt;"",IF(ISNUMBER(FIND(",",Tabela1[[#This Row],[19_LENGTH]])),LEN(Tabela1[[#This Row],[19_LENGTH]])-LEN(SUBSTITUTE(Tabela1[[#This Row],[19_LENGTH]],",",""))+1,1),"")</f>
        <v/>
      </c>
      <c r="AS107">
        <f>SUM(Tabela1[[#This Row],[1_]:[19_]])</f>
        <v>2</v>
      </c>
    </row>
    <row r="108" spans="1:45" x14ac:dyDescent="0.25">
      <c r="A108" s="27" t="s">
        <v>1319</v>
      </c>
      <c r="B108" s="19" t="s">
        <v>700</v>
      </c>
      <c r="C108" s="19">
        <v>202</v>
      </c>
      <c r="D108" s="19" t="s">
        <v>1314</v>
      </c>
      <c r="E108" s="20">
        <v>43451</v>
      </c>
      <c r="F108" s="19"/>
      <c r="G108" s="19"/>
      <c r="H108" s="19"/>
      <c r="I108" s="19">
        <v>25</v>
      </c>
      <c r="J108" s="19"/>
      <c r="K108" s="19"/>
      <c r="L108" s="19"/>
      <c r="M108" s="19"/>
      <c r="N108" s="19"/>
      <c r="O108" s="19"/>
      <c r="P108" s="19"/>
      <c r="Q108" s="19"/>
      <c r="R108" s="19"/>
      <c r="S108" s="19"/>
      <c r="T108" s="19"/>
      <c r="U108" s="19"/>
      <c r="V108" s="19"/>
      <c r="W108" s="19"/>
      <c r="X108" s="19"/>
      <c r="Y108" s="19"/>
      <c r="Z108" t="str">
        <f>IF(Tabela1[[#This Row],[1]]&lt;&gt;"",IF(ISNUMBER(FIND(",",Tabela1[[#This Row],[1]])),LEN(Tabela1[[#This Row],[1]])-LEN(SUBSTITUTE(Tabela1[[#This Row],[1]],",",""))+1,1),"")</f>
        <v/>
      </c>
      <c r="AA108" t="str">
        <f>IF(Tabela1[[#This Row],[2]]&lt;&gt;"",IF(ISNUMBER(FIND(",",Tabela1[[#This Row],[2]])),LEN(Tabela1[[#This Row],[2]])-LEN(SUBSTITUTE(Tabela1[[#This Row],[2]],",",""))+1,1),"")</f>
        <v/>
      </c>
      <c r="AB108" t="str">
        <f>IF(Tabela1[[#This Row],[3]]&lt;&gt;"",IF(ISNUMBER(FIND(",",Tabela1[[#This Row],[3]])),LEN(Tabela1[[#This Row],[3]])-LEN(SUBSTITUTE(Tabela1[[#This Row],[3]],",",""))+1,1),"")</f>
        <v/>
      </c>
      <c r="AC108">
        <f>IF(Tabela1[[#This Row],[4]]&lt;&gt;"",IF(ISNUMBER(FIND(",",Tabela1[[#This Row],[4]])),LEN(Tabela1[[#This Row],[4]])-LEN(SUBSTITUTE(Tabela1[[#This Row],[4]],",",""))+1,1),"")</f>
        <v>1</v>
      </c>
      <c r="AD108" t="str">
        <f>IF(Tabela1[[#This Row],[5]]&lt;&gt;"",IF(ISNUMBER(FIND(",",Tabela1[[#This Row],[5]])),LEN(Tabela1[[#This Row],[5]])-LEN(SUBSTITUTE(Tabela1[[#This Row],[5]],",",""))+1,1),"")</f>
        <v/>
      </c>
      <c r="AE108" t="str">
        <f>IF(Tabela1[[#This Row],[6]]&lt;&gt;"",IF(ISNUMBER(FIND(",",Tabela1[[#This Row],[6]])),LEN(Tabela1[[#This Row],[6]])-LEN(SUBSTITUTE(Tabela1[[#This Row],[6]],",",""))+1,1),"")</f>
        <v/>
      </c>
      <c r="AF108" t="str">
        <f>IF(Tabela1[[#This Row],[7]]&lt;&gt;"",IF(ISNUMBER(FIND(",",Tabela1[[#This Row],[7]])),LEN(Tabela1[[#This Row],[7]])-LEN(SUBSTITUTE(Tabela1[[#This Row],[7]],",",""))+1,1),"")</f>
        <v/>
      </c>
      <c r="AG108" t="str">
        <f>IF(Tabela1[[#This Row],[8]]&lt;&gt;"",IF(ISNUMBER(FIND(",",Tabela1[[#This Row],[8]])),LEN(Tabela1[[#This Row],[8]])-LEN(SUBSTITUTE(Tabela1[[#This Row],[8]],",",""))+1,1),"")</f>
        <v/>
      </c>
      <c r="AH108" t="str">
        <f>IF(Tabela1[[#This Row],[9]]&lt;&gt;"",IF(ISNUMBER(FIND(",",Tabela1[[#This Row],[9]])),LEN(Tabela1[[#This Row],[9]])-LEN(SUBSTITUTE(Tabela1[[#This Row],[9]],",",""))+1,1),"")</f>
        <v/>
      </c>
      <c r="AI108" t="str">
        <f>IF(Tabela1[[#This Row],[10]]&lt;&gt;"",IF(ISNUMBER(FIND(",",Tabela1[[#This Row],[10]])),LEN(Tabela1[[#This Row],[10]])-LEN(SUBSTITUTE(Tabela1[[#This Row],[10]],",",""))+1,1),"")</f>
        <v/>
      </c>
      <c r="AJ108" t="str">
        <f>IF(Tabela1[[#This Row],[11]]&lt;&gt;"",IF(ISNUMBER(FIND(",",Tabela1[[#This Row],[11]])),LEN(Tabela1[[#This Row],[11]])-LEN(SUBSTITUTE(Tabela1[[#This Row],[11]],",",""))+1,1),"")</f>
        <v/>
      </c>
      <c r="AK108" t="str">
        <f>IF(Tabela1[[#This Row],[12]]&lt;&gt;"",IF(ISNUMBER(FIND(",",Tabela1[[#This Row],[12]])),LEN(Tabela1[[#This Row],[12]])-LEN(SUBSTITUTE(Tabela1[[#This Row],[12]],",",""))+1,1),"")</f>
        <v/>
      </c>
      <c r="AL108" t="str">
        <f>IF(Tabela1[[#This Row],[13]]&lt;&gt;"",IF(ISNUMBER(FIND(",",Tabela1[[#This Row],[13]])),LEN(Tabela1[[#This Row],[13]])-LEN(SUBSTITUTE(Tabela1[[#This Row],[13]],",",""))+1,1),"")</f>
        <v/>
      </c>
      <c r="AM108" t="str">
        <f>IF(Tabela1[[#This Row],[14]]&lt;&gt;"",IF(ISNUMBER(FIND(",",Tabela1[[#This Row],[14]])),LEN(Tabela1[[#This Row],[14]])-LEN(SUBSTITUTE(Tabela1[[#This Row],[14]],",",""))+1,1),"")</f>
        <v/>
      </c>
      <c r="AN108" t="str">
        <f>IF(Tabela1[[#This Row],[15]]&lt;&gt;"",IF(ISNUMBER(FIND(",",Tabela1[[#This Row],[15]])),LEN(Tabela1[[#This Row],[15]])-LEN(SUBSTITUTE(Tabela1[[#This Row],[15]],",",""))+1,1),"")</f>
        <v/>
      </c>
      <c r="AO108" t="str">
        <f>IF(Tabela1[[#This Row],[16]]&lt;&gt;"",IF(ISNUMBER(FIND(",",Tabela1[[#This Row],[16]])),LEN(Tabela1[[#This Row],[16]])-LEN(SUBSTITUTE(Tabela1[[#This Row],[16]],",",""))+1,1),"")</f>
        <v/>
      </c>
      <c r="AP108" t="str">
        <f>IF(Tabela1[[#This Row],[17]]&lt;&gt;"",IF(ISNUMBER(FIND(",",Tabela1[[#This Row],[17]])),LEN(Tabela1[[#This Row],[17]])-LEN(SUBSTITUTE(Tabela1[[#This Row],[17]],",",""))+1,1),"")</f>
        <v/>
      </c>
      <c r="AQ108" t="str">
        <f>IF(Tabela1[[#This Row],[18]]&lt;&gt;"",IF(ISNUMBER(FIND(",",Tabela1[[#This Row],[18]])),LEN(Tabela1[[#This Row],[18]])-LEN(SUBSTITUTE(Tabela1[[#This Row],[18]],",",""))+1,1),"")</f>
        <v/>
      </c>
      <c r="AR108" s="13" t="str">
        <f>IF(Tabela1[[#This Row],[19_LENGTH]]&lt;&gt;"",IF(ISNUMBER(FIND(",",Tabela1[[#This Row],[19_LENGTH]])),LEN(Tabela1[[#This Row],[19_LENGTH]])-LEN(SUBSTITUTE(Tabela1[[#This Row],[19_LENGTH]],",",""))+1,1),"")</f>
        <v/>
      </c>
      <c r="AS108">
        <f>SUM(Tabela1[[#This Row],[1_]:[19_]])</f>
        <v>1</v>
      </c>
    </row>
    <row r="109" spans="1:45" x14ac:dyDescent="0.25">
      <c r="A109" s="27" t="s">
        <v>1319</v>
      </c>
      <c r="B109" s="19" t="s">
        <v>351</v>
      </c>
      <c r="C109" s="19">
        <v>202</v>
      </c>
      <c r="D109" s="19" t="s">
        <v>1298</v>
      </c>
      <c r="E109" s="20">
        <v>43451</v>
      </c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/>
      <c r="X109" s="19" t="s">
        <v>43</v>
      </c>
      <c r="Y109" s="19">
        <v>28</v>
      </c>
      <c r="Z109" t="str">
        <f>IF(Tabela1[[#This Row],[1]]&lt;&gt;"",IF(ISNUMBER(FIND(",",Tabela1[[#This Row],[1]])),LEN(Tabela1[[#This Row],[1]])-LEN(SUBSTITUTE(Tabela1[[#This Row],[1]],",",""))+1,1),"")</f>
        <v/>
      </c>
      <c r="AA109" t="str">
        <f>IF(Tabela1[[#This Row],[2]]&lt;&gt;"",IF(ISNUMBER(FIND(",",Tabela1[[#This Row],[2]])),LEN(Tabela1[[#This Row],[2]])-LEN(SUBSTITUTE(Tabela1[[#This Row],[2]],",",""))+1,1),"")</f>
        <v/>
      </c>
      <c r="AB109" t="str">
        <f>IF(Tabela1[[#This Row],[3]]&lt;&gt;"",IF(ISNUMBER(FIND(",",Tabela1[[#This Row],[3]])),LEN(Tabela1[[#This Row],[3]])-LEN(SUBSTITUTE(Tabela1[[#This Row],[3]],",",""))+1,1),"")</f>
        <v/>
      </c>
      <c r="AC109" t="str">
        <f>IF(Tabela1[[#This Row],[4]]&lt;&gt;"",IF(ISNUMBER(FIND(",",Tabela1[[#This Row],[4]])),LEN(Tabela1[[#This Row],[4]])-LEN(SUBSTITUTE(Tabela1[[#This Row],[4]],",",""))+1,1),"")</f>
        <v/>
      </c>
      <c r="AD109" t="str">
        <f>IF(Tabela1[[#This Row],[5]]&lt;&gt;"",IF(ISNUMBER(FIND(",",Tabela1[[#This Row],[5]])),LEN(Tabela1[[#This Row],[5]])-LEN(SUBSTITUTE(Tabela1[[#This Row],[5]],",",""))+1,1),"")</f>
        <v/>
      </c>
      <c r="AE109" t="str">
        <f>IF(Tabela1[[#This Row],[6]]&lt;&gt;"",IF(ISNUMBER(FIND(",",Tabela1[[#This Row],[6]])),LEN(Tabela1[[#This Row],[6]])-LEN(SUBSTITUTE(Tabela1[[#This Row],[6]],",",""))+1,1),"")</f>
        <v/>
      </c>
      <c r="AF109" t="str">
        <f>IF(Tabela1[[#This Row],[7]]&lt;&gt;"",IF(ISNUMBER(FIND(",",Tabela1[[#This Row],[7]])),LEN(Tabela1[[#This Row],[7]])-LEN(SUBSTITUTE(Tabela1[[#This Row],[7]],",",""))+1,1),"")</f>
        <v/>
      </c>
      <c r="AG109" t="str">
        <f>IF(Tabela1[[#This Row],[8]]&lt;&gt;"",IF(ISNUMBER(FIND(",",Tabela1[[#This Row],[8]])),LEN(Tabela1[[#This Row],[8]])-LEN(SUBSTITUTE(Tabela1[[#This Row],[8]],",",""))+1,1),"")</f>
        <v/>
      </c>
      <c r="AH109" t="str">
        <f>IF(Tabela1[[#This Row],[9]]&lt;&gt;"",IF(ISNUMBER(FIND(",",Tabela1[[#This Row],[9]])),LEN(Tabela1[[#This Row],[9]])-LEN(SUBSTITUTE(Tabela1[[#This Row],[9]],",",""))+1,1),"")</f>
        <v/>
      </c>
      <c r="AI109" t="str">
        <f>IF(Tabela1[[#This Row],[10]]&lt;&gt;"",IF(ISNUMBER(FIND(",",Tabela1[[#This Row],[10]])),LEN(Tabela1[[#This Row],[10]])-LEN(SUBSTITUTE(Tabela1[[#This Row],[10]],",",""))+1,1),"")</f>
        <v/>
      </c>
      <c r="AJ109" t="str">
        <f>IF(Tabela1[[#This Row],[11]]&lt;&gt;"",IF(ISNUMBER(FIND(",",Tabela1[[#This Row],[11]])),LEN(Tabela1[[#This Row],[11]])-LEN(SUBSTITUTE(Tabela1[[#This Row],[11]],",",""))+1,1),"")</f>
        <v/>
      </c>
      <c r="AK109" t="str">
        <f>IF(Tabela1[[#This Row],[12]]&lt;&gt;"",IF(ISNUMBER(FIND(",",Tabela1[[#This Row],[12]])),LEN(Tabela1[[#This Row],[12]])-LEN(SUBSTITUTE(Tabela1[[#This Row],[12]],",",""))+1,1),"")</f>
        <v/>
      </c>
      <c r="AL109" t="str">
        <f>IF(Tabela1[[#This Row],[13]]&lt;&gt;"",IF(ISNUMBER(FIND(",",Tabela1[[#This Row],[13]])),LEN(Tabela1[[#This Row],[13]])-LEN(SUBSTITUTE(Tabela1[[#This Row],[13]],",",""))+1,1),"")</f>
        <v/>
      </c>
      <c r="AM109" t="str">
        <f>IF(Tabela1[[#This Row],[14]]&lt;&gt;"",IF(ISNUMBER(FIND(",",Tabela1[[#This Row],[14]])),LEN(Tabela1[[#This Row],[14]])-LEN(SUBSTITUTE(Tabela1[[#This Row],[14]],",",""))+1,1),"")</f>
        <v/>
      </c>
      <c r="AN109" t="str">
        <f>IF(Tabela1[[#This Row],[15]]&lt;&gt;"",IF(ISNUMBER(FIND(",",Tabela1[[#This Row],[15]])),LEN(Tabela1[[#This Row],[15]])-LEN(SUBSTITUTE(Tabela1[[#This Row],[15]],",",""))+1,1),"")</f>
        <v/>
      </c>
      <c r="AO109" t="str">
        <f>IF(Tabela1[[#This Row],[16]]&lt;&gt;"",IF(ISNUMBER(FIND(",",Tabela1[[#This Row],[16]])),LEN(Tabela1[[#This Row],[16]])-LEN(SUBSTITUTE(Tabela1[[#This Row],[16]],",",""))+1,1),"")</f>
        <v/>
      </c>
      <c r="AP109" t="str">
        <f>IF(Tabela1[[#This Row],[17]]&lt;&gt;"",IF(ISNUMBER(FIND(",",Tabela1[[#This Row],[17]])),LEN(Tabela1[[#This Row],[17]])-LEN(SUBSTITUTE(Tabela1[[#This Row],[17]],",",""))+1,1),"")</f>
        <v/>
      </c>
      <c r="AQ109" t="str">
        <f>IF(Tabela1[[#This Row],[18]]&lt;&gt;"",IF(ISNUMBER(FIND(",",Tabela1[[#This Row],[18]])),LEN(Tabela1[[#This Row],[18]])-LEN(SUBSTITUTE(Tabela1[[#This Row],[18]],",",""))+1,1),"")</f>
        <v/>
      </c>
      <c r="AR109" s="13">
        <f>IF(Tabela1[[#This Row],[19_LENGTH]]&lt;&gt;"",IF(ISNUMBER(FIND(",",Tabela1[[#This Row],[19_LENGTH]])),LEN(Tabela1[[#This Row],[19_LENGTH]])-LEN(SUBSTITUTE(Tabela1[[#This Row],[19_LENGTH]],",",""))+1,1),"")</f>
        <v>1</v>
      </c>
      <c r="AS109">
        <f>SUM(Tabela1[[#This Row],[1_]:[19_]])</f>
        <v>1</v>
      </c>
    </row>
    <row r="110" spans="1:45" x14ac:dyDescent="0.25">
      <c r="A110" s="27" t="s">
        <v>1319</v>
      </c>
      <c r="B110" s="19" t="s">
        <v>352</v>
      </c>
      <c r="C110" s="19">
        <v>216</v>
      </c>
      <c r="D110" s="19" t="s">
        <v>1298</v>
      </c>
      <c r="E110" s="20">
        <v>43451</v>
      </c>
      <c r="F110" s="19"/>
      <c r="G110" s="19"/>
      <c r="H110" s="19"/>
      <c r="I110" s="19"/>
      <c r="J110" s="19">
        <v>59</v>
      </c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t="str">
        <f>IF(Tabela1[[#This Row],[1]]&lt;&gt;"",IF(ISNUMBER(FIND(",",Tabela1[[#This Row],[1]])),LEN(Tabela1[[#This Row],[1]])-LEN(SUBSTITUTE(Tabela1[[#This Row],[1]],",",""))+1,1),"")</f>
        <v/>
      </c>
      <c r="AA110" t="str">
        <f>IF(Tabela1[[#This Row],[2]]&lt;&gt;"",IF(ISNUMBER(FIND(",",Tabela1[[#This Row],[2]])),LEN(Tabela1[[#This Row],[2]])-LEN(SUBSTITUTE(Tabela1[[#This Row],[2]],",",""))+1,1),"")</f>
        <v/>
      </c>
      <c r="AB110" t="str">
        <f>IF(Tabela1[[#This Row],[3]]&lt;&gt;"",IF(ISNUMBER(FIND(",",Tabela1[[#This Row],[3]])),LEN(Tabela1[[#This Row],[3]])-LEN(SUBSTITUTE(Tabela1[[#This Row],[3]],",",""))+1,1),"")</f>
        <v/>
      </c>
      <c r="AC110" t="str">
        <f>IF(Tabela1[[#This Row],[4]]&lt;&gt;"",IF(ISNUMBER(FIND(",",Tabela1[[#This Row],[4]])),LEN(Tabela1[[#This Row],[4]])-LEN(SUBSTITUTE(Tabela1[[#This Row],[4]],",",""))+1,1),"")</f>
        <v/>
      </c>
      <c r="AD110">
        <f>IF(Tabela1[[#This Row],[5]]&lt;&gt;"",IF(ISNUMBER(FIND(",",Tabela1[[#This Row],[5]])),LEN(Tabela1[[#This Row],[5]])-LEN(SUBSTITUTE(Tabela1[[#This Row],[5]],",",""))+1,1),"")</f>
        <v>1</v>
      </c>
      <c r="AE110" t="str">
        <f>IF(Tabela1[[#This Row],[6]]&lt;&gt;"",IF(ISNUMBER(FIND(",",Tabela1[[#This Row],[6]])),LEN(Tabela1[[#This Row],[6]])-LEN(SUBSTITUTE(Tabela1[[#This Row],[6]],",",""))+1,1),"")</f>
        <v/>
      </c>
      <c r="AF110" t="str">
        <f>IF(Tabela1[[#This Row],[7]]&lt;&gt;"",IF(ISNUMBER(FIND(",",Tabela1[[#This Row],[7]])),LEN(Tabela1[[#This Row],[7]])-LEN(SUBSTITUTE(Tabela1[[#This Row],[7]],",",""))+1,1),"")</f>
        <v/>
      </c>
      <c r="AG110" t="str">
        <f>IF(Tabela1[[#This Row],[8]]&lt;&gt;"",IF(ISNUMBER(FIND(",",Tabela1[[#This Row],[8]])),LEN(Tabela1[[#This Row],[8]])-LEN(SUBSTITUTE(Tabela1[[#This Row],[8]],",",""))+1,1),"")</f>
        <v/>
      </c>
      <c r="AH110" t="str">
        <f>IF(Tabela1[[#This Row],[9]]&lt;&gt;"",IF(ISNUMBER(FIND(",",Tabela1[[#This Row],[9]])),LEN(Tabela1[[#This Row],[9]])-LEN(SUBSTITUTE(Tabela1[[#This Row],[9]],",",""))+1,1),"")</f>
        <v/>
      </c>
      <c r="AI110" t="str">
        <f>IF(Tabela1[[#This Row],[10]]&lt;&gt;"",IF(ISNUMBER(FIND(",",Tabela1[[#This Row],[10]])),LEN(Tabela1[[#This Row],[10]])-LEN(SUBSTITUTE(Tabela1[[#This Row],[10]],",",""))+1,1),"")</f>
        <v/>
      </c>
      <c r="AJ110" t="str">
        <f>IF(Tabela1[[#This Row],[11]]&lt;&gt;"",IF(ISNUMBER(FIND(",",Tabela1[[#This Row],[11]])),LEN(Tabela1[[#This Row],[11]])-LEN(SUBSTITUTE(Tabela1[[#This Row],[11]],",",""))+1,1),"")</f>
        <v/>
      </c>
      <c r="AK110" t="str">
        <f>IF(Tabela1[[#This Row],[12]]&lt;&gt;"",IF(ISNUMBER(FIND(",",Tabela1[[#This Row],[12]])),LEN(Tabela1[[#This Row],[12]])-LEN(SUBSTITUTE(Tabela1[[#This Row],[12]],",",""))+1,1),"")</f>
        <v/>
      </c>
      <c r="AL110" t="str">
        <f>IF(Tabela1[[#This Row],[13]]&lt;&gt;"",IF(ISNUMBER(FIND(",",Tabela1[[#This Row],[13]])),LEN(Tabela1[[#This Row],[13]])-LEN(SUBSTITUTE(Tabela1[[#This Row],[13]],",",""))+1,1),"")</f>
        <v/>
      </c>
      <c r="AM110" t="str">
        <f>IF(Tabela1[[#This Row],[14]]&lt;&gt;"",IF(ISNUMBER(FIND(",",Tabela1[[#This Row],[14]])),LEN(Tabela1[[#This Row],[14]])-LEN(SUBSTITUTE(Tabela1[[#This Row],[14]],",",""))+1,1),"")</f>
        <v/>
      </c>
      <c r="AN110" t="str">
        <f>IF(Tabela1[[#This Row],[15]]&lt;&gt;"",IF(ISNUMBER(FIND(",",Tabela1[[#This Row],[15]])),LEN(Tabela1[[#This Row],[15]])-LEN(SUBSTITUTE(Tabela1[[#This Row],[15]],",",""))+1,1),"")</f>
        <v/>
      </c>
      <c r="AO110" t="str">
        <f>IF(Tabela1[[#This Row],[16]]&lt;&gt;"",IF(ISNUMBER(FIND(",",Tabela1[[#This Row],[16]])),LEN(Tabela1[[#This Row],[16]])-LEN(SUBSTITUTE(Tabela1[[#This Row],[16]],",",""))+1,1),"")</f>
        <v/>
      </c>
      <c r="AP110" t="str">
        <f>IF(Tabela1[[#This Row],[17]]&lt;&gt;"",IF(ISNUMBER(FIND(",",Tabela1[[#This Row],[17]])),LEN(Tabela1[[#This Row],[17]])-LEN(SUBSTITUTE(Tabela1[[#This Row],[17]],",",""))+1,1),"")</f>
        <v/>
      </c>
      <c r="AQ110" t="str">
        <f>IF(Tabela1[[#This Row],[18]]&lt;&gt;"",IF(ISNUMBER(FIND(",",Tabela1[[#This Row],[18]])),LEN(Tabela1[[#This Row],[18]])-LEN(SUBSTITUTE(Tabela1[[#This Row],[18]],",",""))+1,1),"")</f>
        <v/>
      </c>
      <c r="AR110" s="13" t="str">
        <f>IF(Tabela1[[#This Row],[19_LENGTH]]&lt;&gt;"",IF(ISNUMBER(FIND(",",Tabela1[[#This Row],[19_LENGTH]])),LEN(Tabela1[[#This Row],[19_LENGTH]])-LEN(SUBSTITUTE(Tabela1[[#This Row],[19_LENGTH]],",",""))+1,1),"")</f>
        <v/>
      </c>
      <c r="AS110">
        <f>SUM(Tabela1[[#This Row],[1_]:[19_]])</f>
        <v>1</v>
      </c>
    </row>
    <row r="111" spans="1:45" x14ac:dyDescent="0.25">
      <c r="A111" s="27" t="s">
        <v>1319</v>
      </c>
      <c r="B111" s="19" t="s">
        <v>353</v>
      </c>
      <c r="C111" s="19">
        <v>202</v>
      </c>
      <c r="D111" s="19" t="s">
        <v>1298</v>
      </c>
      <c r="E111" s="20">
        <v>43451</v>
      </c>
      <c r="F111" s="19"/>
      <c r="G111" s="19"/>
      <c r="H111" s="19">
        <v>89</v>
      </c>
      <c r="I111" s="19"/>
      <c r="J111" s="19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  <c r="W111" s="19"/>
      <c r="X111" s="19"/>
      <c r="Y111" s="19"/>
      <c r="Z111" t="str">
        <f>IF(Tabela1[[#This Row],[1]]&lt;&gt;"",IF(ISNUMBER(FIND(",",Tabela1[[#This Row],[1]])),LEN(Tabela1[[#This Row],[1]])-LEN(SUBSTITUTE(Tabela1[[#This Row],[1]],",",""))+1,1),"")</f>
        <v/>
      </c>
      <c r="AA111" t="str">
        <f>IF(Tabela1[[#This Row],[2]]&lt;&gt;"",IF(ISNUMBER(FIND(",",Tabela1[[#This Row],[2]])),LEN(Tabela1[[#This Row],[2]])-LEN(SUBSTITUTE(Tabela1[[#This Row],[2]],",",""))+1,1),"")</f>
        <v/>
      </c>
      <c r="AB111">
        <f>IF(Tabela1[[#This Row],[3]]&lt;&gt;"",IF(ISNUMBER(FIND(",",Tabela1[[#This Row],[3]])),LEN(Tabela1[[#This Row],[3]])-LEN(SUBSTITUTE(Tabela1[[#This Row],[3]],",",""))+1,1),"")</f>
        <v>1</v>
      </c>
      <c r="AC111" t="str">
        <f>IF(Tabela1[[#This Row],[4]]&lt;&gt;"",IF(ISNUMBER(FIND(",",Tabela1[[#This Row],[4]])),LEN(Tabela1[[#This Row],[4]])-LEN(SUBSTITUTE(Tabela1[[#This Row],[4]],",",""))+1,1),"")</f>
        <v/>
      </c>
      <c r="AD111" t="str">
        <f>IF(Tabela1[[#This Row],[5]]&lt;&gt;"",IF(ISNUMBER(FIND(",",Tabela1[[#This Row],[5]])),LEN(Tabela1[[#This Row],[5]])-LEN(SUBSTITUTE(Tabela1[[#This Row],[5]],",",""))+1,1),"")</f>
        <v/>
      </c>
      <c r="AE111" t="str">
        <f>IF(Tabela1[[#This Row],[6]]&lt;&gt;"",IF(ISNUMBER(FIND(",",Tabela1[[#This Row],[6]])),LEN(Tabela1[[#This Row],[6]])-LEN(SUBSTITUTE(Tabela1[[#This Row],[6]],",",""))+1,1),"")</f>
        <v/>
      </c>
      <c r="AF111" t="str">
        <f>IF(Tabela1[[#This Row],[7]]&lt;&gt;"",IF(ISNUMBER(FIND(",",Tabela1[[#This Row],[7]])),LEN(Tabela1[[#This Row],[7]])-LEN(SUBSTITUTE(Tabela1[[#This Row],[7]],",",""))+1,1),"")</f>
        <v/>
      </c>
      <c r="AG111" t="str">
        <f>IF(Tabela1[[#This Row],[8]]&lt;&gt;"",IF(ISNUMBER(FIND(",",Tabela1[[#This Row],[8]])),LEN(Tabela1[[#This Row],[8]])-LEN(SUBSTITUTE(Tabela1[[#This Row],[8]],",",""))+1,1),"")</f>
        <v/>
      </c>
      <c r="AH111" t="str">
        <f>IF(Tabela1[[#This Row],[9]]&lt;&gt;"",IF(ISNUMBER(FIND(",",Tabela1[[#This Row],[9]])),LEN(Tabela1[[#This Row],[9]])-LEN(SUBSTITUTE(Tabela1[[#This Row],[9]],",",""))+1,1),"")</f>
        <v/>
      </c>
      <c r="AI111" t="str">
        <f>IF(Tabela1[[#This Row],[10]]&lt;&gt;"",IF(ISNUMBER(FIND(",",Tabela1[[#This Row],[10]])),LEN(Tabela1[[#This Row],[10]])-LEN(SUBSTITUTE(Tabela1[[#This Row],[10]],",",""))+1,1),"")</f>
        <v/>
      </c>
      <c r="AJ111" t="str">
        <f>IF(Tabela1[[#This Row],[11]]&lt;&gt;"",IF(ISNUMBER(FIND(",",Tabela1[[#This Row],[11]])),LEN(Tabela1[[#This Row],[11]])-LEN(SUBSTITUTE(Tabela1[[#This Row],[11]],",",""))+1,1),"")</f>
        <v/>
      </c>
      <c r="AK111" t="str">
        <f>IF(Tabela1[[#This Row],[12]]&lt;&gt;"",IF(ISNUMBER(FIND(",",Tabela1[[#This Row],[12]])),LEN(Tabela1[[#This Row],[12]])-LEN(SUBSTITUTE(Tabela1[[#This Row],[12]],",",""))+1,1),"")</f>
        <v/>
      </c>
      <c r="AL111" t="str">
        <f>IF(Tabela1[[#This Row],[13]]&lt;&gt;"",IF(ISNUMBER(FIND(",",Tabela1[[#This Row],[13]])),LEN(Tabela1[[#This Row],[13]])-LEN(SUBSTITUTE(Tabela1[[#This Row],[13]],",",""))+1,1),"")</f>
        <v/>
      </c>
      <c r="AM111" t="str">
        <f>IF(Tabela1[[#This Row],[14]]&lt;&gt;"",IF(ISNUMBER(FIND(",",Tabela1[[#This Row],[14]])),LEN(Tabela1[[#This Row],[14]])-LEN(SUBSTITUTE(Tabela1[[#This Row],[14]],",",""))+1,1),"")</f>
        <v/>
      </c>
      <c r="AN111" t="str">
        <f>IF(Tabela1[[#This Row],[15]]&lt;&gt;"",IF(ISNUMBER(FIND(",",Tabela1[[#This Row],[15]])),LEN(Tabela1[[#This Row],[15]])-LEN(SUBSTITUTE(Tabela1[[#This Row],[15]],",",""))+1,1),"")</f>
        <v/>
      </c>
      <c r="AO111" t="str">
        <f>IF(Tabela1[[#This Row],[16]]&lt;&gt;"",IF(ISNUMBER(FIND(",",Tabela1[[#This Row],[16]])),LEN(Tabela1[[#This Row],[16]])-LEN(SUBSTITUTE(Tabela1[[#This Row],[16]],",",""))+1,1),"")</f>
        <v/>
      </c>
      <c r="AP111" t="str">
        <f>IF(Tabela1[[#This Row],[17]]&lt;&gt;"",IF(ISNUMBER(FIND(",",Tabela1[[#This Row],[17]])),LEN(Tabela1[[#This Row],[17]])-LEN(SUBSTITUTE(Tabela1[[#This Row],[17]],",",""))+1,1),"")</f>
        <v/>
      </c>
      <c r="AQ111" t="str">
        <f>IF(Tabela1[[#This Row],[18]]&lt;&gt;"",IF(ISNUMBER(FIND(",",Tabela1[[#This Row],[18]])),LEN(Tabela1[[#This Row],[18]])-LEN(SUBSTITUTE(Tabela1[[#This Row],[18]],",",""))+1,1),"")</f>
        <v/>
      </c>
      <c r="AR111" s="13" t="str">
        <f>IF(Tabela1[[#This Row],[19_LENGTH]]&lt;&gt;"",IF(ISNUMBER(FIND(",",Tabela1[[#This Row],[19_LENGTH]])),LEN(Tabela1[[#This Row],[19_LENGTH]])-LEN(SUBSTITUTE(Tabela1[[#This Row],[19_LENGTH]],",",""))+1,1),"")</f>
        <v/>
      </c>
      <c r="AS111">
        <f>SUM(Tabela1[[#This Row],[1_]:[19_]])</f>
        <v>1</v>
      </c>
    </row>
    <row r="112" spans="1:45" x14ac:dyDescent="0.25">
      <c r="A112" s="27" t="s">
        <v>1319</v>
      </c>
      <c r="B112" s="19" t="s">
        <v>354</v>
      </c>
      <c r="C112" s="19">
        <v>202</v>
      </c>
      <c r="D112" s="19" t="s">
        <v>1315</v>
      </c>
      <c r="E112" s="20">
        <v>43451</v>
      </c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19"/>
      <c r="V112" s="19"/>
      <c r="W112" s="19">
        <v>11</v>
      </c>
      <c r="X112" s="19"/>
      <c r="Y112" s="19"/>
      <c r="Z112" t="str">
        <f>IF(Tabela1[[#This Row],[1]]&lt;&gt;"",IF(ISNUMBER(FIND(",",Tabela1[[#This Row],[1]])),LEN(Tabela1[[#This Row],[1]])-LEN(SUBSTITUTE(Tabela1[[#This Row],[1]],",",""))+1,1),"")</f>
        <v/>
      </c>
      <c r="AA112" t="str">
        <f>IF(Tabela1[[#This Row],[2]]&lt;&gt;"",IF(ISNUMBER(FIND(",",Tabela1[[#This Row],[2]])),LEN(Tabela1[[#This Row],[2]])-LEN(SUBSTITUTE(Tabela1[[#This Row],[2]],",",""))+1,1),"")</f>
        <v/>
      </c>
      <c r="AB112" t="str">
        <f>IF(Tabela1[[#This Row],[3]]&lt;&gt;"",IF(ISNUMBER(FIND(",",Tabela1[[#This Row],[3]])),LEN(Tabela1[[#This Row],[3]])-LEN(SUBSTITUTE(Tabela1[[#This Row],[3]],",",""))+1,1),"")</f>
        <v/>
      </c>
      <c r="AC112" t="str">
        <f>IF(Tabela1[[#This Row],[4]]&lt;&gt;"",IF(ISNUMBER(FIND(",",Tabela1[[#This Row],[4]])),LEN(Tabela1[[#This Row],[4]])-LEN(SUBSTITUTE(Tabela1[[#This Row],[4]],",",""))+1,1),"")</f>
        <v/>
      </c>
      <c r="AD112" t="str">
        <f>IF(Tabela1[[#This Row],[5]]&lt;&gt;"",IF(ISNUMBER(FIND(",",Tabela1[[#This Row],[5]])),LEN(Tabela1[[#This Row],[5]])-LEN(SUBSTITUTE(Tabela1[[#This Row],[5]],",",""))+1,1),"")</f>
        <v/>
      </c>
      <c r="AE112" t="str">
        <f>IF(Tabela1[[#This Row],[6]]&lt;&gt;"",IF(ISNUMBER(FIND(",",Tabela1[[#This Row],[6]])),LEN(Tabela1[[#This Row],[6]])-LEN(SUBSTITUTE(Tabela1[[#This Row],[6]],",",""))+1,1),"")</f>
        <v/>
      </c>
      <c r="AF112" t="str">
        <f>IF(Tabela1[[#This Row],[7]]&lt;&gt;"",IF(ISNUMBER(FIND(",",Tabela1[[#This Row],[7]])),LEN(Tabela1[[#This Row],[7]])-LEN(SUBSTITUTE(Tabela1[[#This Row],[7]],",",""))+1,1),"")</f>
        <v/>
      </c>
      <c r="AG112" t="str">
        <f>IF(Tabela1[[#This Row],[8]]&lt;&gt;"",IF(ISNUMBER(FIND(",",Tabela1[[#This Row],[8]])),LEN(Tabela1[[#This Row],[8]])-LEN(SUBSTITUTE(Tabela1[[#This Row],[8]],",",""))+1,1),"")</f>
        <v/>
      </c>
      <c r="AH112" t="str">
        <f>IF(Tabela1[[#This Row],[9]]&lt;&gt;"",IF(ISNUMBER(FIND(",",Tabela1[[#This Row],[9]])),LEN(Tabela1[[#This Row],[9]])-LEN(SUBSTITUTE(Tabela1[[#This Row],[9]],",",""))+1,1),"")</f>
        <v/>
      </c>
      <c r="AI112" t="str">
        <f>IF(Tabela1[[#This Row],[10]]&lt;&gt;"",IF(ISNUMBER(FIND(",",Tabela1[[#This Row],[10]])),LEN(Tabela1[[#This Row],[10]])-LEN(SUBSTITUTE(Tabela1[[#This Row],[10]],",",""))+1,1),"")</f>
        <v/>
      </c>
      <c r="AJ112" t="str">
        <f>IF(Tabela1[[#This Row],[11]]&lt;&gt;"",IF(ISNUMBER(FIND(",",Tabela1[[#This Row],[11]])),LEN(Tabela1[[#This Row],[11]])-LEN(SUBSTITUTE(Tabela1[[#This Row],[11]],",",""))+1,1),"")</f>
        <v/>
      </c>
      <c r="AK112" t="str">
        <f>IF(Tabela1[[#This Row],[12]]&lt;&gt;"",IF(ISNUMBER(FIND(",",Tabela1[[#This Row],[12]])),LEN(Tabela1[[#This Row],[12]])-LEN(SUBSTITUTE(Tabela1[[#This Row],[12]],",",""))+1,1),"")</f>
        <v/>
      </c>
      <c r="AL112" t="str">
        <f>IF(Tabela1[[#This Row],[13]]&lt;&gt;"",IF(ISNUMBER(FIND(",",Tabela1[[#This Row],[13]])),LEN(Tabela1[[#This Row],[13]])-LEN(SUBSTITUTE(Tabela1[[#This Row],[13]],",",""))+1,1),"")</f>
        <v/>
      </c>
      <c r="AM112" t="str">
        <f>IF(Tabela1[[#This Row],[14]]&lt;&gt;"",IF(ISNUMBER(FIND(",",Tabela1[[#This Row],[14]])),LEN(Tabela1[[#This Row],[14]])-LEN(SUBSTITUTE(Tabela1[[#This Row],[14]],",",""))+1,1),"")</f>
        <v/>
      </c>
      <c r="AN112" t="str">
        <f>IF(Tabela1[[#This Row],[15]]&lt;&gt;"",IF(ISNUMBER(FIND(",",Tabela1[[#This Row],[15]])),LEN(Tabela1[[#This Row],[15]])-LEN(SUBSTITUTE(Tabela1[[#This Row],[15]],",",""))+1,1),"")</f>
        <v/>
      </c>
      <c r="AO112" t="str">
        <f>IF(Tabela1[[#This Row],[16]]&lt;&gt;"",IF(ISNUMBER(FIND(",",Tabela1[[#This Row],[16]])),LEN(Tabela1[[#This Row],[16]])-LEN(SUBSTITUTE(Tabela1[[#This Row],[16]],",",""))+1,1),"")</f>
        <v/>
      </c>
      <c r="AP112" t="str">
        <f>IF(Tabela1[[#This Row],[17]]&lt;&gt;"",IF(ISNUMBER(FIND(",",Tabela1[[#This Row],[17]])),LEN(Tabela1[[#This Row],[17]])-LEN(SUBSTITUTE(Tabela1[[#This Row],[17]],",",""))+1,1),"")</f>
        <v/>
      </c>
      <c r="AQ112">
        <f>IF(Tabela1[[#This Row],[18]]&lt;&gt;"",IF(ISNUMBER(FIND(",",Tabela1[[#This Row],[18]])),LEN(Tabela1[[#This Row],[18]])-LEN(SUBSTITUTE(Tabela1[[#This Row],[18]],",",""))+1,1),"")</f>
        <v>1</v>
      </c>
      <c r="AR112" s="13" t="str">
        <f>IF(Tabela1[[#This Row],[19_LENGTH]]&lt;&gt;"",IF(ISNUMBER(FIND(",",Tabela1[[#This Row],[19_LENGTH]])),LEN(Tabela1[[#This Row],[19_LENGTH]])-LEN(SUBSTITUTE(Tabela1[[#This Row],[19_LENGTH]],",",""))+1,1),"")</f>
        <v/>
      </c>
      <c r="AS112">
        <f>SUM(Tabela1[[#This Row],[1_]:[19_]])</f>
        <v>1</v>
      </c>
    </row>
    <row r="113" spans="1:45" x14ac:dyDescent="0.25">
      <c r="A113" s="27" t="s">
        <v>1319</v>
      </c>
      <c r="B113" s="19" t="s">
        <v>355</v>
      </c>
      <c r="C113" s="19">
        <v>202</v>
      </c>
      <c r="D113" s="19" t="s">
        <v>1315</v>
      </c>
      <c r="E113" s="20">
        <v>43451</v>
      </c>
      <c r="F113" s="19"/>
      <c r="G113" s="19"/>
      <c r="H113" s="19"/>
      <c r="I113" s="19"/>
      <c r="J113" s="19">
        <v>13</v>
      </c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19"/>
      <c r="V113" s="19"/>
      <c r="W113" s="19"/>
      <c r="X113" s="19"/>
      <c r="Y113" s="19"/>
      <c r="Z113" t="str">
        <f>IF(Tabela1[[#This Row],[1]]&lt;&gt;"",IF(ISNUMBER(FIND(",",Tabela1[[#This Row],[1]])),LEN(Tabela1[[#This Row],[1]])-LEN(SUBSTITUTE(Tabela1[[#This Row],[1]],",",""))+1,1),"")</f>
        <v/>
      </c>
      <c r="AA113" t="str">
        <f>IF(Tabela1[[#This Row],[2]]&lt;&gt;"",IF(ISNUMBER(FIND(",",Tabela1[[#This Row],[2]])),LEN(Tabela1[[#This Row],[2]])-LEN(SUBSTITUTE(Tabela1[[#This Row],[2]],",",""))+1,1),"")</f>
        <v/>
      </c>
      <c r="AB113" t="str">
        <f>IF(Tabela1[[#This Row],[3]]&lt;&gt;"",IF(ISNUMBER(FIND(",",Tabela1[[#This Row],[3]])),LEN(Tabela1[[#This Row],[3]])-LEN(SUBSTITUTE(Tabela1[[#This Row],[3]],",",""))+1,1),"")</f>
        <v/>
      </c>
      <c r="AC113" t="str">
        <f>IF(Tabela1[[#This Row],[4]]&lt;&gt;"",IF(ISNUMBER(FIND(",",Tabela1[[#This Row],[4]])),LEN(Tabela1[[#This Row],[4]])-LEN(SUBSTITUTE(Tabela1[[#This Row],[4]],",",""))+1,1),"")</f>
        <v/>
      </c>
      <c r="AD113">
        <f>IF(Tabela1[[#This Row],[5]]&lt;&gt;"",IF(ISNUMBER(FIND(",",Tabela1[[#This Row],[5]])),LEN(Tabela1[[#This Row],[5]])-LEN(SUBSTITUTE(Tabela1[[#This Row],[5]],",",""))+1,1),"")</f>
        <v>1</v>
      </c>
      <c r="AE113" t="str">
        <f>IF(Tabela1[[#This Row],[6]]&lt;&gt;"",IF(ISNUMBER(FIND(",",Tabela1[[#This Row],[6]])),LEN(Tabela1[[#This Row],[6]])-LEN(SUBSTITUTE(Tabela1[[#This Row],[6]],",",""))+1,1),"")</f>
        <v/>
      </c>
      <c r="AF113" t="str">
        <f>IF(Tabela1[[#This Row],[7]]&lt;&gt;"",IF(ISNUMBER(FIND(",",Tabela1[[#This Row],[7]])),LEN(Tabela1[[#This Row],[7]])-LEN(SUBSTITUTE(Tabela1[[#This Row],[7]],",",""))+1,1),"")</f>
        <v/>
      </c>
      <c r="AG113" t="str">
        <f>IF(Tabela1[[#This Row],[8]]&lt;&gt;"",IF(ISNUMBER(FIND(",",Tabela1[[#This Row],[8]])),LEN(Tabela1[[#This Row],[8]])-LEN(SUBSTITUTE(Tabela1[[#This Row],[8]],",",""))+1,1),"")</f>
        <v/>
      </c>
      <c r="AH113" t="str">
        <f>IF(Tabela1[[#This Row],[9]]&lt;&gt;"",IF(ISNUMBER(FIND(",",Tabela1[[#This Row],[9]])),LEN(Tabela1[[#This Row],[9]])-LEN(SUBSTITUTE(Tabela1[[#This Row],[9]],",",""))+1,1),"")</f>
        <v/>
      </c>
      <c r="AI113" t="str">
        <f>IF(Tabela1[[#This Row],[10]]&lt;&gt;"",IF(ISNUMBER(FIND(",",Tabela1[[#This Row],[10]])),LEN(Tabela1[[#This Row],[10]])-LEN(SUBSTITUTE(Tabela1[[#This Row],[10]],",",""))+1,1),"")</f>
        <v/>
      </c>
      <c r="AJ113" t="str">
        <f>IF(Tabela1[[#This Row],[11]]&lt;&gt;"",IF(ISNUMBER(FIND(",",Tabela1[[#This Row],[11]])),LEN(Tabela1[[#This Row],[11]])-LEN(SUBSTITUTE(Tabela1[[#This Row],[11]],",",""))+1,1),"")</f>
        <v/>
      </c>
      <c r="AK113" t="str">
        <f>IF(Tabela1[[#This Row],[12]]&lt;&gt;"",IF(ISNUMBER(FIND(",",Tabela1[[#This Row],[12]])),LEN(Tabela1[[#This Row],[12]])-LEN(SUBSTITUTE(Tabela1[[#This Row],[12]],",",""))+1,1),"")</f>
        <v/>
      </c>
      <c r="AL113" t="str">
        <f>IF(Tabela1[[#This Row],[13]]&lt;&gt;"",IF(ISNUMBER(FIND(",",Tabela1[[#This Row],[13]])),LEN(Tabela1[[#This Row],[13]])-LEN(SUBSTITUTE(Tabela1[[#This Row],[13]],",",""))+1,1),"")</f>
        <v/>
      </c>
      <c r="AM113" t="str">
        <f>IF(Tabela1[[#This Row],[14]]&lt;&gt;"",IF(ISNUMBER(FIND(",",Tabela1[[#This Row],[14]])),LEN(Tabela1[[#This Row],[14]])-LEN(SUBSTITUTE(Tabela1[[#This Row],[14]],",",""))+1,1),"")</f>
        <v/>
      </c>
      <c r="AN113" t="str">
        <f>IF(Tabela1[[#This Row],[15]]&lt;&gt;"",IF(ISNUMBER(FIND(",",Tabela1[[#This Row],[15]])),LEN(Tabela1[[#This Row],[15]])-LEN(SUBSTITUTE(Tabela1[[#This Row],[15]],",",""))+1,1),"")</f>
        <v/>
      </c>
      <c r="AO113" t="str">
        <f>IF(Tabela1[[#This Row],[16]]&lt;&gt;"",IF(ISNUMBER(FIND(",",Tabela1[[#This Row],[16]])),LEN(Tabela1[[#This Row],[16]])-LEN(SUBSTITUTE(Tabela1[[#This Row],[16]],",",""))+1,1),"")</f>
        <v/>
      </c>
      <c r="AP113" t="str">
        <f>IF(Tabela1[[#This Row],[17]]&lt;&gt;"",IF(ISNUMBER(FIND(",",Tabela1[[#This Row],[17]])),LEN(Tabela1[[#This Row],[17]])-LEN(SUBSTITUTE(Tabela1[[#This Row],[17]],",",""))+1,1),"")</f>
        <v/>
      </c>
      <c r="AQ113" t="str">
        <f>IF(Tabela1[[#This Row],[18]]&lt;&gt;"",IF(ISNUMBER(FIND(",",Tabela1[[#This Row],[18]])),LEN(Tabela1[[#This Row],[18]])-LEN(SUBSTITUTE(Tabela1[[#This Row],[18]],",",""))+1,1),"")</f>
        <v/>
      </c>
      <c r="AR113" s="13" t="str">
        <f>IF(Tabela1[[#This Row],[19_LENGTH]]&lt;&gt;"",IF(ISNUMBER(FIND(",",Tabela1[[#This Row],[19_LENGTH]])),LEN(Tabela1[[#This Row],[19_LENGTH]])-LEN(SUBSTITUTE(Tabela1[[#This Row],[19_LENGTH]],",",""))+1,1),"")</f>
        <v/>
      </c>
      <c r="AS113">
        <f>SUM(Tabela1[[#This Row],[1_]:[19_]])</f>
        <v>1</v>
      </c>
    </row>
    <row r="114" spans="1:45" x14ac:dyDescent="0.25">
      <c r="A114" s="27" t="s">
        <v>1319</v>
      </c>
      <c r="B114" s="19" t="s">
        <v>356</v>
      </c>
      <c r="C114" s="19">
        <v>224</v>
      </c>
      <c r="D114" s="19" t="s">
        <v>1315</v>
      </c>
      <c r="E114" s="20">
        <v>43451</v>
      </c>
      <c r="F114" s="19"/>
      <c r="G114" s="19"/>
      <c r="H114" s="19"/>
      <c r="I114" s="19" t="s">
        <v>44</v>
      </c>
      <c r="J114" s="19" t="s">
        <v>45</v>
      </c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  <c r="Z114" t="str">
        <f>IF(Tabela1[[#This Row],[1]]&lt;&gt;"",IF(ISNUMBER(FIND(",",Tabela1[[#This Row],[1]])),LEN(Tabela1[[#This Row],[1]])-LEN(SUBSTITUTE(Tabela1[[#This Row],[1]],",",""))+1,1),"")</f>
        <v/>
      </c>
      <c r="AA114" t="str">
        <f>IF(Tabela1[[#This Row],[2]]&lt;&gt;"",IF(ISNUMBER(FIND(",",Tabela1[[#This Row],[2]])),LEN(Tabela1[[#This Row],[2]])-LEN(SUBSTITUTE(Tabela1[[#This Row],[2]],",",""))+1,1),"")</f>
        <v/>
      </c>
      <c r="AB114" t="str">
        <f>IF(Tabela1[[#This Row],[3]]&lt;&gt;"",IF(ISNUMBER(FIND(",",Tabela1[[#This Row],[3]])),LEN(Tabela1[[#This Row],[3]])-LEN(SUBSTITUTE(Tabela1[[#This Row],[3]],",",""))+1,1),"")</f>
        <v/>
      </c>
      <c r="AC114">
        <f>IF(Tabela1[[#This Row],[4]]&lt;&gt;"",IF(ISNUMBER(FIND(",",Tabela1[[#This Row],[4]])),LEN(Tabela1[[#This Row],[4]])-LEN(SUBSTITUTE(Tabela1[[#This Row],[4]],",",""))+1,1),"")</f>
        <v>3</v>
      </c>
      <c r="AD114">
        <f>IF(Tabela1[[#This Row],[5]]&lt;&gt;"",IF(ISNUMBER(FIND(",",Tabela1[[#This Row],[5]])),LEN(Tabela1[[#This Row],[5]])-LEN(SUBSTITUTE(Tabela1[[#This Row],[5]],",",""))+1,1),"")</f>
        <v>2</v>
      </c>
      <c r="AE114" t="str">
        <f>IF(Tabela1[[#This Row],[6]]&lt;&gt;"",IF(ISNUMBER(FIND(",",Tabela1[[#This Row],[6]])),LEN(Tabela1[[#This Row],[6]])-LEN(SUBSTITUTE(Tabela1[[#This Row],[6]],",",""))+1,1),"")</f>
        <v/>
      </c>
      <c r="AF114" t="str">
        <f>IF(Tabela1[[#This Row],[7]]&lt;&gt;"",IF(ISNUMBER(FIND(",",Tabela1[[#This Row],[7]])),LEN(Tabela1[[#This Row],[7]])-LEN(SUBSTITUTE(Tabela1[[#This Row],[7]],",",""))+1,1),"")</f>
        <v/>
      </c>
      <c r="AG114" t="str">
        <f>IF(Tabela1[[#This Row],[8]]&lt;&gt;"",IF(ISNUMBER(FIND(",",Tabela1[[#This Row],[8]])),LEN(Tabela1[[#This Row],[8]])-LEN(SUBSTITUTE(Tabela1[[#This Row],[8]],",",""))+1,1),"")</f>
        <v/>
      </c>
      <c r="AH114" t="str">
        <f>IF(Tabela1[[#This Row],[9]]&lt;&gt;"",IF(ISNUMBER(FIND(",",Tabela1[[#This Row],[9]])),LEN(Tabela1[[#This Row],[9]])-LEN(SUBSTITUTE(Tabela1[[#This Row],[9]],",",""))+1,1),"")</f>
        <v/>
      </c>
      <c r="AI114" t="str">
        <f>IF(Tabela1[[#This Row],[10]]&lt;&gt;"",IF(ISNUMBER(FIND(",",Tabela1[[#This Row],[10]])),LEN(Tabela1[[#This Row],[10]])-LEN(SUBSTITUTE(Tabela1[[#This Row],[10]],",",""))+1,1),"")</f>
        <v/>
      </c>
      <c r="AJ114" t="str">
        <f>IF(Tabela1[[#This Row],[11]]&lt;&gt;"",IF(ISNUMBER(FIND(",",Tabela1[[#This Row],[11]])),LEN(Tabela1[[#This Row],[11]])-LEN(SUBSTITUTE(Tabela1[[#This Row],[11]],",",""))+1,1),"")</f>
        <v/>
      </c>
      <c r="AK114" t="str">
        <f>IF(Tabela1[[#This Row],[12]]&lt;&gt;"",IF(ISNUMBER(FIND(",",Tabela1[[#This Row],[12]])),LEN(Tabela1[[#This Row],[12]])-LEN(SUBSTITUTE(Tabela1[[#This Row],[12]],",",""))+1,1),"")</f>
        <v/>
      </c>
      <c r="AL114" t="str">
        <f>IF(Tabela1[[#This Row],[13]]&lt;&gt;"",IF(ISNUMBER(FIND(",",Tabela1[[#This Row],[13]])),LEN(Tabela1[[#This Row],[13]])-LEN(SUBSTITUTE(Tabela1[[#This Row],[13]],",",""))+1,1),"")</f>
        <v/>
      </c>
      <c r="AM114" t="str">
        <f>IF(Tabela1[[#This Row],[14]]&lt;&gt;"",IF(ISNUMBER(FIND(",",Tabela1[[#This Row],[14]])),LEN(Tabela1[[#This Row],[14]])-LEN(SUBSTITUTE(Tabela1[[#This Row],[14]],",",""))+1,1),"")</f>
        <v/>
      </c>
      <c r="AN114" t="str">
        <f>IF(Tabela1[[#This Row],[15]]&lt;&gt;"",IF(ISNUMBER(FIND(",",Tabela1[[#This Row],[15]])),LEN(Tabela1[[#This Row],[15]])-LEN(SUBSTITUTE(Tabela1[[#This Row],[15]],",",""))+1,1),"")</f>
        <v/>
      </c>
      <c r="AO114" t="str">
        <f>IF(Tabela1[[#This Row],[16]]&lt;&gt;"",IF(ISNUMBER(FIND(",",Tabela1[[#This Row],[16]])),LEN(Tabela1[[#This Row],[16]])-LEN(SUBSTITUTE(Tabela1[[#This Row],[16]],",",""))+1,1),"")</f>
        <v/>
      </c>
      <c r="AP114" t="str">
        <f>IF(Tabela1[[#This Row],[17]]&lt;&gt;"",IF(ISNUMBER(FIND(",",Tabela1[[#This Row],[17]])),LEN(Tabela1[[#This Row],[17]])-LEN(SUBSTITUTE(Tabela1[[#This Row],[17]],",",""))+1,1),"")</f>
        <v/>
      </c>
      <c r="AQ114" t="str">
        <f>IF(Tabela1[[#This Row],[18]]&lt;&gt;"",IF(ISNUMBER(FIND(",",Tabela1[[#This Row],[18]])),LEN(Tabela1[[#This Row],[18]])-LEN(SUBSTITUTE(Tabela1[[#This Row],[18]],",",""))+1,1),"")</f>
        <v/>
      </c>
      <c r="AR114" s="13" t="str">
        <f>IF(Tabela1[[#This Row],[19_LENGTH]]&lt;&gt;"",IF(ISNUMBER(FIND(",",Tabela1[[#This Row],[19_LENGTH]])),LEN(Tabela1[[#This Row],[19_LENGTH]])-LEN(SUBSTITUTE(Tabela1[[#This Row],[19_LENGTH]],",",""))+1,1),"")</f>
        <v/>
      </c>
      <c r="AS114">
        <f>SUM(Tabela1[[#This Row],[1_]:[19_]])</f>
        <v>5</v>
      </c>
    </row>
    <row r="115" spans="1:45" x14ac:dyDescent="0.25">
      <c r="A115" s="27" t="s">
        <v>1319</v>
      </c>
      <c r="B115" s="19" t="s">
        <v>701</v>
      </c>
      <c r="C115" s="19">
        <v>202</v>
      </c>
      <c r="D115" s="19" t="s">
        <v>1294</v>
      </c>
      <c r="E115" s="20">
        <v>43451</v>
      </c>
      <c r="F115" s="19"/>
      <c r="G115" s="19" t="s">
        <v>46</v>
      </c>
      <c r="H115" s="19"/>
      <c r="I115" s="19" t="s">
        <v>47</v>
      </c>
      <c r="J115" s="19">
        <v>98</v>
      </c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t="str">
        <f>IF(Tabela1[[#This Row],[1]]&lt;&gt;"",IF(ISNUMBER(FIND(",",Tabela1[[#This Row],[1]])),LEN(Tabela1[[#This Row],[1]])-LEN(SUBSTITUTE(Tabela1[[#This Row],[1]],",",""))+1,1),"")</f>
        <v/>
      </c>
      <c r="AA115">
        <f>IF(Tabela1[[#This Row],[2]]&lt;&gt;"",IF(ISNUMBER(FIND(",",Tabela1[[#This Row],[2]])),LEN(Tabela1[[#This Row],[2]])-LEN(SUBSTITUTE(Tabela1[[#This Row],[2]],",",""))+1,1),"")</f>
        <v>3</v>
      </c>
      <c r="AB115" t="str">
        <f>IF(Tabela1[[#This Row],[3]]&lt;&gt;"",IF(ISNUMBER(FIND(",",Tabela1[[#This Row],[3]])),LEN(Tabela1[[#This Row],[3]])-LEN(SUBSTITUTE(Tabela1[[#This Row],[3]],",",""))+1,1),"")</f>
        <v/>
      </c>
      <c r="AC115">
        <f>IF(Tabela1[[#This Row],[4]]&lt;&gt;"",IF(ISNUMBER(FIND(",",Tabela1[[#This Row],[4]])),LEN(Tabela1[[#This Row],[4]])-LEN(SUBSTITUTE(Tabela1[[#This Row],[4]],",",""))+1,1),"")</f>
        <v>4</v>
      </c>
      <c r="AD115">
        <f>IF(Tabela1[[#This Row],[5]]&lt;&gt;"",IF(ISNUMBER(FIND(",",Tabela1[[#This Row],[5]])),LEN(Tabela1[[#This Row],[5]])-LEN(SUBSTITUTE(Tabela1[[#This Row],[5]],",",""))+1,1),"")</f>
        <v>1</v>
      </c>
      <c r="AE115" t="str">
        <f>IF(Tabela1[[#This Row],[6]]&lt;&gt;"",IF(ISNUMBER(FIND(",",Tabela1[[#This Row],[6]])),LEN(Tabela1[[#This Row],[6]])-LEN(SUBSTITUTE(Tabela1[[#This Row],[6]],",",""))+1,1),"")</f>
        <v/>
      </c>
      <c r="AF115" t="str">
        <f>IF(Tabela1[[#This Row],[7]]&lt;&gt;"",IF(ISNUMBER(FIND(",",Tabela1[[#This Row],[7]])),LEN(Tabela1[[#This Row],[7]])-LEN(SUBSTITUTE(Tabela1[[#This Row],[7]],",",""))+1,1),"")</f>
        <v/>
      </c>
      <c r="AG115" t="str">
        <f>IF(Tabela1[[#This Row],[8]]&lt;&gt;"",IF(ISNUMBER(FIND(",",Tabela1[[#This Row],[8]])),LEN(Tabela1[[#This Row],[8]])-LEN(SUBSTITUTE(Tabela1[[#This Row],[8]],",",""))+1,1),"")</f>
        <v/>
      </c>
      <c r="AH115" t="str">
        <f>IF(Tabela1[[#This Row],[9]]&lt;&gt;"",IF(ISNUMBER(FIND(",",Tabela1[[#This Row],[9]])),LEN(Tabela1[[#This Row],[9]])-LEN(SUBSTITUTE(Tabela1[[#This Row],[9]],",",""))+1,1),"")</f>
        <v/>
      </c>
      <c r="AI115" t="str">
        <f>IF(Tabela1[[#This Row],[10]]&lt;&gt;"",IF(ISNUMBER(FIND(",",Tabela1[[#This Row],[10]])),LEN(Tabela1[[#This Row],[10]])-LEN(SUBSTITUTE(Tabela1[[#This Row],[10]],",",""))+1,1),"")</f>
        <v/>
      </c>
      <c r="AJ115" t="str">
        <f>IF(Tabela1[[#This Row],[11]]&lt;&gt;"",IF(ISNUMBER(FIND(",",Tabela1[[#This Row],[11]])),LEN(Tabela1[[#This Row],[11]])-LEN(SUBSTITUTE(Tabela1[[#This Row],[11]],",",""))+1,1),"")</f>
        <v/>
      </c>
      <c r="AK115" t="str">
        <f>IF(Tabela1[[#This Row],[12]]&lt;&gt;"",IF(ISNUMBER(FIND(",",Tabela1[[#This Row],[12]])),LEN(Tabela1[[#This Row],[12]])-LEN(SUBSTITUTE(Tabela1[[#This Row],[12]],",",""))+1,1),"")</f>
        <v/>
      </c>
      <c r="AL115" t="str">
        <f>IF(Tabela1[[#This Row],[13]]&lt;&gt;"",IF(ISNUMBER(FIND(",",Tabela1[[#This Row],[13]])),LEN(Tabela1[[#This Row],[13]])-LEN(SUBSTITUTE(Tabela1[[#This Row],[13]],",",""))+1,1),"")</f>
        <v/>
      </c>
      <c r="AM115" t="str">
        <f>IF(Tabela1[[#This Row],[14]]&lt;&gt;"",IF(ISNUMBER(FIND(",",Tabela1[[#This Row],[14]])),LEN(Tabela1[[#This Row],[14]])-LEN(SUBSTITUTE(Tabela1[[#This Row],[14]],",",""))+1,1),"")</f>
        <v/>
      </c>
      <c r="AN115" t="str">
        <f>IF(Tabela1[[#This Row],[15]]&lt;&gt;"",IF(ISNUMBER(FIND(",",Tabela1[[#This Row],[15]])),LEN(Tabela1[[#This Row],[15]])-LEN(SUBSTITUTE(Tabela1[[#This Row],[15]],",",""))+1,1),"")</f>
        <v/>
      </c>
      <c r="AO115" t="str">
        <f>IF(Tabela1[[#This Row],[16]]&lt;&gt;"",IF(ISNUMBER(FIND(",",Tabela1[[#This Row],[16]])),LEN(Tabela1[[#This Row],[16]])-LEN(SUBSTITUTE(Tabela1[[#This Row],[16]],",",""))+1,1),"")</f>
        <v/>
      </c>
      <c r="AP115" t="str">
        <f>IF(Tabela1[[#This Row],[17]]&lt;&gt;"",IF(ISNUMBER(FIND(",",Tabela1[[#This Row],[17]])),LEN(Tabela1[[#This Row],[17]])-LEN(SUBSTITUTE(Tabela1[[#This Row],[17]],",",""))+1,1),"")</f>
        <v/>
      </c>
      <c r="AQ115" t="str">
        <f>IF(Tabela1[[#This Row],[18]]&lt;&gt;"",IF(ISNUMBER(FIND(",",Tabela1[[#This Row],[18]])),LEN(Tabela1[[#This Row],[18]])-LEN(SUBSTITUTE(Tabela1[[#This Row],[18]],",",""))+1,1),"")</f>
        <v/>
      </c>
      <c r="AR115" s="13" t="str">
        <f>IF(Tabela1[[#This Row],[19_LENGTH]]&lt;&gt;"",IF(ISNUMBER(FIND(",",Tabela1[[#This Row],[19_LENGTH]])),LEN(Tabela1[[#This Row],[19_LENGTH]])-LEN(SUBSTITUTE(Tabela1[[#This Row],[19_LENGTH]],",",""))+1,1),"")</f>
        <v/>
      </c>
      <c r="AS115">
        <f>SUM(Tabela1[[#This Row],[1_]:[19_]])</f>
        <v>8</v>
      </c>
    </row>
    <row r="116" spans="1:45" x14ac:dyDescent="0.25">
      <c r="A116" s="27" t="s">
        <v>1319</v>
      </c>
      <c r="B116" s="19" t="s">
        <v>702</v>
      </c>
      <c r="C116" s="19">
        <v>188</v>
      </c>
      <c r="D116" s="19" t="s">
        <v>1297</v>
      </c>
      <c r="E116" s="20">
        <v>43451</v>
      </c>
      <c r="F116" s="19"/>
      <c r="G116" s="19"/>
      <c r="H116" s="19"/>
      <c r="I116" s="19"/>
      <c r="J116" s="19">
        <v>7</v>
      </c>
      <c r="K116" s="19"/>
      <c r="L116" s="19"/>
      <c r="M116" s="19"/>
      <c r="N116" s="19"/>
      <c r="O116" s="19"/>
      <c r="P116" s="19"/>
      <c r="Q116" s="19"/>
      <c r="R116" s="19"/>
      <c r="S116" s="19"/>
      <c r="T116" s="19"/>
      <c r="U116" s="19"/>
      <c r="V116" s="19"/>
      <c r="W116" s="19"/>
      <c r="X116" s="19"/>
      <c r="Y116" s="19"/>
      <c r="Z116" t="str">
        <f>IF(Tabela1[[#This Row],[1]]&lt;&gt;"",IF(ISNUMBER(FIND(",",Tabela1[[#This Row],[1]])),LEN(Tabela1[[#This Row],[1]])-LEN(SUBSTITUTE(Tabela1[[#This Row],[1]],",",""))+1,1),"")</f>
        <v/>
      </c>
      <c r="AA116" t="str">
        <f>IF(Tabela1[[#This Row],[2]]&lt;&gt;"",IF(ISNUMBER(FIND(",",Tabela1[[#This Row],[2]])),LEN(Tabela1[[#This Row],[2]])-LEN(SUBSTITUTE(Tabela1[[#This Row],[2]],",",""))+1,1),"")</f>
        <v/>
      </c>
      <c r="AB116" t="str">
        <f>IF(Tabela1[[#This Row],[3]]&lt;&gt;"",IF(ISNUMBER(FIND(",",Tabela1[[#This Row],[3]])),LEN(Tabela1[[#This Row],[3]])-LEN(SUBSTITUTE(Tabela1[[#This Row],[3]],",",""))+1,1),"")</f>
        <v/>
      </c>
      <c r="AC116" t="str">
        <f>IF(Tabela1[[#This Row],[4]]&lt;&gt;"",IF(ISNUMBER(FIND(",",Tabela1[[#This Row],[4]])),LEN(Tabela1[[#This Row],[4]])-LEN(SUBSTITUTE(Tabela1[[#This Row],[4]],",",""))+1,1),"")</f>
        <v/>
      </c>
      <c r="AD116">
        <f>IF(Tabela1[[#This Row],[5]]&lt;&gt;"",IF(ISNUMBER(FIND(",",Tabela1[[#This Row],[5]])),LEN(Tabela1[[#This Row],[5]])-LEN(SUBSTITUTE(Tabela1[[#This Row],[5]],",",""))+1,1),"")</f>
        <v>1</v>
      </c>
      <c r="AE116" t="str">
        <f>IF(Tabela1[[#This Row],[6]]&lt;&gt;"",IF(ISNUMBER(FIND(",",Tabela1[[#This Row],[6]])),LEN(Tabela1[[#This Row],[6]])-LEN(SUBSTITUTE(Tabela1[[#This Row],[6]],",",""))+1,1),"")</f>
        <v/>
      </c>
      <c r="AF116" t="str">
        <f>IF(Tabela1[[#This Row],[7]]&lt;&gt;"",IF(ISNUMBER(FIND(",",Tabela1[[#This Row],[7]])),LEN(Tabela1[[#This Row],[7]])-LEN(SUBSTITUTE(Tabela1[[#This Row],[7]],",",""))+1,1),"")</f>
        <v/>
      </c>
      <c r="AG116" t="str">
        <f>IF(Tabela1[[#This Row],[8]]&lt;&gt;"",IF(ISNUMBER(FIND(",",Tabela1[[#This Row],[8]])),LEN(Tabela1[[#This Row],[8]])-LEN(SUBSTITUTE(Tabela1[[#This Row],[8]],",",""))+1,1),"")</f>
        <v/>
      </c>
      <c r="AH116" t="str">
        <f>IF(Tabela1[[#This Row],[9]]&lt;&gt;"",IF(ISNUMBER(FIND(",",Tabela1[[#This Row],[9]])),LEN(Tabela1[[#This Row],[9]])-LEN(SUBSTITUTE(Tabela1[[#This Row],[9]],",",""))+1,1),"")</f>
        <v/>
      </c>
      <c r="AI116" t="str">
        <f>IF(Tabela1[[#This Row],[10]]&lt;&gt;"",IF(ISNUMBER(FIND(",",Tabela1[[#This Row],[10]])),LEN(Tabela1[[#This Row],[10]])-LEN(SUBSTITUTE(Tabela1[[#This Row],[10]],",",""))+1,1),"")</f>
        <v/>
      </c>
      <c r="AJ116" t="str">
        <f>IF(Tabela1[[#This Row],[11]]&lt;&gt;"",IF(ISNUMBER(FIND(",",Tabela1[[#This Row],[11]])),LEN(Tabela1[[#This Row],[11]])-LEN(SUBSTITUTE(Tabela1[[#This Row],[11]],",",""))+1,1),"")</f>
        <v/>
      </c>
      <c r="AK116" t="str">
        <f>IF(Tabela1[[#This Row],[12]]&lt;&gt;"",IF(ISNUMBER(FIND(",",Tabela1[[#This Row],[12]])),LEN(Tabela1[[#This Row],[12]])-LEN(SUBSTITUTE(Tabela1[[#This Row],[12]],",",""))+1,1),"")</f>
        <v/>
      </c>
      <c r="AL116" t="str">
        <f>IF(Tabela1[[#This Row],[13]]&lt;&gt;"",IF(ISNUMBER(FIND(",",Tabela1[[#This Row],[13]])),LEN(Tabela1[[#This Row],[13]])-LEN(SUBSTITUTE(Tabela1[[#This Row],[13]],",",""))+1,1),"")</f>
        <v/>
      </c>
      <c r="AM116" t="str">
        <f>IF(Tabela1[[#This Row],[14]]&lt;&gt;"",IF(ISNUMBER(FIND(",",Tabela1[[#This Row],[14]])),LEN(Tabela1[[#This Row],[14]])-LEN(SUBSTITUTE(Tabela1[[#This Row],[14]],",",""))+1,1),"")</f>
        <v/>
      </c>
      <c r="AN116" t="str">
        <f>IF(Tabela1[[#This Row],[15]]&lt;&gt;"",IF(ISNUMBER(FIND(",",Tabela1[[#This Row],[15]])),LEN(Tabela1[[#This Row],[15]])-LEN(SUBSTITUTE(Tabela1[[#This Row],[15]],",",""))+1,1),"")</f>
        <v/>
      </c>
      <c r="AO116" t="str">
        <f>IF(Tabela1[[#This Row],[16]]&lt;&gt;"",IF(ISNUMBER(FIND(",",Tabela1[[#This Row],[16]])),LEN(Tabela1[[#This Row],[16]])-LEN(SUBSTITUTE(Tabela1[[#This Row],[16]],",",""))+1,1),"")</f>
        <v/>
      </c>
      <c r="AP116" t="str">
        <f>IF(Tabela1[[#This Row],[17]]&lt;&gt;"",IF(ISNUMBER(FIND(",",Tabela1[[#This Row],[17]])),LEN(Tabela1[[#This Row],[17]])-LEN(SUBSTITUTE(Tabela1[[#This Row],[17]],",",""))+1,1),"")</f>
        <v/>
      </c>
      <c r="AQ116" t="str">
        <f>IF(Tabela1[[#This Row],[18]]&lt;&gt;"",IF(ISNUMBER(FIND(",",Tabela1[[#This Row],[18]])),LEN(Tabela1[[#This Row],[18]])-LEN(SUBSTITUTE(Tabela1[[#This Row],[18]],",",""))+1,1),"")</f>
        <v/>
      </c>
      <c r="AR116" s="13" t="str">
        <f>IF(Tabela1[[#This Row],[19_LENGTH]]&lt;&gt;"",IF(ISNUMBER(FIND(",",Tabela1[[#This Row],[19_LENGTH]])),LEN(Tabela1[[#This Row],[19_LENGTH]])-LEN(SUBSTITUTE(Tabela1[[#This Row],[19_LENGTH]],",",""))+1,1),"")</f>
        <v/>
      </c>
      <c r="AS116">
        <f>SUM(Tabela1[[#This Row],[1_]:[19_]])</f>
        <v>1</v>
      </c>
    </row>
    <row r="117" spans="1:45" x14ac:dyDescent="0.25">
      <c r="A117" s="27" t="s">
        <v>1319</v>
      </c>
      <c r="B117" s="19" t="s">
        <v>703</v>
      </c>
      <c r="C117" s="19">
        <v>202</v>
      </c>
      <c r="D117" s="19" t="s">
        <v>1297</v>
      </c>
      <c r="E117" s="20">
        <v>43451</v>
      </c>
      <c r="F117" s="19"/>
      <c r="G117" s="19"/>
      <c r="H117" s="19"/>
      <c r="I117" s="19"/>
      <c r="J117" s="19"/>
      <c r="K117" s="19"/>
      <c r="L117" s="19"/>
      <c r="M117" s="19"/>
      <c r="N117" s="19"/>
      <c r="O117" s="19"/>
      <c r="P117" s="19"/>
      <c r="Q117" s="19"/>
      <c r="R117" s="19"/>
      <c r="S117" s="19"/>
      <c r="T117" s="19"/>
      <c r="U117" s="19">
        <v>197</v>
      </c>
      <c r="V117" s="19"/>
      <c r="W117" s="19">
        <v>105</v>
      </c>
      <c r="X117" s="19"/>
      <c r="Y117" s="19"/>
      <c r="Z117" t="str">
        <f>IF(Tabela1[[#This Row],[1]]&lt;&gt;"",IF(ISNUMBER(FIND(",",Tabela1[[#This Row],[1]])),LEN(Tabela1[[#This Row],[1]])-LEN(SUBSTITUTE(Tabela1[[#This Row],[1]],",",""))+1,1),"")</f>
        <v/>
      </c>
      <c r="AA117" t="str">
        <f>IF(Tabela1[[#This Row],[2]]&lt;&gt;"",IF(ISNUMBER(FIND(",",Tabela1[[#This Row],[2]])),LEN(Tabela1[[#This Row],[2]])-LEN(SUBSTITUTE(Tabela1[[#This Row],[2]],",",""))+1,1),"")</f>
        <v/>
      </c>
      <c r="AB117" t="str">
        <f>IF(Tabela1[[#This Row],[3]]&lt;&gt;"",IF(ISNUMBER(FIND(",",Tabela1[[#This Row],[3]])),LEN(Tabela1[[#This Row],[3]])-LEN(SUBSTITUTE(Tabela1[[#This Row],[3]],",",""))+1,1),"")</f>
        <v/>
      </c>
      <c r="AC117" t="str">
        <f>IF(Tabela1[[#This Row],[4]]&lt;&gt;"",IF(ISNUMBER(FIND(",",Tabela1[[#This Row],[4]])),LEN(Tabela1[[#This Row],[4]])-LEN(SUBSTITUTE(Tabela1[[#This Row],[4]],",",""))+1,1),"")</f>
        <v/>
      </c>
      <c r="AD117" t="str">
        <f>IF(Tabela1[[#This Row],[5]]&lt;&gt;"",IF(ISNUMBER(FIND(",",Tabela1[[#This Row],[5]])),LEN(Tabela1[[#This Row],[5]])-LEN(SUBSTITUTE(Tabela1[[#This Row],[5]],",",""))+1,1),"")</f>
        <v/>
      </c>
      <c r="AE117" t="str">
        <f>IF(Tabela1[[#This Row],[6]]&lt;&gt;"",IF(ISNUMBER(FIND(",",Tabela1[[#This Row],[6]])),LEN(Tabela1[[#This Row],[6]])-LEN(SUBSTITUTE(Tabela1[[#This Row],[6]],",",""))+1,1),"")</f>
        <v/>
      </c>
      <c r="AF117" t="str">
        <f>IF(Tabela1[[#This Row],[7]]&lt;&gt;"",IF(ISNUMBER(FIND(",",Tabela1[[#This Row],[7]])),LEN(Tabela1[[#This Row],[7]])-LEN(SUBSTITUTE(Tabela1[[#This Row],[7]],",",""))+1,1),"")</f>
        <v/>
      </c>
      <c r="AG117" t="str">
        <f>IF(Tabela1[[#This Row],[8]]&lt;&gt;"",IF(ISNUMBER(FIND(",",Tabela1[[#This Row],[8]])),LEN(Tabela1[[#This Row],[8]])-LEN(SUBSTITUTE(Tabela1[[#This Row],[8]],",",""))+1,1),"")</f>
        <v/>
      </c>
      <c r="AH117" t="str">
        <f>IF(Tabela1[[#This Row],[9]]&lt;&gt;"",IF(ISNUMBER(FIND(",",Tabela1[[#This Row],[9]])),LEN(Tabela1[[#This Row],[9]])-LEN(SUBSTITUTE(Tabela1[[#This Row],[9]],",",""))+1,1),"")</f>
        <v/>
      </c>
      <c r="AI117" t="str">
        <f>IF(Tabela1[[#This Row],[10]]&lt;&gt;"",IF(ISNUMBER(FIND(",",Tabela1[[#This Row],[10]])),LEN(Tabela1[[#This Row],[10]])-LEN(SUBSTITUTE(Tabela1[[#This Row],[10]],",",""))+1,1),"")</f>
        <v/>
      </c>
      <c r="AJ117" t="str">
        <f>IF(Tabela1[[#This Row],[11]]&lt;&gt;"",IF(ISNUMBER(FIND(",",Tabela1[[#This Row],[11]])),LEN(Tabela1[[#This Row],[11]])-LEN(SUBSTITUTE(Tabela1[[#This Row],[11]],",",""))+1,1),"")</f>
        <v/>
      </c>
      <c r="AK117" t="str">
        <f>IF(Tabela1[[#This Row],[12]]&lt;&gt;"",IF(ISNUMBER(FIND(",",Tabela1[[#This Row],[12]])),LEN(Tabela1[[#This Row],[12]])-LEN(SUBSTITUTE(Tabela1[[#This Row],[12]],",",""))+1,1),"")</f>
        <v/>
      </c>
      <c r="AL117" t="str">
        <f>IF(Tabela1[[#This Row],[13]]&lt;&gt;"",IF(ISNUMBER(FIND(",",Tabela1[[#This Row],[13]])),LEN(Tabela1[[#This Row],[13]])-LEN(SUBSTITUTE(Tabela1[[#This Row],[13]],",",""))+1,1),"")</f>
        <v/>
      </c>
      <c r="AM117" t="str">
        <f>IF(Tabela1[[#This Row],[14]]&lt;&gt;"",IF(ISNUMBER(FIND(",",Tabela1[[#This Row],[14]])),LEN(Tabela1[[#This Row],[14]])-LEN(SUBSTITUTE(Tabela1[[#This Row],[14]],",",""))+1,1),"")</f>
        <v/>
      </c>
      <c r="AN117" t="str">
        <f>IF(Tabela1[[#This Row],[15]]&lt;&gt;"",IF(ISNUMBER(FIND(",",Tabela1[[#This Row],[15]])),LEN(Tabela1[[#This Row],[15]])-LEN(SUBSTITUTE(Tabela1[[#This Row],[15]],",",""))+1,1),"")</f>
        <v/>
      </c>
      <c r="AO117">
        <f>IF(Tabela1[[#This Row],[16]]&lt;&gt;"",IF(ISNUMBER(FIND(",",Tabela1[[#This Row],[16]])),LEN(Tabela1[[#This Row],[16]])-LEN(SUBSTITUTE(Tabela1[[#This Row],[16]],",",""))+1,1),"")</f>
        <v>1</v>
      </c>
      <c r="AP117" t="str">
        <f>IF(Tabela1[[#This Row],[17]]&lt;&gt;"",IF(ISNUMBER(FIND(",",Tabela1[[#This Row],[17]])),LEN(Tabela1[[#This Row],[17]])-LEN(SUBSTITUTE(Tabela1[[#This Row],[17]],",",""))+1,1),"")</f>
        <v/>
      </c>
      <c r="AQ117">
        <f>IF(Tabela1[[#This Row],[18]]&lt;&gt;"",IF(ISNUMBER(FIND(",",Tabela1[[#This Row],[18]])),LEN(Tabela1[[#This Row],[18]])-LEN(SUBSTITUTE(Tabela1[[#This Row],[18]],",",""))+1,1),"")</f>
        <v>1</v>
      </c>
      <c r="AR117" s="13" t="str">
        <f>IF(Tabela1[[#This Row],[19_LENGTH]]&lt;&gt;"",IF(ISNUMBER(FIND(",",Tabela1[[#This Row],[19_LENGTH]])),LEN(Tabela1[[#This Row],[19_LENGTH]])-LEN(SUBSTITUTE(Tabela1[[#This Row],[19_LENGTH]],",",""))+1,1),"")</f>
        <v/>
      </c>
      <c r="AS117">
        <f>SUM(Tabela1[[#This Row],[1_]:[19_]])</f>
        <v>2</v>
      </c>
    </row>
    <row r="118" spans="1:45" x14ac:dyDescent="0.25">
      <c r="A118" s="27" t="s">
        <v>1319</v>
      </c>
      <c r="B118" s="19" t="s">
        <v>357</v>
      </c>
      <c r="C118" s="19">
        <v>204</v>
      </c>
      <c r="D118" s="19" t="s">
        <v>1314</v>
      </c>
      <c r="E118" s="20">
        <v>43451</v>
      </c>
      <c r="F118" s="19"/>
      <c r="G118" s="19"/>
      <c r="H118" s="19"/>
      <c r="I118" s="19"/>
      <c r="J118" s="19"/>
      <c r="K118" s="19"/>
      <c r="L118" s="19"/>
      <c r="M118" s="19">
        <v>39</v>
      </c>
      <c r="N118" s="19"/>
      <c r="O118" s="19"/>
      <c r="P118" s="19"/>
      <c r="Q118" s="19"/>
      <c r="R118" s="19"/>
      <c r="S118" s="19"/>
      <c r="T118" s="19"/>
      <c r="U118" s="19"/>
      <c r="V118" s="19"/>
      <c r="W118" s="19"/>
      <c r="X118" s="19"/>
      <c r="Y118" s="19"/>
      <c r="Z118" t="str">
        <f>IF(Tabela1[[#This Row],[1]]&lt;&gt;"",IF(ISNUMBER(FIND(",",Tabela1[[#This Row],[1]])),LEN(Tabela1[[#This Row],[1]])-LEN(SUBSTITUTE(Tabela1[[#This Row],[1]],",",""))+1,1),"")</f>
        <v/>
      </c>
      <c r="AA118" t="str">
        <f>IF(Tabela1[[#This Row],[2]]&lt;&gt;"",IF(ISNUMBER(FIND(",",Tabela1[[#This Row],[2]])),LEN(Tabela1[[#This Row],[2]])-LEN(SUBSTITUTE(Tabela1[[#This Row],[2]],",",""))+1,1),"")</f>
        <v/>
      </c>
      <c r="AB118" t="str">
        <f>IF(Tabela1[[#This Row],[3]]&lt;&gt;"",IF(ISNUMBER(FIND(",",Tabela1[[#This Row],[3]])),LEN(Tabela1[[#This Row],[3]])-LEN(SUBSTITUTE(Tabela1[[#This Row],[3]],",",""))+1,1),"")</f>
        <v/>
      </c>
      <c r="AC118" t="str">
        <f>IF(Tabela1[[#This Row],[4]]&lt;&gt;"",IF(ISNUMBER(FIND(",",Tabela1[[#This Row],[4]])),LEN(Tabela1[[#This Row],[4]])-LEN(SUBSTITUTE(Tabela1[[#This Row],[4]],",",""))+1,1),"")</f>
        <v/>
      </c>
      <c r="AD118" t="str">
        <f>IF(Tabela1[[#This Row],[5]]&lt;&gt;"",IF(ISNUMBER(FIND(",",Tabela1[[#This Row],[5]])),LEN(Tabela1[[#This Row],[5]])-LEN(SUBSTITUTE(Tabela1[[#This Row],[5]],",",""))+1,1),"")</f>
        <v/>
      </c>
      <c r="AE118" t="str">
        <f>IF(Tabela1[[#This Row],[6]]&lt;&gt;"",IF(ISNUMBER(FIND(",",Tabela1[[#This Row],[6]])),LEN(Tabela1[[#This Row],[6]])-LEN(SUBSTITUTE(Tabela1[[#This Row],[6]],",",""))+1,1),"")</f>
        <v/>
      </c>
      <c r="AF118" t="str">
        <f>IF(Tabela1[[#This Row],[7]]&lt;&gt;"",IF(ISNUMBER(FIND(",",Tabela1[[#This Row],[7]])),LEN(Tabela1[[#This Row],[7]])-LEN(SUBSTITUTE(Tabela1[[#This Row],[7]],",",""))+1,1),"")</f>
        <v/>
      </c>
      <c r="AG118">
        <f>IF(Tabela1[[#This Row],[8]]&lt;&gt;"",IF(ISNUMBER(FIND(",",Tabela1[[#This Row],[8]])),LEN(Tabela1[[#This Row],[8]])-LEN(SUBSTITUTE(Tabela1[[#This Row],[8]],",",""))+1,1),"")</f>
        <v>1</v>
      </c>
      <c r="AH118" t="str">
        <f>IF(Tabela1[[#This Row],[9]]&lt;&gt;"",IF(ISNUMBER(FIND(",",Tabela1[[#This Row],[9]])),LEN(Tabela1[[#This Row],[9]])-LEN(SUBSTITUTE(Tabela1[[#This Row],[9]],",",""))+1,1),"")</f>
        <v/>
      </c>
      <c r="AI118" t="str">
        <f>IF(Tabela1[[#This Row],[10]]&lt;&gt;"",IF(ISNUMBER(FIND(",",Tabela1[[#This Row],[10]])),LEN(Tabela1[[#This Row],[10]])-LEN(SUBSTITUTE(Tabela1[[#This Row],[10]],",",""))+1,1),"")</f>
        <v/>
      </c>
      <c r="AJ118" t="str">
        <f>IF(Tabela1[[#This Row],[11]]&lt;&gt;"",IF(ISNUMBER(FIND(",",Tabela1[[#This Row],[11]])),LEN(Tabela1[[#This Row],[11]])-LEN(SUBSTITUTE(Tabela1[[#This Row],[11]],",",""))+1,1),"")</f>
        <v/>
      </c>
      <c r="AK118" t="str">
        <f>IF(Tabela1[[#This Row],[12]]&lt;&gt;"",IF(ISNUMBER(FIND(",",Tabela1[[#This Row],[12]])),LEN(Tabela1[[#This Row],[12]])-LEN(SUBSTITUTE(Tabela1[[#This Row],[12]],",",""))+1,1),"")</f>
        <v/>
      </c>
      <c r="AL118" t="str">
        <f>IF(Tabela1[[#This Row],[13]]&lt;&gt;"",IF(ISNUMBER(FIND(",",Tabela1[[#This Row],[13]])),LEN(Tabela1[[#This Row],[13]])-LEN(SUBSTITUTE(Tabela1[[#This Row],[13]],",",""))+1,1),"")</f>
        <v/>
      </c>
      <c r="AM118" t="str">
        <f>IF(Tabela1[[#This Row],[14]]&lt;&gt;"",IF(ISNUMBER(FIND(",",Tabela1[[#This Row],[14]])),LEN(Tabela1[[#This Row],[14]])-LEN(SUBSTITUTE(Tabela1[[#This Row],[14]],",",""))+1,1),"")</f>
        <v/>
      </c>
      <c r="AN118" t="str">
        <f>IF(Tabela1[[#This Row],[15]]&lt;&gt;"",IF(ISNUMBER(FIND(",",Tabela1[[#This Row],[15]])),LEN(Tabela1[[#This Row],[15]])-LEN(SUBSTITUTE(Tabela1[[#This Row],[15]],",",""))+1,1),"")</f>
        <v/>
      </c>
      <c r="AO118" t="str">
        <f>IF(Tabela1[[#This Row],[16]]&lt;&gt;"",IF(ISNUMBER(FIND(",",Tabela1[[#This Row],[16]])),LEN(Tabela1[[#This Row],[16]])-LEN(SUBSTITUTE(Tabela1[[#This Row],[16]],",",""))+1,1),"")</f>
        <v/>
      </c>
      <c r="AP118" t="str">
        <f>IF(Tabela1[[#This Row],[17]]&lt;&gt;"",IF(ISNUMBER(FIND(",",Tabela1[[#This Row],[17]])),LEN(Tabela1[[#This Row],[17]])-LEN(SUBSTITUTE(Tabela1[[#This Row],[17]],",",""))+1,1),"")</f>
        <v/>
      </c>
      <c r="AQ118" t="str">
        <f>IF(Tabela1[[#This Row],[18]]&lt;&gt;"",IF(ISNUMBER(FIND(",",Tabela1[[#This Row],[18]])),LEN(Tabela1[[#This Row],[18]])-LEN(SUBSTITUTE(Tabela1[[#This Row],[18]],",",""))+1,1),"")</f>
        <v/>
      </c>
      <c r="AR118" s="13" t="str">
        <f>IF(Tabela1[[#This Row],[19_LENGTH]]&lt;&gt;"",IF(ISNUMBER(FIND(",",Tabela1[[#This Row],[19_LENGTH]])),LEN(Tabela1[[#This Row],[19_LENGTH]])-LEN(SUBSTITUTE(Tabela1[[#This Row],[19_LENGTH]],",",""))+1,1),"")</f>
        <v/>
      </c>
      <c r="AS118">
        <f>SUM(Tabela1[[#This Row],[1_]:[19_]])</f>
        <v>1</v>
      </c>
    </row>
    <row r="119" spans="1:45" x14ac:dyDescent="0.25">
      <c r="A119" s="27" t="s">
        <v>1319</v>
      </c>
      <c r="B119" s="19" t="s">
        <v>358</v>
      </c>
      <c r="C119" s="19">
        <v>202</v>
      </c>
      <c r="D119" s="19" t="s">
        <v>1314</v>
      </c>
      <c r="E119" s="20">
        <v>43451</v>
      </c>
      <c r="F119" s="19"/>
      <c r="G119" s="19">
        <v>198</v>
      </c>
      <c r="H119" s="19" t="s">
        <v>48</v>
      </c>
      <c r="I119" s="19"/>
      <c r="J119" s="19"/>
      <c r="K119" s="19"/>
      <c r="L119" s="19"/>
      <c r="M119" s="19"/>
      <c r="N119" s="19"/>
      <c r="O119" s="19"/>
      <c r="P119" s="19"/>
      <c r="Q119" s="19"/>
      <c r="R119" s="19"/>
      <c r="S119" s="19"/>
      <c r="T119" s="19"/>
      <c r="U119" s="19"/>
      <c r="V119" s="19"/>
      <c r="W119" s="19"/>
      <c r="X119" s="19"/>
      <c r="Y119" s="19"/>
      <c r="Z119" t="str">
        <f>IF(Tabela1[[#This Row],[1]]&lt;&gt;"",IF(ISNUMBER(FIND(",",Tabela1[[#This Row],[1]])),LEN(Tabela1[[#This Row],[1]])-LEN(SUBSTITUTE(Tabela1[[#This Row],[1]],",",""))+1,1),"")</f>
        <v/>
      </c>
      <c r="AA119">
        <f>IF(Tabela1[[#This Row],[2]]&lt;&gt;"",IF(ISNUMBER(FIND(",",Tabela1[[#This Row],[2]])),LEN(Tabela1[[#This Row],[2]])-LEN(SUBSTITUTE(Tabela1[[#This Row],[2]],",",""))+1,1),"")</f>
        <v>1</v>
      </c>
      <c r="AB119">
        <f>IF(Tabela1[[#This Row],[3]]&lt;&gt;"",IF(ISNUMBER(FIND(",",Tabela1[[#This Row],[3]])),LEN(Tabela1[[#This Row],[3]])-LEN(SUBSTITUTE(Tabela1[[#This Row],[3]],",",""))+1,1),"")</f>
        <v>1</v>
      </c>
      <c r="AC119" t="str">
        <f>IF(Tabela1[[#This Row],[4]]&lt;&gt;"",IF(ISNUMBER(FIND(",",Tabela1[[#This Row],[4]])),LEN(Tabela1[[#This Row],[4]])-LEN(SUBSTITUTE(Tabela1[[#This Row],[4]],",",""))+1,1),"")</f>
        <v/>
      </c>
      <c r="AD119" t="str">
        <f>IF(Tabela1[[#This Row],[5]]&lt;&gt;"",IF(ISNUMBER(FIND(",",Tabela1[[#This Row],[5]])),LEN(Tabela1[[#This Row],[5]])-LEN(SUBSTITUTE(Tabela1[[#This Row],[5]],",",""))+1,1),"")</f>
        <v/>
      </c>
      <c r="AE119" t="str">
        <f>IF(Tabela1[[#This Row],[6]]&lt;&gt;"",IF(ISNUMBER(FIND(",",Tabela1[[#This Row],[6]])),LEN(Tabela1[[#This Row],[6]])-LEN(SUBSTITUTE(Tabela1[[#This Row],[6]],",",""))+1,1),"")</f>
        <v/>
      </c>
      <c r="AF119" t="str">
        <f>IF(Tabela1[[#This Row],[7]]&lt;&gt;"",IF(ISNUMBER(FIND(",",Tabela1[[#This Row],[7]])),LEN(Tabela1[[#This Row],[7]])-LEN(SUBSTITUTE(Tabela1[[#This Row],[7]],",",""))+1,1),"")</f>
        <v/>
      </c>
      <c r="AG119" t="str">
        <f>IF(Tabela1[[#This Row],[8]]&lt;&gt;"",IF(ISNUMBER(FIND(",",Tabela1[[#This Row],[8]])),LEN(Tabela1[[#This Row],[8]])-LEN(SUBSTITUTE(Tabela1[[#This Row],[8]],",",""))+1,1),"")</f>
        <v/>
      </c>
      <c r="AH119" t="str">
        <f>IF(Tabela1[[#This Row],[9]]&lt;&gt;"",IF(ISNUMBER(FIND(",",Tabela1[[#This Row],[9]])),LEN(Tabela1[[#This Row],[9]])-LEN(SUBSTITUTE(Tabela1[[#This Row],[9]],",",""))+1,1),"")</f>
        <v/>
      </c>
      <c r="AI119" t="str">
        <f>IF(Tabela1[[#This Row],[10]]&lt;&gt;"",IF(ISNUMBER(FIND(",",Tabela1[[#This Row],[10]])),LEN(Tabela1[[#This Row],[10]])-LEN(SUBSTITUTE(Tabela1[[#This Row],[10]],",",""))+1,1),"")</f>
        <v/>
      </c>
      <c r="AJ119" t="str">
        <f>IF(Tabela1[[#This Row],[11]]&lt;&gt;"",IF(ISNUMBER(FIND(",",Tabela1[[#This Row],[11]])),LEN(Tabela1[[#This Row],[11]])-LEN(SUBSTITUTE(Tabela1[[#This Row],[11]],",",""))+1,1),"")</f>
        <v/>
      </c>
      <c r="AK119" t="str">
        <f>IF(Tabela1[[#This Row],[12]]&lt;&gt;"",IF(ISNUMBER(FIND(",",Tabela1[[#This Row],[12]])),LEN(Tabela1[[#This Row],[12]])-LEN(SUBSTITUTE(Tabela1[[#This Row],[12]],",",""))+1,1),"")</f>
        <v/>
      </c>
      <c r="AL119" t="str">
        <f>IF(Tabela1[[#This Row],[13]]&lt;&gt;"",IF(ISNUMBER(FIND(",",Tabela1[[#This Row],[13]])),LEN(Tabela1[[#This Row],[13]])-LEN(SUBSTITUTE(Tabela1[[#This Row],[13]],",",""))+1,1),"")</f>
        <v/>
      </c>
      <c r="AM119" t="str">
        <f>IF(Tabela1[[#This Row],[14]]&lt;&gt;"",IF(ISNUMBER(FIND(",",Tabela1[[#This Row],[14]])),LEN(Tabela1[[#This Row],[14]])-LEN(SUBSTITUTE(Tabela1[[#This Row],[14]],",",""))+1,1),"")</f>
        <v/>
      </c>
      <c r="AN119" t="str">
        <f>IF(Tabela1[[#This Row],[15]]&lt;&gt;"",IF(ISNUMBER(FIND(",",Tabela1[[#This Row],[15]])),LEN(Tabela1[[#This Row],[15]])-LEN(SUBSTITUTE(Tabela1[[#This Row],[15]],",",""))+1,1),"")</f>
        <v/>
      </c>
      <c r="AO119" t="str">
        <f>IF(Tabela1[[#This Row],[16]]&lt;&gt;"",IF(ISNUMBER(FIND(",",Tabela1[[#This Row],[16]])),LEN(Tabela1[[#This Row],[16]])-LEN(SUBSTITUTE(Tabela1[[#This Row],[16]],",",""))+1,1),"")</f>
        <v/>
      </c>
      <c r="AP119" t="str">
        <f>IF(Tabela1[[#This Row],[17]]&lt;&gt;"",IF(ISNUMBER(FIND(",",Tabela1[[#This Row],[17]])),LEN(Tabela1[[#This Row],[17]])-LEN(SUBSTITUTE(Tabela1[[#This Row],[17]],",",""))+1,1),"")</f>
        <v/>
      </c>
      <c r="AQ119" t="str">
        <f>IF(Tabela1[[#This Row],[18]]&lt;&gt;"",IF(ISNUMBER(FIND(",",Tabela1[[#This Row],[18]])),LEN(Tabela1[[#This Row],[18]])-LEN(SUBSTITUTE(Tabela1[[#This Row],[18]],",",""))+1,1),"")</f>
        <v/>
      </c>
      <c r="AR119" s="13" t="str">
        <f>IF(Tabela1[[#This Row],[19_LENGTH]]&lt;&gt;"",IF(ISNUMBER(FIND(",",Tabela1[[#This Row],[19_LENGTH]])),LEN(Tabela1[[#This Row],[19_LENGTH]])-LEN(SUBSTITUTE(Tabela1[[#This Row],[19_LENGTH]],",",""))+1,1),"")</f>
        <v/>
      </c>
      <c r="AS119">
        <f>SUM(Tabela1[[#This Row],[1_]:[19_]])</f>
        <v>2</v>
      </c>
    </row>
    <row r="120" spans="1:45" x14ac:dyDescent="0.25">
      <c r="A120" s="27" t="s">
        <v>1319</v>
      </c>
      <c r="B120" s="19" t="s">
        <v>359</v>
      </c>
      <c r="C120" s="19">
        <v>202</v>
      </c>
      <c r="D120" s="19" t="s">
        <v>1314</v>
      </c>
      <c r="E120" s="20">
        <v>43451</v>
      </c>
      <c r="F120" s="19"/>
      <c r="G120" s="19"/>
      <c r="H120" s="19"/>
      <c r="I120" s="19" t="s">
        <v>49</v>
      </c>
      <c r="J120" s="19"/>
      <c r="K120" s="19"/>
      <c r="L120" s="19"/>
      <c r="M120" s="19"/>
      <c r="N120" s="19"/>
      <c r="O120" s="19"/>
      <c r="P120" s="19"/>
      <c r="Q120" s="19"/>
      <c r="R120" s="19"/>
      <c r="S120" s="19"/>
      <c r="T120" s="19"/>
      <c r="U120" s="19"/>
      <c r="V120" s="19"/>
      <c r="W120" s="19"/>
      <c r="X120" s="19"/>
      <c r="Y120" s="19"/>
      <c r="Z120" t="str">
        <f>IF(Tabela1[[#This Row],[1]]&lt;&gt;"",IF(ISNUMBER(FIND(",",Tabela1[[#This Row],[1]])),LEN(Tabela1[[#This Row],[1]])-LEN(SUBSTITUTE(Tabela1[[#This Row],[1]],",",""))+1,1),"")</f>
        <v/>
      </c>
      <c r="AA120" t="str">
        <f>IF(Tabela1[[#This Row],[2]]&lt;&gt;"",IF(ISNUMBER(FIND(",",Tabela1[[#This Row],[2]])),LEN(Tabela1[[#This Row],[2]])-LEN(SUBSTITUTE(Tabela1[[#This Row],[2]],",",""))+1,1),"")</f>
        <v/>
      </c>
      <c r="AB120" t="str">
        <f>IF(Tabela1[[#This Row],[3]]&lt;&gt;"",IF(ISNUMBER(FIND(",",Tabela1[[#This Row],[3]])),LEN(Tabela1[[#This Row],[3]])-LEN(SUBSTITUTE(Tabela1[[#This Row],[3]],",",""))+1,1),"")</f>
        <v/>
      </c>
      <c r="AC120">
        <f>IF(Tabela1[[#This Row],[4]]&lt;&gt;"",IF(ISNUMBER(FIND(",",Tabela1[[#This Row],[4]])),LEN(Tabela1[[#This Row],[4]])-LEN(SUBSTITUTE(Tabela1[[#This Row],[4]],",",""))+1,1),"")</f>
        <v>2</v>
      </c>
      <c r="AD120" t="str">
        <f>IF(Tabela1[[#This Row],[5]]&lt;&gt;"",IF(ISNUMBER(FIND(",",Tabela1[[#This Row],[5]])),LEN(Tabela1[[#This Row],[5]])-LEN(SUBSTITUTE(Tabela1[[#This Row],[5]],",",""))+1,1),"")</f>
        <v/>
      </c>
      <c r="AE120" t="str">
        <f>IF(Tabela1[[#This Row],[6]]&lt;&gt;"",IF(ISNUMBER(FIND(",",Tabela1[[#This Row],[6]])),LEN(Tabela1[[#This Row],[6]])-LEN(SUBSTITUTE(Tabela1[[#This Row],[6]],",",""))+1,1),"")</f>
        <v/>
      </c>
      <c r="AF120" t="str">
        <f>IF(Tabela1[[#This Row],[7]]&lt;&gt;"",IF(ISNUMBER(FIND(",",Tabela1[[#This Row],[7]])),LEN(Tabela1[[#This Row],[7]])-LEN(SUBSTITUTE(Tabela1[[#This Row],[7]],",",""))+1,1),"")</f>
        <v/>
      </c>
      <c r="AG120" t="str">
        <f>IF(Tabela1[[#This Row],[8]]&lt;&gt;"",IF(ISNUMBER(FIND(",",Tabela1[[#This Row],[8]])),LEN(Tabela1[[#This Row],[8]])-LEN(SUBSTITUTE(Tabela1[[#This Row],[8]],",",""))+1,1),"")</f>
        <v/>
      </c>
      <c r="AH120" t="str">
        <f>IF(Tabela1[[#This Row],[9]]&lt;&gt;"",IF(ISNUMBER(FIND(",",Tabela1[[#This Row],[9]])),LEN(Tabela1[[#This Row],[9]])-LEN(SUBSTITUTE(Tabela1[[#This Row],[9]],",",""))+1,1),"")</f>
        <v/>
      </c>
      <c r="AI120" t="str">
        <f>IF(Tabela1[[#This Row],[10]]&lt;&gt;"",IF(ISNUMBER(FIND(",",Tabela1[[#This Row],[10]])),LEN(Tabela1[[#This Row],[10]])-LEN(SUBSTITUTE(Tabela1[[#This Row],[10]],",",""))+1,1),"")</f>
        <v/>
      </c>
      <c r="AJ120" t="str">
        <f>IF(Tabela1[[#This Row],[11]]&lt;&gt;"",IF(ISNUMBER(FIND(",",Tabela1[[#This Row],[11]])),LEN(Tabela1[[#This Row],[11]])-LEN(SUBSTITUTE(Tabela1[[#This Row],[11]],",",""))+1,1),"")</f>
        <v/>
      </c>
      <c r="AK120" t="str">
        <f>IF(Tabela1[[#This Row],[12]]&lt;&gt;"",IF(ISNUMBER(FIND(",",Tabela1[[#This Row],[12]])),LEN(Tabela1[[#This Row],[12]])-LEN(SUBSTITUTE(Tabela1[[#This Row],[12]],",",""))+1,1),"")</f>
        <v/>
      </c>
      <c r="AL120" t="str">
        <f>IF(Tabela1[[#This Row],[13]]&lt;&gt;"",IF(ISNUMBER(FIND(",",Tabela1[[#This Row],[13]])),LEN(Tabela1[[#This Row],[13]])-LEN(SUBSTITUTE(Tabela1[[#This Row],[13]],",",""))+1,1),"")</f>
        <v/>
      </c>
      <c r="AM120" t="str">
        <f>IF(Tabela1[[#This Row],[14]]&lt;&gt;"",IF(ISNUMBER(FIND(",",Tabela1[[#This Row],[14]])),LEN(Tabela1[[#This Row],[14]])-LEN(SUBSTITUTE(Tabela1[[#This Row],[14]],",",""))+1,1),"")</f>
        <v/>
      </c>
      <c r="AN120" t="str">
        <f>IF(Tabela1[[#This Row],[15]]&lt;&gt;"",IF(ISNUMBER(FIND(",",Tabela1[[#This Row],[15]])),LEN(Tabela1[[#This Row],[15]])-LEN(SUBSTITUTE(Tabela1[[#This Row],[15]],",",""))+1,1),"")</f>
        <v/>
      </c>
      <c r="AO120" t="str">
        <f>IF(Tabela1[[#This Row],[16]]&lt;&gt;"",IF(ISNUMBER(FIND(",",Tabela1[[#This Row],[16]])),LEN(Tabela1[[#This Row],[16]])-LEN(SUBSTITUTE(Tabela1[[#This Row],[16]],",",""))+1,1),"")</f>
        <v/>
      </c>
      <c r="AP120" t="str">
        <f>IF(Tabela1[[#This Row],[17]]&lt;&gt;"",IF(ISNUMBER(FIND(",",Tabela1[[#This Row],[17]])),LEN(Tabela1[[#This Row],[17]])-LEN(SUBSTITUTE(Tabela1[[#This Row],[17]],",",""))+1,1),"")</f>
        <v/>
      </c>
      <c r="AQ120" t="str">
        <f>IF(Tabela1[[#This Row],[18]]&lt;&gt;"",IF(ISNUMBER(FIND(",",Tabela1[[#This Row],[18]])),LEN(Tabela1[[#This Row],[18]])-LEN(SUBSTITUTE(Tabela1[[#This Row],[18]],",",""))+1,1),"")</f>
        <v/>
      </c>
      <c r="AR120" s="13" t="str">
        <f>IF(Tabela1[[#This Row],[19_LENGTH]]&lt;&gt;"",IF(ISNUMBER(FIND(",",Tabela1[[#This Row],[19_LENGTH]])),LEN(Tabela1[[#This Row],[19_LENGTH]])-LEN(SUBSTITUTE(Tabela1[[#This Row],[19_LENGTH]],",",""))+1,1),"")</f>
        <v/>
      </c>
      <c r="AS120">
        <f>SUM(Tabela1[[#This Row],[1_]:[19_]])</f>
        <v>2</v>
      </c>
    </row>
    <row r="121" spans="1:45" x14ac:dyDescent="0.25">
      <c r="A121" s="27" t="s">
        <v>1319</v>
      </c>
      <c r="B121" s="19" t="s">
        <v>360</v>
      </c>
      <c r="C121" s="19">
        <v>102</v>
      </c>
      <c r="D121" s="19" t="s">
        <v>1301</v>
      </c>
      <c r="E121" s="20">
        <v>43451</v>
      </c>
      <c r="F121" s="19"/>
      <c r="G121" s="19"/>
      <c r="H121" s="19"/>
      <c r="I121" s="19"/>
      <c r="J121" s="19"/>
      <c r="K121" s="19"/>
      <c r="L121" s="19"/>
      <c r="M121" s="19"/>
      <c r="N121" s="19"/>
      <c r="O121" s="19"/>
      <c r="P121" s="19"/>
      <c r="Q121" s="19"/>
      <c r="R121" s="19"/>
      <c r="S121" s="19"/>
      <c r="T121" s="19"/>
      <c r="U121" s="19">
        <v>7</v>
      </c>
      <c r="V121" s="19"/>
      <c r="W121" s="19"/>
      <c r="X121" s="19"/>
      <c r="Y121" s="19"/>
      <c r="Z121" t="str">
        <f>IF(Tabela1[[#This Row],[1]]&lt;&gt;"",IF(ISNUMBER(FIND(",",Tabela1[[#This Row],[1]])),LEN(Tabela1[[#This Row],[1]])-LEN(SUBSTITUTE(Tabela1[[#This Row],[1]],",",""))+1,1),"")</f>
        <v/>
      </c>
      <c r="AA121" t="str">
        <f>IF(Tabela1[[#This Row],[2]]&lt;&gt;"",IF(ISNUMBER(FIND(",",Tabela1[[#This Row],[2]])),LEN(Tabela1[[#This Row],[2]])-LEN(SUBSTITUTE(Tabela1[[#This Row],[2]],",",""))+1,1),"")</f>
        <v/>
      </c>
      <c r="AB121" t="str">
        <f>IF(Tabela1[[#This Row],[3]]&lt;&gt;"",IF(ISNUMBER(FIND(",",Tabela1[[#This Row],[3]])),LEN(Tabela1[[#This Row],[3]])-LEN(SUBSTITUTE(Tabela1[[#This Row],[3]],",",""))+1,1),"")</f>
        <v/>
      </c>
      <c r="AC121" t="str">
        <f>IF(Tabela1[[#This Row],[4]]&lt;&gt;"",IF(ISNUMBER(FIND(",",Tabela1[[#This Row],[4]])),LEN(Tabela1[[#This Row],[4]])-LEN(SUBSTITUTE(Tabela1[[#This Row],[4]],",",""))+1,1),"")</f>
        <v/>
      </c>
      <c r="AD121" t="str">
        <f>IF(Tabela1[[#This Row],[5]]&lt;&gt;"",IF(ISNUMBER(FIND(",",Tabela1[[#This Row],[5]])),LEN(Tabela1[[#This Row],[5]])-LEN(SUBSTITUTE(Tabela1[[#This Row],[5]],",",""))+1,1),"")</f>
        <v/>
      </c>
      <c r="AE121" t="str">
        <f>IF(Tabela1[[#This Row],[6]]&lt;&gt;"",IF(ISNUMBER(FIND(",",Tabela1[[#This Row],[6]])),LEN(Tabela1[[#This Row],[6]])-LEN(SUBSTITUTE(Tabela1[[#This Row],[6]],",",""))+1,1),"")</f>
        <v/>
      </c>
      <c r="AF121" t="str">
        <f>IF(Tabela1[[#This Row],[7]]&lt;&gt;"",IF(ISNUMBER(FIND(",",Tabela1[[#This Row],[7]])),LEN(Tabela1[[#This Row],[7]])-LEN(SUBSTITUTE(Tabela1[[#This Row],[7]],",",""))+1,1),"")</f>
        <v/>
      </c>
      <c r="AG121" t="str">
        <f>IF(Tabela1[[#This Row],[8]]&lt;&gt;"",IF(ISNUMBER(FIND(",",Tabela1[[#This Row],[8]])),LEN(Tabela1[[#This Row],[8]])-LEN(SUBSTITUTE(Tabela1[[#This Row],[8]],",",""))+1,1),"")</f>
        <v/>
      </c>
      <c r="AH121" t="str">
        <f>IF(Tabela1[[#This Row],[9]]&lt;&gt;"",IF(ISNUMBER(FIND(",",Tabela1[[#This Row],[9]])),LEN(Tabela1[[#This Row],[9]])-LEN(SUBSTITUTE(Tabela1[[#This Row],[9]],",",""))+1,1),"")</f>
        <v/>
      </c>
      <c r="AI121" t="str">
        <f>IF(Tabela1[[#This Row],[10]]&lt;&gt;"",IF(ISNUMBER(FIND(",",Tabela1[[#This Row],[10]])),LEN(Tabela1[[#This Row],[10]])-LEN(SUBSTITUTE(Tabela1[[#This Row],[10]],",",""))+1,1),"")</f>
        <v/>
      </c>
      <c r="AJ121" t="str">
        <f>IF(Tabela1[[#This Row],[11]]&lt;&gt;"",IF(ISNUMBER(FIND(",",Tabela1[[#This Row],[11]])),LEN(Tabela1[[#This Row],[11]])-LEN(SUBSTITUTE(Tabela1[[#This Row],[11]],",",""))+1,1),"")</f>
        <v/>
      </c>
      <c r="AK121" t="str">
        <f>IF(Tabela1[[#This Row],[12]]&lt;&gt;"",IF(ISNUMBER(FIND(",",Tabela1[[#This Row],[12]])),LEN(Tabela1[[#This Row],[12]])-LEN(SUBSTITUTE(Tabela1[[#This Row],[12]],",",""))+1,1),"")</f>
        <v/>
      </c>
      <c r="AL121" t="str">
        <f>IF(Tabela1[[#This Row],[13]]&lt;&gt;"",IF(ISNUMBER(FIND(",",Tabela1[[#This Row],[13]])),LEN(Tabela1[[#This Row],[13]])-LEN(SUBSTITUTE(Tabela1[[#This Row],[13]],",",""))+1,1),"")</f>
        <v/>
      </c>
      <c r="AM121" t="str">
        <f>IF(Tabela1[[#This Row],[14]]&lt;&gt;"",IF(ISNUMBER(FIND(",",Tabela1[[#This Row],[14]])),LEN(Tabela1[[#This Row],[14]])-LEN(SUBSTITUTE(Tabela1[[#This Row],[14]],",",""))+1,1),"")</f>
        <v/>
      </c>
      <c r="AN121" t="str">
        <f>IF(Tabela1[[#This Row],[15]]&lt;&gt;"",IF(ISNUMBER(FIND(",",Tabela1[[#This Row],[15]])),LEN(Tabela1[[#This Row],[15]])-LEN(SUBSTITUTE(Tabela1[[#This Row],[15]],",",""))+1,1),"")</f>
        <v/>
      </c>
      <c r="AO121">
        <f>IF(Tabela1[[#This Row],[16]]&lt;&gt;"",IF(ISNUMBER(FIND(",",Tabela1[[#This Row],[16]])),LEN(Tabela1[[#This Row],[16]])-LEN(SUBSTITUTE(Tabela1[[#This Row],[16]],",",""))+1,1),"")</f>
        <v>1</v>
      </c>
      <c r="AP121" t="str">
        <f>IF(Tabela1[[#This Row],[17]]&lt;&gt;"",IF(ISNUMBER(FIND(",",Tabela1[[#This Row],[17]])),LEN(Tabela1[[#This Row],[17]])-LEN(SUBSTITUTE(Tabela1[[#This Row],[17]],",",""))+1,1),"")</f>
        <v/>
      </c>
      <c r="AQ121" t="str">
        <f>IF(Tabela1[[#This Row],[18]]&lt;&gt;"",IF(ISNUMBER(FIND(",",Tabela1[[#This Row],[18]])),LEN(Tabela1[[#This Row],[18]])-LEN(SUBSTITUTE(Tabela1[[#This Row],[18]],",",""))+1,1),"")</f>
        <v/>
      </c>
      <c r="AR121" s="13" t="str">
        <f>IF(Tabela1[[#This Row],[19_LENGTH]]&lt;&gt;"",IF(ISNUMBER(FIND(",",Tabela1[[#This Row],[19_LENGTH]])),LEN(Tabela1[[#This Row],[19_LENGTH]])-LEN(SUBSTITUTE(Tabela1[[#This Row],[19_LENGTH]],",",""))+1,1),"")</f>
        <v/>
      </c>
      <c r="AS121">
        <f>SUM(Tabela1[[#This Row],[1_]:[19_]])</f>
        <v>1</v>
      </c>
    </row>
    <row r="122" spans="1:45" x14ac:dyDescent="0.25">
      <c r="A122" s="27" t="s">
        <v>1319</v>
      </c>
      <c r="B122" s="19" t="s">
        <v>361</v>
      </c>
      <c r="C122" s="19">
        <v>202</v>
      </c>
      <c r="D122" s="19" t="s">
        <v>1301</v>
      </c>
      <c r="E122" s="20">
        <v>43451</v>
      </c>
      <c r="F122" s="19"/>
      <c r="G122" s="19"/>
      <c r="H122" s="19" t="s">
        <v>50</v>
      </c>
      <c r="I122" s="19" t="s">
        <v>51</v>
      </c>
      <c r="J122" s="19"/>
      <c r="K122" s="19"/>
      <c r="L122" s="19"/>
      <c r="M122" s="19"/>
      <c r="N122" s="19"/>
      <c r="O122" s="19"/>
      <c r="P122" s="19"/>
      <c r="Q122" s="19"/>
      <c r="R122" s="19"/>
      <c r="S122" s="19"/>
      <c r="T122" s="19"/>
      <c r="U122" s="19"/>
      <c r="V122" s="19"/>
      <c r="W122" s="19"/>
      <c r="X122" s="19"/>
      <c r="Y122" s="19"/>
      <c r="Z122" t="str">
        <f>IF(Tabela1[[#This Row],[1]]&lt;&gt;"",IF(ISNUMBER(FIND(",",Tabela1[[#This Row],[1]])),LEN(Tabela1[[#This Row],[1]])-LEN(SUBSTITUTE(Tabela1[[#This Row],[1]],",",""))+1,1),"")</f>
        <v/>
      </c>
      <c r="AA122" t="str">
        <f>IF(Tabela1[[#This Row],[2]]&lt;&gt;"",IF(ISNUMBER(FIND(",",Tabela1[[#This Row],[2]])),LEN(Tabela1[[#This Row],[2]])-LEN(SUBSTITUTE(Tabela1[[#This Row],[2]],",",""))+1,1),"")</f>
        <v/>
      </c>
      <c r="AB122">
        <f>IF(Tabela1[[#This Row],[3]]&lt;&gt;"",IF(ISNUMBER(FIND(",",Tabela1[[#This Row],[3]])),LEN(Tabela1[[#This Row],[3]])-LEN(SUBSTITUTE(Tabela1[[#This Row],[3]],",",""))+1,1),"")</f>
        <v>1</v>
      </c>
      <c r="AC122">
        <f>IF(Tabela1[[#This Row],[4]]&lt;&gt;"",IF(ISNUMBER(FIND(",",Tabela1[[#This Row],[4]])),LEN(Tabela1[[#This Row],[4]])-LEN(SUBSTITUTE(Tabela1[[#This Row],[4]],",",""))+1,1),"")</f>
        <v>3</v>
      </c>
      <c r="AD122" t="str">
        <f>IF(Tabela1[[#This Row],[5]]&lt;&gt;"",IF(ISNUMBER(FIND(",",Tabela1[[#This Row],[5]])),LEN(Tabela1[[#This Row],[5]])-LEN(SUBSTITUTE(Tabela1[[#This Row],[5]],",",""))+1,1),"")</f>
        <v/>
      </c>
      <c r="AE122" t="str">
        <f>IF(Tabela1[[#This Row],[6]]&lt;&gt;"",IF(ISNUMBER(FIND(",",Tabela1[[#This Row],[6]])),LEN(Tabela1[[#This Row],[6]])-LEN(SUBSTITUTE(Tabela1[[#This Row],[6]],",",""))+1,1),"")</f>
        <v/>
      </c>
      <c r="AF122" t="str">
        <f>IF(Tabela1[[#This Row],[7]]&lt;&gt;"",IF(ISNUMBER(FIND(",",Tabela1[[#This Row],[7]])),LEN(Tabela1[[#This Row],[7]])-LEN(SUBSTITUTE(Tabela1[[#This Row],[7]],",",""))+1,1),"")</f>
        <v/>
      </c>
      <c r="AG122" t="str">
        <f>IF(Tabela1[[#This Row],[8]]&lt;&gt;"",IF(ISNUMBER(FIND(",",Tabela1[[#This Row],[8]])),LEN(Tabela1[[#This Row],[8]])-LEN(SUBSTITUTE(Tabela1[[#This Row],[8]],",",""))+1,1),"")</f>
        <v/>
      </c>
      <c r="AH122" t="str">
        <f>IF(Tabela1[[#This Row],[9]]&lt;&gt;"",IF(ISNUMBER(FIND(",",Tabela1[[#This Row],[9]])),LEN(Tabela1[[#This Row],[9]])-LEN(SUBSTITUTE(Tabela1[[#This Row],[9]],",",""))+1,1),"")</f>
        <v/>
      </c>
      <c r="AI122" t="str">
        <f>IF(Tabela1[[#This Row],[10]]&lt;&gt;"",IF(ISNUMBER(FIND(",",Tabela1[[#This Row],[10]])),LEN(Tabela1[[#This Row],[10]])-LEN(SUBSTITUTE(Tabela1[[#This Row],[10]],",",""))+1,1),"")</f>
        <v/>
      </c>
      <c r="AJ122" t="str">
        <f>IF(Tabela1[[#This Row],[11]]&lt;&gt;"",IF(ISNUMBER(FIND(",",Tabela1[[#This Row],[11]])),LEN(Tabela1[[#This Row],[11]])-LEN(SUBSTITUTE(Tabela1[[#This Row],[11]],",",""))+1,1),"")</f>
        <v/>
      </c>
      <c r="AK122" t="str">
        <f>IF(Tabela1[[#This Row],[12]]&lt;&gt;"",IF(ISNUMBER(FIND(",",Tabela1[[#This Row],[12]])),LEN(Tabela1[[#This Row],[12]])-LEN(SUBSTITUTE(Tabela1[[#This Row],[12]],",",""))+1,1),"")</f>
        <v/>
      </c>
      <c r="AL122" t="str">
        <f>IF(Tabela1[[#This Row],[13]]&lt;&gt;"",IF(ISNUMBER(FIND(",",Tabela1[[#This Row],[13]])),LEN(Tabela1[[#This Row],[13]])-LEN(SUBSTITUTE(Tabela1[[#This Row],[13]],",",""))+1,1),"")</f>
        <v/>
      </c>
      <c r="AM122" t="str">
        <f>IF(Tabela1[[#This Row],[14]]&lt;&gt;"",IF(ISNUMBER(FIND(",",Tabela1[[#This Row],[14]])),LEN(Tabela1[[#This Row],[14]])-LEN(SUBSTITUTE(Tabela1[[#This Row],[14]],",",""))+1,1),"")</f>
        <v/>
      </c>
      <c r="AN122" t="str">
        <f>IF(Tabela1[[#This Row],[15]]&lt;&gt;"",IF(ISNUMBER(FIND(",",Tabela1[[#This Row],[15]])),LEN(Tabela1[[#This Row],[15]])-LEN(SUBSTITUTE(Tabela1[[#This Row],[15]],",",""))+1,1),"")</f>
        <v/>
      </c>
      <c r="AO122" t="str">
        <f>IF(Tabela1[[#This Row],[16]]&lt;&gt;"",IF(ISNUMBER(FIND(",",Tabela1[[#This Row],[16]])),LEN(Tabela1[[#This Row],[16]])-LEN(SUBSTITUTE(Tabela1[[#This Row],[16]],",",""))+1,1),"")</f>
        <v/>
      </c>
      <c r="AP122" t="str">
        <f>IF(Tabela1[[#This Row],[17]]&lt;&gt;"",IF(ISNUMBER(FIND(",",Tabela1[[#This Row],[17]])),LEN(Tabela1[[#This Row],[17]])-LEN(SUBSTITUTE(Tabela1[[#This Row],[17]],",",""))+1,1),"")</f>
        <v/>
      </c>
      <c r="AQ122" t="str">
        <f>IF(Tabela1[[#This Row],[18]]&lt;&gt;"",IF(ISNUMBER(FIND(",",Tabela1[[#This Row],[18]])),LEN(Tabela1[[#This Row],[18]])-LEN(SUBSTITUTE(Tabela1[[#This Row],[18]],",",""))+1,1),"")</f>
        <v/>
      </c>
      <c r="AR122" s="13" t="str">
        <f>IF(Tabela1[[#This Row],[19_LENGTH]]&lt;&gt;"",IF(ISNUMBER(FIND(",",Tabela1[[#This Row],[19_LENGTH]])),LEN(Tabela1[[#This Row],[19_LENGTH]])-LEN(SUBSTITUTE(Tabela1[[#This Row],[19_LENGTH]],",",""))+1,1),"")</f>
        <v/>
      </c>
      <c r="AS122">
        <f>SUM(Tabela1[[#This Row],[1_]:[19_]])</f>
        <v>4</v>
      </c>
    </row>
    <row r="123" spans="1:45" x14ac:dyDescent="0.25">
      <c r="A123" s="27" t="s">
        <v>1319</v>
      </c>
      <c r="B123" s="19" t="s">
        <v>362</v>
      </c>
      <c r="C123" s="19">
        <v>202</v>
      </c>
      <c r="D123" s="19" t="s">
        <v>1301</v>
      </c>
      <c r="E123" s="20">
        <v>43451</v>
      </c>
      <c r="F123" s="19"/>
      <c r="G123" s="19"/>
      <c r="H123" s="19"/>
      <c r="I123" s="19"/>
      <c r="J123" s="19"/>
      <c r="K123" s="19"/>
      <c r="L123" s="19"/>
      <c r="M123" s="19"/>
      <c r="N123" s="19"/>
      <c r="O123" s="19">
        <v>99</v>
      </c>
      <c r="P123" s="19"/>
      <c r="Q123" s="19"/>
      <c r="R123" s="19"/>
      <c r="S123" s="19"/>
      <c r="T123" s="19"/>
      <c r="U123" s="19"/>
      <c r="V123" s="19"/>
      <c r="W123" s="19"/>
      <c r="X123" s="19"/>
      <c r="Y123" s="19"/>
      <c r="Z123" t="str">
        <f>IF(Tabela1[[#This Row],[1]]&lt;&gt;"",IF(ISNUMBER(FIND(",",Tabela1[[#This Row],[1]])),LEN(Tabela1[[#This Row],[1]])-LEN(SUBSTITUTE(Tabela1[[#This Row],[1]],",",""))+1,1),"")</f>
        <v/>
      </c>
      <c r="AA123" t="str">
        <f>IF(Tabela1[[#This Row],[2]]&lt;&gt;"",IF(ISNUMBER(FIND(",",Tabela1[[#This Row],[2]])),LEN(Tabela1[[#This Row],[2]])-LEN(SUBSTITUTE(Tabela1[[#This Row],[2]],",",""))+1,1),"")</f>
        <v/>
      </c>
      <c r="AB123" t="str">
        <f>IF(Tabela1[[#This Row],[3]]&lt;&gt;"",IF(ISNUMBER(FIND(",",Tabela1[[#This Row],[3]])),LEN(Tabela1[[#This Row],[3]])-LEN(SUBSTITUTE(Tabela1[[#This Row],[3]],",",""))+1,1),"")</f>
        <v/>
      </c>
      <c r="AC123" t="str">
        <f>IF(Tabela1[[#This Row],[4]]&lt;&gt;"",IF(ISNUMBER(FIND(",",Tabela1[[#This Row],[4]])),LEN(Tabela1[[#This Row],[4]])-LEN(SUBSTITUTE(Tabela1[[#This Row],[4]],",",""))+1,1),"")</f>
        <v/>
      </c>
      <c r="AD123" t="str">
        <f>IF(Tabela1[[#This Row],[5]]&lt;&gt;"",IF(ISNUMBER(FIND(",",Tabela1[[#This Row],[5]])),LEN(Tabela1[[#This Row],[5]])-LEN(SUBSTITUTE(Tabela1[[#This Row],[5]],",",""))+1,1),"")</f>
        <v/>
      </c>
      <c r="AE123" t="str">
        <f>IF(Tabela1[[#This Row],[6]]&lt;&gt;"",IF(ISNUMBER(FIND(",",Tabela1[[#This Row],[6]])),LEN(Tabela1[[#This Row],[6]])-LEN(SUBSTITUTE(Tabela1[[#This Row],[6]],",",""))+1,1),"")</f>
        <v/>
      </c>
      <c r="AF123" t="str">
        <f>IF(Tabela1[[#This Row],[7]]&lt;&gt;"",IF(ISNUMBER(FIND(",",Tabela1[[#This Row],[7]])),LEN(Tabela1[[#This Row],[7]])-LEN(SUBSTITUTE(Tabela1[[#This Row],[7]],",",""))+1,1),"")</f>
        <v/>
      </c>
      <c r="AG123" t="str">
        <f>IF(Tabela1[[#This Row],[8]]&lt;&gt;"",IF(ISNUMBER(FIND(",",Tabela1[[#This Row],[8]])),LEN(Tabela1[[#This Row],[8]])-LEN(SUBSTITUTE(Tabela1[[#This Row],[8]],",",""))+1,1),"")</f>
        <v/>
      </c>
      <c r="AH123" t="str">
        <f>IF(Tabela1[[#This Row],[9]]&lt;&gt;"",IF(ISNUMBER(FIND(",",Tabela1[[#This Row],[9]])),LEN(Tabela1[[#This Row],[9]])-LEN(SUBSTITUTE(Tabela1[[#This Row],[9]],",",""))+1,1),"")</f>
        <v/>
      </c>
      <c r="AI123">
        <f>IF(Tabela1[[#This Row],[10]]&lt;&gt;"",IF(ISNUMBER(FIND(",",Tabela1[[#This Row],[10]])),LEN(Tabela1[[#This Row],[10]])-LEN(SUBSTITUTE(Tabela1[[#This Row],[10]],",",""))+1,1),"")</f>
        <v>1</v>
      </c>
      <c r="AJ123" t="str">
        <f>IF(Tabela1[[#This Row],[11]]&lt;&gt;"",IF(ISNUMBER(FIND(",",Tabela1[[#This Row],[11]])),LEN(Tabela1[[#This Row],[11]])-LEN(SUBSTITUTE(Tabela1[[#This Row],[11]],",",""))+1,1),"")</f>
        <v/>
      </c>
      <c r="AK123" t="str">
        <f>IF(Tabela1[[#This Row],[12]]&lt;&gt;"",IF(ISNUMBER(FIND(",",Tabela1[[#This Row],[12]])),LEN(Tabela1[[#This Row],[12]])-LEN(SUBSTITUTE(Tabela1[[#This Row],[12]],",",""))+1,1),"")</f>
        <v/>
      </c>
      <c r="AL123" t="str">
        <f>IF(Tabela1[[#This Row],[13]]&lt;&gt;"",IF(ISNUMBER(FIND(",",Tabela1[[#This Row],[13]])),LEN(Tabela1[[#This Row],[13]])-LEN(SUBSTITUTE(Tabela1[[#This Row],[13]],",",""))+1,1),"")</f>
        <v/>
      </c>
      <c r="AM123" t="str">
        <f>IF(Tabela1[[#This Row],[14]]&lt;&gt;"",IF(ISNUMBER(FIND(",",Tabela1[[#This Row],[14]])),LEN(Tabela1[[#This Row],[14]])-LEN(SUBSTITUTE(Tabela1[[#This Row],[14]],",",""))+1,1),"")</f>
        <v/>
      </c>
      <c r="AN123" t="str">
        <f>IF(Tabela1[[#This Row],[15]]&lt;&gt;"",IF(ISNUMBER(FIND(",",Tabela1[[#This Row],[15]])),LEN(Tabela1[[#This Row],[15]])-LEN(SUBSTITUTE(Tabela1[[#This Row],[15]],",",""))+1,1),"")</f>
        <v/>
      </c>
      <c r="AO123" t="str">
        <f>IF(Tabela1[[#This Row],[16]]&lt;&gt;"",IF(ISNUMBER(FIND(",",Tabela1[[#This Row],[16]])),LEN(Tabela1[[#This Row],[16]])-LEN(SUBSTITUTE(Tabela1[[#This Row],[16]],",",""))+1,1),"")</f>
        <v/>
      </c>
      <c r="AP123" t="str">
        <f>IF(Tabela1[[#This Row],[17]]&lt;&gt;"",IF(ISNUMBER(FIND(",",Tabela1[[#This Row],[17]])),LEN(Tabela1[[#This Row],[17]])-LEN(SUBSTITUTE(Tabela1[[#This Row],[17]],",",""))+1,1),"")</f>
        <v/>
      </c>
      <c r="AQ123" t="str">
        <f>IF(Tabela1[[#This Row],[18]]&lt;&gt;"",IF(ISNUMBER(FIND(",",Tabela1[[#This Row],[18]])),LEN(Tabela1[[#This Row],[18]])-LEN(SUBSTITUTE(Tabela1[[#This Row],[18]],",",""))+1,1),"")</f>
        <v/>
      </c>
      <c r="AR123" s="13" t="str">
        <f>IF(Tabela1[[#This Row],[19_LENGTH]]&lt;&gt;"",IF(ISNUMBER(FIND(",",Tabela1[[#This Row],[19_LENGTH]])),LEN(Tabela1[[#This Row],[19_LENGTH]])-LEN(SUBSTITUTE(Tabela1[[#This Row],[19_LENGTH]],",",""))+1,1),"")</f>
        <v/>
      </c>
      <c r="AS123">
        <f>SUM(Tabela1[[#This Row],[1_]:[19_]])</f>
        <v>1</v>
      </c>
    </row>
    <row r="124" spans="1:45" x14ac:dyDescent="0.25">
      <c r="A124" s="27" t="s">
        <v>1319</v>
      </c>
      <c r="B124" s="19" t="s">
        <v>363</v>
      </c>
      <c r="C124" s="19">
        <v>202</v>
      </c>
      <c r="D124" s="19" t="s">
        <v>1301</v>
      </c>
      <c r="E124" s="20">
        <v>43451</v>
      </c>
      <c r="F124" s="19"/>
      <c r="G124" s="19"/>
      <c r="H124" s="19"/>
      <c r="I124" s="19">
        <v>5</v>
      </c>
      <c r="J124" s="19"/>
      <c r="K124" s="19"/>
      <c r="L124" s="19"/>
      <c r="M124" s="19"/>
      <c r="N124" s="19"/>
      <c r="O124" s="19">
        <v>123</v>
      </c>
      <c r="P124" s="19"/>
      <c r="Q124" s="19"/>
      <c r="R124" s="19"/>
      <c r="S124" s="19"/>
      <c r="T124" s="19"/>
      <c r="U124" s="19">
        <v>141</v>
      </c>
      <c r="V124" s="19"/>
      <c r="W124" s="19"/>
      <c r="X124" s="19"/>
      <c r="Y124" s="19"/>
      <c r="Z124" t="str">
        <f>IF(Tabela1[[#This Row],[1]]&lt;&gt;"",IF(ISNUMBER(FIND(",",Tabela1[[#This Row],[1]])),LEN(Tabela1[[#This Row],[1]])-LEN(SUBSTITUTE(Tabela1[[#This Row],[1]],",",""))+1,1),"")</f>
        <v/>
      </c>
      <c r="AA124" t="str">
        <f>IF(Tabela1[[#This Row],[2]]&lt;&gt;"",IF(ISNUMBER(FIND(",",Tabela1[[#This Row],[2]])),LEN(Tabela1[[#This Row],[2]])-LEN(SUBSTITUTE(Tabela1[[#This Row],[2]],",",""))+1,1),"")</f>
        <v/>
      </c>
      <c r="AB124" t="str">
        <f>IF(Tabela1[[#This Row],[3]]&lt;&gt;"",IF(ISNUMBER(FIND(",",Tabela1[[#This Row],[3]])),LEN(Tabela1[[#This Row],[3]])-LEN(SUBSTITUTE(Tabela1[[#This Row],[3]],",",""))+1,1),"")</f>
        <v/>
      </c>
      <c r="AC124">
        <f>IF(Tabela1[[#This Row],[4]]&lt;&gt;"",IF(ISNUMBER(FIND(",",Tabela1[[#This Row],[4]])),LEN(Tabela1[[#This Row],[4]])-LEN(SUBSTITUTE(Tabela1[[#This Row],[4]],",",""))+1,1),"")</f>
        <v>1</v>
      </c>
      <c r="AD124" t="str">
        <f>IF(Tabela1[[#This Row],[5]]&lt;&gt;"",IF(ISNUMBER(FIND(",",Tabela1[[#This Row],[5]])),LEN(Tabela1[[#This Row],[5]])-LEN(SUBSTITUTE(Tabela1[[#This Row],[5]],",",""))+1,1),"")</f>
        <v/>
      </c>
      <c r="AE124" t="str">
        <f>IF(Tabela1[[#This Row],[6]]&lt;&gt;"",IF(ISNUMBER(FIND(",",Tabela1[[#This Row],[6]])),LEN(Tabela1[[#This Row],[6]])-LEN(SUBSTITUTE(Tabela1[[#This Row],[6]],",",""))+1,1),"")</f>
        <v/>
      </c>
      <c r="AF124" t="str">
        <f>IF(Tabela1[[#This Row],[7]]&lt;&gt;"",IF(ISNUMBER(FIND(",",Tabela1[[#This Row],[7]])),LEN(Tabela1[[#This Row],[7]])-LEN(SUBSTITUTE(Tabela1[[#This Row],[7]],",",""))+1,1),"")</f>
        <v/>
      </c>
      <c r="AG124" t="str">
        <f>IF(Tabela1[[#This Row],[8]]&lt;&gt;"",IF(ISNUMBER(FIND(",",Tabela1[[#This Row],[8]])),LEN(Tabela1[[#This Row],[8]])-LEN(SUBSTITUTE(Tabela1[[#This Row],[8]],",",""))+1,1),"")</f>
        <v/>
      </c>
      <c r="AH124" t="str">
        <f>IF(Tabela1[[#This Row],[9]]&lt;&gt;"",IF(ISNUMBER(FIND(",",Tabela1[[#This Row],[9]])),LEN(Tabela1[[#This Row],[9]])-LEN(SUBSTITUTE(Tabela1[[#This Row],[9]],",",""))+1,1),"")</f>
        <v/>
      </c>
      <c r="AI124">
        <f>IF(Tabela1[[#This Row],[10]]&lt;&gt;"",IF(ISNUMBER(FIND(",",Tabela1[[#This Row],[10]])),LEN(Tabela1[[#This Row],[10]])-LEN(SUBSTITUTE(Tabela1[[#This Row],[10]],",",""))+1,1),"")</f>
        <v>1</v>
      </c>
      <c r="AJ124" t="str">
        <f>IF(Tabela1[[#This Row],[11]]&lt;&gt;"",IF(ISNUMBER(FIND(",",Tabela1[[#This Row],[11]])),LEN(Tabela1[[#This Row],[11]])-LEN(SUBSTITUTE(Tabela1[[#This Row],[11]],",",""))+1,1),"")</f>
        <v/>
      </c>
      <c r="AK124" t="str">
        <f>IF(Tabela1[[#This Row],[12]]&lt;&gt;"",IF(ISNUMBER(FIND(",",Tabela1[[#This Row],[12]])),LEN(Tabela1[[#This Row],[12]])-LEN(SUBSTITUTE(Tabela1[[#This Row],[12]],",",""))+1,1),"")</f>
        <v/>
      </c>
      <c r="AL124" t="str">
        <f>IF(Tabela1[[#This Row],[13]]&lt;&gt;"",IF(ISNUMBER(FIND(",",Tabela1[[#This Row],[13]])),LEN(Tabela1[[#This Row],[13]])-LEN(SUBSTITUTE(Tabela1[[#This Row],[13]],",",""))+1,1),"")</f>
        <v/>
      </c>
      <c r="AM124" t="str">
        <f>IF(Tabela1[[#This Row],[14]]&lt;&gt;"",IF(ISNUMBER(FIND(",",Tabela1[[#This Row],[14]])),LEN(Tabela1[[#This Row],[14]])-LEN(SUBSTITUTE(Tabela1[[#This Row],[14]],",",""))+1,1),"")</f>
        <v/>
      </c>
      <c r="AN124" t="str">
        <f>IF(Tabela1[[#This Row],[15]]&lt;&gt;"",IF(ISNUMBER(FIND(",",Tabela1[[#This Row],[15]])),LEN(Tabela1[[#This Row],[15]])-LEN(SUBSTITUTE(Tabela1[[#This Row],[15]],",",""))+1,1),"")</f>
        <v/>
      </c>
      <c r="AO124">
        <f>IF(Tabela1[[#This Row],[16]]&lt;&gt;"",IF(ISNUMBER(FIND(",",Tabela1[[#This Row],[16]])),LEN(Tabela1[[#This Row],[16]])-LEN(SUBSTITUTE(Tabela1[[#This Row],[16]],",",""))+1,1),"")</f>
        <v>1</v>
      </c>
      <c r="AP124" t="str">
        <f>IF(Tabela1[[#This Row],[17]]&lt;&gt;"",IF(ISNUMBER(FIND(",",Tabela1[[#This Row],[17]])),LEN(Tabela1[[#This Row],[17]])-LEN(SUBSTITUTE(Tabela1[[#This Row],[17]],",",""))+1,1),"")</f>
        <v/>
      </c>
      <c r="AQ124" t="str">
        <f>IF(Tabela1[[#This Row],[18]]&lt;&gt;"",IF(ISNUMBER(FIND(",",Tabela1[[#This Row],[18]])),LEN(Tabela1[[#This Row],[18]])-LEN(SUBSTITUTE(Tabela1[[#This Row],[18]],",",""))+1,1),"")</f>
        <v/>
      </c>
      <c r="AR124" s="13" t="str">
        <f>IF(Tabela1[[#This Row],[19_LENGTH]]&lt;&gt;"",IF(ISNUMBER(FIND(",",Tabela1[[#This Row],[19_LENGTH]])),LEN(Tabela1[[#This Row],[19_LENGTH]])-LEN(SUBSTITUTE(Tabela1[[#This Row],[19_LENGTH]],",",""))+1,1),"")</f>
        <v/>
      </c>
      <c r="AS124">
        <f>SUM(Tabela1[[#This Row],[1_]:[19_]])</f>
        <v>3</v>
      </c>
    </row>
    <row r="125" spans="1:45" x14ac:dyDescent="0.25">
      <c r="A125" s="27" t="s">
        <v>1319</v>
      </c>
      <c r="B125" s="19" t="s">
        <v>364</v>
      </c>
      <c r="C125" s="19">
        <v>202</v>
      </c>
      <c r="D125" s="19" t="s">
        <v>1314</v>
      </c>
      <c r="E125" s="20">
        <v>43451</v>
      </c>
      <c r="F125" s="19"/>
      <c r="G125" s="19">
        <v>34</v>
      </c>
      <c r="H125" s="19" t="s">
        <v>52</v>
      </c>
      <c r="I125" s="19"/>
      <c r="J125" s="19"/>
      <c r="K125" s="19"/>
      <c r="L125" s="19"/>
      <c r="M125" s="19"/>
      <c r="N125" s="19"/>
      <c r="O125" s="19">
        <v>34</v>
      </c>
      <c r="P125" s="19"/>
      <c r="Q125" s="19"/>
      <c r="R125" s="19"/>
      <c r="S125" s="19"/>
      <c r="T125" s="19"/>
      <c r="U125" s="19">
        <v>37</v>
      </c>
      <c r="V125" s="19"/>
      <c r="W125" s="19"/>
      <c r="X125" s="19"/>
      <c r="Y125" s="19"/>
      <c r="Z125" t="str">
        <f>IF(Tabela1[[#This Row],[1]]&lt;&gt;"",IF(ISNUMBER(FIND(",",Tabela1[[#This Row],[1]])),LEN(Tabela1[[#This Row],[1]])-LEN(SUBSTITUTE(Tabela1[[#This Row],[1]],",",""))+1,1),"")</f>
        <v/>
      </c>
      <c r="AA125">
        <f>IF(Tabela1[[#This Row],[2]]&lt;&gt;"",IF(ISNUMBER(FIND(",",Tabela1[[#This Row],[2]])),LEN(Tabela1[[#This Row],[2]])-LEN(SUBSTITUTE(Tabela1[[#This Row],[2]],",",""))+1,1),"")</f>
        <v>1</v>
      </c>
      <c r="AB125">
        <f>IF(Tabela1[[#This Row],[3]]&lt;&gt;"",IF(ISNUMBER(FIND(",",Tabela1[[#This Row],[3]])),LEN(Tabela1[[#This Row],[3]])-LEN(SUBSTITUTE(Tabela1[[#This Row],[3]],",",""))+1,1),"")</f>
        <v>2</v>
      </c>
      <c r="AC125" t="str">
        <f>IF(Tabela1[[#This Row],[4]]&lt;&gt;"",IF(ISNUMBER(FIND(",",Tabela1[[#This Row],[4]])),LEN(Tabela1[[#This Row],[4]])-LEN(SUBSTITUTE(Tabela1[[#This Row],[4]],",",""))+1,1),"")</f>
        <v/>
      </c>
      <c r="AD125" t="str">
        <f>IF(Tabela1[[#This Row],[5]]&lt;&gt;"",IF(ISNUMBER(FIND(",",Tabela1[[#This Row],[5]])),LEN(Tabela1[[#This Row],[5]])-LEN(SUBSTITUTE(Tabela1[[#This Row],[5]],",",""))+1,1),"")</f>
        <v/>
      </c>
      <c r="AE125" t="str">
        <f>IF(Tabela1[[#This Row],[6]]&lt;&gt;"",IF(ISNUMBER(FIND(",",Tabela1[[#This Row],[6]])),LEN(Tabela1[[#This Row],[6]])-LEN(SUBSTITUTE(Tabela1[[#This Row],[6]],",",""))+1,1),"")</f>
        <v/>
      </c>
      <c r="AF125" t="str">
        <f>IF(Tabela1[[#This Row],[7]]&lt;&gt;"",IF(ISNUMBER(FIND(",",Tabela1[[#This Row],[7]])),LEN(Tabela1[[#This Row],[7]])-LEN(SUBSTITUTE(Tabela1[[#This Row],[7]],",",""))+1,1),"")</f>
        <v/>
      </c>
      <c r="AG125" t="str">
        <f>IF(Tabela1[[#This Row],[8]]&lt;&gt;"",IF(ISNUMBER(FIND(",",Tabela1[[#This Row],[8]])),LEN(Tabela1[[#This Row],[8]])-LEN(SUBSTITUTE(Tabela1[[#This Row],[8]],",",""))+1,1),"")</f>
        <v/>
      </c>
      <c r="AH125" t="str">
        <f>IF(Tabela1[[#This Row],[9]]&lt;&gt;"",IF(ISNUMBER(FIND(",",Tabela1[[#This Row],[9]])),LEN(Tabela1[[#This Row],[9]])-LEN(SUBSTITUTE(Tabela1[[#This Row],[9]],",",""))+1,1),"")</f>
        <v/>
      </c>
      <c r="AI125">
        <f>IF(Tabela1[[#This Row],[10]]&lt;&gt;"",IF(ISNUMBER(FIND(",",Tabela1[[#This Row],[10]])),LEN(Tabela1[[#This Row],[10]])-LEN(SUBSTITUTE(Tabela1[[#This Row],[10]],",",""))+1,1),"")</f>
        <v>1</v>
      </c>
      <c r="AJ125" t="str">
        <f>IF(Tabela1[[#This Row],[11]]&lt;&gt;"",IF(ISNUMBER(FIND(",",Tabela1[[#This Row],[11]])),LEN(Tabela1[[#This Row],[11]])-LEN(SUBSTITUTE(Tabela1[[#This Row],[11]],",",""))+1,1),"")</f>
        <v/>
      </c>
      <c r="AK125" t="str">
        <f>IF(Tabela1[[#This Row],[12]]&lt;&gt;"",IF(ISNUMBER(FIND(",",Tabela1[[#This Row],[12]])),LEN(Tabela1[[#This Row],[12]])-LEN(SUBSTITUTE(Tabela1[[#This Row],[12]],",",""))+1,1),"")</f>
        <v/>
      </c>
      <c r="AL125" t="str">
        <f>IF(Tabela1[[#This Row],[13]]&lt;&gt;"",IF(ISNUMBER(FIND(",",Tabela1[[#This Row],[13]])),LEN(Tabela1[[#This Row],[13]])-LEN(SUBSTITUTE(Tabela1[[#This Row],[13]],",",""))+1,1),"")</f>
        <v/>
      </c>
      <c r="AM125" t="str">
        <f>IF(Tabela1[[#This Row],[14]]&lt;&gt;"",IF(ISNUMBER(FIND(",",Tabela1[[#This Row],[14]])),LEN(Tabela1[[#This Row],[14]])-LEN(SUBSTITUTE(Tabela1[[#This Row],[14]],",",""))+1,1),"")</f>
        <v/>
      </c>
      <c r="AN125" t="str">
        <f>IF(Tabela1[[#This Row],[15]]&lt;&gt;"",IF(ISNUMBER(FIND(",",Tabela1[[#This Row],[15]])),LEN(Tabela1[[#This Row],[15]])-LEN(SUBSTITUTE(Tabela1[[#This Row],[15]],",",""))+1,1),"")</f>
        <v/>
      </c>
      <c r="AO125">
        <f>IF(Tabela1[[#This Row],[16]]&lt;&gt;"",IF(ISNUMBER(FIND(",",Tabela1[[#This Row],[16]])),LEN(Tabela1[[#This Row],[16]])-LEN(SUBSTITUTE(Tabela1[[#This Row],[16]],",",""))+1,1),"")</f>
        <v>1</v>
      </c>
      <c r="AP125" t="str">
        <f>IF(Tabela1[[#This Row],[17]]&lt;&gt;"",IF(ISNUMBER(FIND(",",Tabela1[[#This Row],[17]])),LEN(Tabela1[[#This Row],[17]])-LEN(SUBSTITUTE(Tabela1[[#This Row],[17]],",",""))+1,1),"")</f>
        <v/>
      </c>
      <c r="AQ125" t="str">
        <f>IF(Tabela1[[#This Row],[18]]&lt;&gt;"",IF(ISNUMBER(FIND(",",Tabela1[[#This Row],[18]])),LEN(Tabela1[[#This Row],[18]])-LEN(SUBSTITUTE(Tabela1[[#This Row],[18]],",",""))+1,1),"")</f>
        <v/>
      </c>
      <c r="AR125" s="13" t="str">
        <f>IF(Tabela1[[#This Row],[19_LENGTH]]&lt;&gt;"",IF(ISNUMBER(FIND(",",Tabela1[[#This Row],[19_LENGTH]])),LEN(Tabela1[[#This Row],[19_LENGTH]])-LEN(SUBSTITUTE(Tabela1[[#This Row],[19_LENGTH]],",",""))+1,1),"")</f>
        <v/>
      </c>
      <c r="AS125">
        <f>SUM(Tabela1[[#This Row],[1_]:[19_]])</f>
        <v>5</v>
      </c>
    </row>
    <row r="126" spans="1:45" x14ac:dyDescent="0.25">
      <c r="A126" s="27" t="s">
        <v>1319</v>
      </c>
      <c r="B126" s="19" t="s">
        <v>704</v>
      </c>
      <c r="C126" s="19">
        <v>194</v>
      </c>
      <c r="D126" s="19" t="s">
        <v>1315</v>
      </c>
      <c r="E126" s="20">
        <v>43452</v>
      </c>
      <c r="F126" s="19"/>
      <c r="G126" s="19"/>
      <c r="H126" s="19"/>
      <c r="I126" s="19" t="s">
        <v>54</v>
      </c>
      <c r="J126" s="19"/>
      <c r="K126" s="19"/>
      <c r="L126" s="19"/>
      <c r="M126" s="19"/>
      <c r="N126" s="19"/>
      <c r="O126" s="19"/>
      <c r="P126" s="19"/>
      <c r="Q126" s="19"/>
      <c r="R126" s="19"/>
      <c r="S126" s="19"/>
      <c r="T126" s="19"/>
      <c r="U126" s="19"/>
      <c r="V126" s="19"/>
      <c r="W126" s="19"/>
      <c r="X126" s="19"/>
      <c r="Y126" s="19"/>
      <c r="Z126" t="str">
        <f>IF(Tabela1[[#This Row],[1]]&lt;&gt;"",IF(ISNUMBER(FIND(",",Tabela1[[#This Row],[1]])),LEN(Tabela1[[#This Row],[1]])-LEN(SUBSTITUTE(Tabela1[[#This Row],[1]],",",""))+1,1),"")</f>
        <v/>
      </c>
      <c r="AA126" t="str">
        <f>IF(Tabela1[[#This Row],[2]]&lt;&gt;"",IF(ISNUMBER(FIND(",",Tabela1[[#This Row],[2]])),LEN(Tabela1[[#This Row],[2]])-LEN(SUBSTITUTE(Tabela1[[#This Row],[2]],",",""))+1,1),"")</f>
        <v/>
      </c>
      <c r="AB126" t="str">
        <f>IF(Tabela1[[#This Row],[3]]&lt;&gt;"",IF(ISNUMBER(FIND(",",Tabela1[[#This Row],[3]])),LEN(Tabela1[[#This Row],[3]])-LEN(SUBSTITUTE(Tabela1[[#This Row],[3]],",",""))+1,1),"")</f>
        <v/>
      </c>
      <c r="AC126">
        <f>IF(Tabela1[[#This Row],[4]]&lt;&gt;"",IF(ISNUMBER(FIND(",",Tabela1[[#This Row],[4]])),LEN(Tabela1[[#This Row],[4]])-LEN(SUBSTITUTE(Tabela1[[#This Row],[4]],",",""))+1,1),"")</f>
        <v>1</v>
      </c>
      <c r="AD126" t="str">
        <f>IF(Tabela1[[#This Row],[5]]&lt;&gt;"",IF(ISNUMBER(FIND(",",Tabela1[[#This Row],[5]])),LEN(Tabela1[[#This Row],[5]])-LEN(SUBSTITUTE(Tabela1[[#This Row],[5]],",",""))+1,1),"")</f>
        <v/>
      </c>
      <c r="AE126" t="str">
        <f>IF(Tabela1[[#This Row],[6]]&lt;&gt;"",IF(ISNUMBER(FIND(",",Tabela1[[#This Row],[6]])),LEN(Tabela1[[#This Row],[6]])-LEN(SUBSTITUTE(Tabela1[[#This Row],[6]],",",""))+1,1),"")</f>
        <v/>
      </c>
      <c r="AF126" t="str">
        <f>IF(Tabela1[[#This Row],[7]]&lt;&gt;"",IF(ISNUMBER(FIND(",",Tabela1[[#This Row],[7]])),LEN(Tabela1[[#This Row],[7]])-LEN(SUBSTITUTE(Tabela1[[#This Row],[7]],",",""))+1,1),"")</f>
        <v/>
      </c>
      <c r="AG126" t="str">
        <f>IF(Tabela1[[#This Row],[8]]&lt;&gt;"",IF(ISNUMBER(FIND(",",Tabela1[[#This Row],[8]])),LEN(Tabela1[[#This Row],[8]])-LEN(SUBSTITUTE(Tabela1[[#This Row],[8]],",",""))+1,1),"")</f>
        <v/>
      </c>
      <c r="AH126" t="str">
        <f>IF(Tabela1[[#This Row],[9]]&lt;&gt;"",IF(ISNUMBER(FIND(",",Tabela1[[#This Row],[9]])),LEN(Tabela1[[#This Row],[9]])-LEN(SUBSTITUTE(Tabela1[[#This Row],[9]],",",""))+1,1),"")</f>
        <v/>
      </c>
      <c r="AI126" t="str">
        <f>IF(Tabela1[[#This Row],[10]]&lt;&gt;"",IF(ISNUMBER(FIND(",",Tabela1[[#This Row],[10]])),LEN(Tabela1[[#This Row],[10]])-LEN(SUBSTITUTE(Tabela1[[#This Row],[10]],",",""))+1,1),"")</f>
        <v/>
      </c>
      <c r="AJ126" t="str">
        <f>IF(Tabela1[[#This Row],[11]]&lt;&gt;"",IF(ISNUMBER(FIND(",",Tabela1[[#This Row],[11]])),LEN(Tabela1[[#This Row],[11]])-LEN(SUBSTITUTE(Tabela1[[#This Row],[11]],",",""))+1,1),"")</f>
        <v/>
      </c>
      <c r="AK126" t="str">
        <f>IF(Tabela1[[#This Row],[12]]&lt;&gt;"",IF(ISNUMBER(FIND(",",Tabela1[[#This Row],[12]])),LEN(Tabela1[[#This Row],[12]])-LEN(SUBSTITUTE(Tabela1[[#This Row],[12]],",",""))+1,1),"")</f>
        <v/>
      </c>
      <c r="AL126" t="str">
        <f>IF(Tabela1[[#This Row],[13]]&lt;&gt;"",IF(ISNUMBER(FIND(",",Tabela1[[#This Row],[13]])),LEN(Tabela1[[#This Row],[13]])-LEN(SUBSTITUTE(Tabela1[[#This Row],[13]],",",""))+1,1),"")</f>
        <v/>
      </c>
      <c r="AM126" t="str">
        <f>IF(Tabela1[[#This Row],[14]]&lt;&gt;"",IF(ISNUMBER(FIND(",",Tabela1[[#This Row],[14]])),LEN(Tabela1[[#This Row],[14]])-LEN(SUBSTITUTE(Tabela1[[#This Row],[14]],",",""))+1,1),"")</f>
        <v/>
      </c>
      <c r="AN126" t="str">
        <f>IF(Tabela1[[#This Row],[15]]&lt;&gt;"",IF(ISNUMBER(FIND(",",Tabela1[[#This Row],[15]])),LEN(Tabela1[[#This Row],[15]])-LEN(SUBSTITUTE(Tabela1[[#This Row],[15]],",",""))+1,1),"")</f>
        <v/>
      </c>
      <c r="AO126" t="str">
        <f>IF(Tabela1[[#This Row],[16]]&lt;&gt;"",IF(ISNUMBER(FIND(",",Tabela1[[#This Row],[16]])),LEN(Tabela1[[#This Row],[16]])-LEN(SUBSTITUTE(Tabela1[[#This Row],[16]],",",""))+1,1),"")</f>
        <v/>
      </c>
      <c r="AP126" t="str">
        <f>IF(Tabela1[[#This Row],[17]]&lt;&gt;"",IF(ISNUMBER(FIND(",",Tabela1[[#This Row],[17]])),LEN(Tabela1[[#This Row],[17]])-LEN(SUBSTITUTE(Tabela1[[#This Row],[17]],",",""))+1,1),"")</f>
        <v/>
      </c>
      <c r="AQ126" t="str">
        <f>IF(Tabela1[[#This Row],[18]]&lt;&gt;"",IF(ISNUMBER(FIND(",",Tabela1[[#This Row],[18]])),LEN(Tabela1[[#This Row],[18]])-LEN(SUBSTITUTE(Tabela1[[#This Row],[18]],",",""))+1,1),"")</f>
        <v/>
      </c>
      <c r="AR126" s="13" t="str">
        <f>IF(Tabela1[[#This Row],[19_LENGTH]]&lt;&gt;"",IF(ISNUMBER(FIND(",",Tabela1[[#This Row],[19_LENGTH]])),LEN(Tabela1[[#This Row],[19_LENGTH]])-LEN(SUBSTITUTE(Tabela1[[#This Row],[19_LENGTH]],",",""))+1,1),"")</f>
        <v/>
      </c>
      <c r="AS126" s="21">
        <f>SUM(Tabela1[[#This Row],[1_]:[19_]])</f>
        <v>1</v>
      </c>
    </row>
    <row r="127" spans="1:45" x14ac:dyDescent="0.25">
      <c r="A127" s="27" t="s">
        <v>1319</v>
      </c>
      <c r="B127" s="19" t="s">
        <v>705</v>
      </c>
      <c r="C127" s="19">
        <v>202</v>
      </c>
      <c r="D127" s="19" t="s">
        <v>1314</v>
      </c>
      <c r="E127" s="20">
        <v>43452</v>
      </c>
      <c r="F127" s="19"/>
      <c r="G127" s="19"/>
      <c r="H127" s="19"/>
      <c r="I127" s="19">
        <v>86</v>
      </c>
      <c r="J127" s="19"/>
      <c r="K127" s="19"/>
      <c r="L127" s="19"/>
      <c r="M127" s="19"/>
      <c r="N127" s="19"/>
      <c r="O127" s="19"/>
      <c r="P127" s="19"/>
      <c r="Q127" s="19"/>
      <c r="R127" s="19"/>
      <c r="S127" s="19"/>
      <c r="T127" s="19"/>
      <c r="U127" s="19"/>
      <c r="V127" s="19"/>
      <c r="W127" s="19"/>
      <c r="X127" s="19"/>
      <c r="Y127" s="19"/>
      <c r="Z127" t="str">
        <f>IF(Tabela1[[#This Row],[1]]&lt;&gt;"",IF(ISNUMBER(FIND(",",Tabela1[[#This Row],[1]])),LEN(Tabela1[[#This Row],[1]])-LEN(SUBSTITUTE(Tabela1[[#This Row],[1]],",",""))+1,1),"")</f>
        <v/>
      </c>
      <c r="AA127" t="str">
        <f>IF(Tabela1[[#This Row],[2]]&lt;&gt;"",IF(ISNUMBER(FIND(",",Tabela1[[#This Row],[2]])),LEN(Tabela1[[#This Row],[2]])-LEN(SUBSTITUTE(Tabela1[[#This Row],[2]],",",""))+1,1),"")</f>
        <v/>
      </c>
      <c r="AB127" t="str">
        <f>IF(Tabela1[[#This Row],[3]]&lt;&gt;"",IF(ISNUMBER(FIND(",",Tabela1[[#This Row],[3]])),LEN(Tabela1[[#This Row],[3]])-LEN(SUBSTITUTE(Tabela1[[#This Row],[3]],",",""))+1,1),"")</f>
        <v/>
      </c>
      <c r="AC127">
        <f>IF(Tabela1[[#This Row],[4]]&lt;&gt;"",IF(ISNUMBER(FIND(",",Tabela1[[#This Row],[4]])),LEN(Tabela1[[#This Row],[4]])-LEN(SUBSTITUTE(Tabela1[[#This Row],[4]],",",""))+1,1),"")</f>
        <v>1</v>
      </c>
      <c r="AD127" t="str">
        <f>IF(Tabela1[[#This Row],[5]]&lt;&gt;"",IF(ISNUMBER(FIND(",",Tabela1[[#This Row],[5]])),LEN(Tabela1[[#This Row],[5]])-LEN(SUBSTITUTE(Tabela1[[#This Row],[5]],",",""))+1,1),"")</f>
        <v/>
      </c>
      <c r="AE127" t="str">
        <f>IF(Tabela1[[#This Row],[6]]&lt;&gt;"",IF(ISNUMBER(FIND(",",Tabela1[[#This Row],[6]])),LEN(Tabela1[[#This Row],[6]])-LEN(SUBSTITUTE(Tabela1[[#This Row],[6]],",",""))+1,1),"")</f>
        <v/>
      </c>
      <c r="AF127" t="str">
        <f>IF(Tabela1[[#This Row],[7]]&lt;&gt;"",IF(ISNUMBER(FIND(",",Tabela1[[#This Row],[7]])),LEN(Tabela1[[#This Row],[7]])-LEN(SUBSTITUTE(Tabela1[[#This Row],[7]],",",""))+1,1),"")</f>
        <v/>
      </c>
      <c r="AG127" t="str">
        <f>IF(Tabela1[[#This Row],[8]]&lt;&gt;"",IF(ISNUMBER(FIND(",",Tabela1[[#This Row],[8]])),LEN(Tabela1[[#This Row],[8]])-LEN(SUBSTITUTE(Tabela1[[#This Row],[8]],",",""))+1,1),"")</f>
        <v/>
      </c>
      <c r="AH127" t="str">
        <f>IF(Tabela1[[#This Row],[9]]&lt;&gt;"",IF(ISNUMBER(FIND(",",Tabela1[[#This Row],[9]])),LEN(Tabela1[[#This Row],[9]])-LEN(SUBSTITUTE(Tabela1[[#This Row],[9]],",",""))+1,1),"")</f>
        <v/>
      </c>
      <c r="AI127" t="str">
        <f>IF(Tabela1[[#This Row],[10]]&lt;&gt;"",IF(ISNUMBER(FIND(",",Tabela1[[#This Row],[10]])),LEN(Tabela1[[#This Row],[10]])-LEN(SUBSTITUTE(Tabela1[[#This Row],[10]],",",""))+1,1),"")</f>
        <v/>
      </c>
      <c r="AJ127" t="str">
        <f>IF(Tabela1[[#This Row],[11]]&lt;&gt;"",IF(ISNUMBER(FIND(",",Tabela1[[#This Row],[11]])),LEN(Tabela1[[#This Row],[11]])-LEN(SUBSTITUTE(Tabela1[[#This Row],[11]],",",""))+1,1),"")</f>
        <v/>
      </c>
      <c r="AK127" t="str">
        <f>IF(Tabela1[[#This Row],[12]]&lt;&gt;"",IF(ISNUMBER(FIND(",",Tabela1[[#This Row],[12]])),LEN(Tabela1[[#This Row],[12]])-LEN(SUBSTITUTE(Tabela1[[#This Row],[12]],",",""))+1,1),"")</f>
        <v/>
      </c>
      <c r="AL127" t="str">
        <f>IF(Tabela1[[#This Row],[13]]&lt;&gt;"",IF(ISNUMBER(FIND(",",Tabela1[[#This Row],[13]])),LEN(Tabela1[[#This Row],[13]])-LEN(SUBSTITUTE(Tabela1[[#This Row],[13]],",",""))+1,1),"")</f>
        <v/>
      </c>
      <c r="AM127" t="str">
        <f>IF(Tabela1[[#This Row],[14]]&lt;&gt;"",IF(ISNUMBER(FIND(",",Tabela1[[#This Row],[14]])),LEN(Tabela1[[#This Row],[14]])-LEN(SUBSTITUTE(Tabela1[[#This Row],[14]],",",""))+1,1),"")</f>
        <v/>
      </c>
      <c r="AN127" t="str">
        <f>IF(Tabela1[[#This Row],[15]]&lt;&gt;"",IF(ISNUMBER(FIND(",",Tabela1[[#This Row],[15]])),LEN(Tabela1[[#This Row],[15]])-LEN(SUBSTITUTE(Tabela1[[#This Row],[15]],",",""))+1,1),"")</f>
        <v/>
      </c>
      <c r="AO127" t="str">
        <f>IF(Tabela1[[#This Row],[16]]&lt;&gt;"",IF(ISNUMBER(FIND(",",Tabela1[[#This Row],[16]])),LEN(Tabela1[[#This Row],[16]])-LEN(SUBSTITUTE(Tabela1[[#This Row],[16]],",",""))+1,1),"")</f>
        <v/>
      </c>
      <c r="AP127" t="str">
        <f>IF(Tabela1[[#This Row],[17]]&lt;&gt;"",IF(ISNUMBER(FIND(",",Tabela1[[#This Row],[17]])),LEN(Tabela1[[#This Row],[17]])-LEN(SUBSTITUTE(Tabela1[[#This Row],[17]],",",""))+1,1),"")</f>
        <v/>
      </c>
      <c r="AQ127" t="str">
        <f>IF(Tabela1[[#This Row],[18]]&lt;&gt;"",IF(ISNUMBER(FIND(",",Tabela1[[#This Row],[18]])),LEN(Tabela1[[#This Row],[18]])-LEN(SUBSTITUTE(Tabela1[[#This Row],[18]],",",""))+1,1),"")</f>
        <v/>
      </c>
      <c r="AR127" s="13" t="str">
        <f>IF(Tabela1[[#This Row],[19_LENGTH]]&lt;&gt;"",IF(ISNUMBER(FIND(",",Tabela1[[#This Row],[19_LENGTH]])),LEN(Tabela1[[#This Row],[19_LENGTH]])-LEN(SUBSTITUTE(Tabela1[[#This Row],[19_LENGTH]],",",""))+1,1),"")</f>
        <v/>
      </c>
      <c r="AS127" s="21">
        <f>SUM(Tabela1[[#This Row],[1_]:[19_]])</f>
        <v>1</v>
      </c>
    </row>
    <row r="128" spans="1:45" x14ac:dyDescent="0.25">
      <c r="A128" s="27" t="s">
        <v>1319</v>
      </c>
      <c r="B128" s="19" t="s">
        <v>706</v>
      </c>
      <c r="C128" s="19">
        <v>202</v>
      </c>
      <c r="D128" s="19" t="s">
        <v>1297</v>
      </c>
      <c r="E128" s="20">
        <v>43452</v>
      </c>
      <c r="F128" s="19"/>
      <c r="G128" s="19"/>
      <c r="H128" s="19">
        <v>146</v>
      </c>
      <c r="I128" s="19"/>
      <c r="J128" s="19"/>
      <c r="K128" s="19"/>
      <c r="L128" s="19"/>
      <c r="M128" s="19"/>
      <c r="N128" s="19"/>
      <c r="O128" s="19"/>
      <c r="P128" s="19"/>
      <c r="Q128" s="19"/>
      <c r="R128" s="19"/>
      <c r="S128" s="19"/>
      <c r="T128" s="19"/>
      <c r="U128" s="19"/>
      <c r="V128" s="19"/>
      <c r="W128" s="19"/>
      <c r="X128" s="19"/>
      <c r="Y128" s="19"/>
      <c r="Z128" t="str">
        <f>IF(Tabela1[[#This Row],[1]]&lt;&gt;"",IF(ISNUMBER(FIND(",",Tabela1[[#This Row],[1]])),LEN(Tabela1[[#This Row],[1]])-LEN(SUBSTITUTE(Tabela1[[#This Row],[1]],",",""))+1,1),"")</f>
        <v/>
      </c>
      <c r="AA128" t="str">
        <f>IF(Tabela1[[#This Row],[2]]&lt;&gt;"",IF(ISNUMBER(FIND(",",Tabela1[[#This Row],[2]])),LEN(Tabela1[[#This Row],[2]])-LEN(SUBSTITUTE(Tabela1[[#This Row],[2]],",",""))+1,1),"")</f>
        <v/>
      </c>
      <c r="AB128">
        <f>IF(Tabela1[[#This Row],[3]]&lt;&gt;"",IF(ISNUMBER(FIND(",",Tabela1[[#This Row],[3]])),LEN(Tabela1[[#This Row],[3]])-LEN(SUBSTITUTE(Tabela1[[#This Row],[3]],",",""))+1,1),"")</f>
        <v>1</v>
      </c>
      <c r="AC128" t="str">
        <f>IF(Tabela1[[#This Row],[4]]&lt;&gt;"",IF(ISNUMBER(FIND(",",Tabela1[[#This Row],[4]])),LEN(Tabela1[[#This Row],[4]])-LEN(SUBSTITUTE(Tabela1[[#This Row],[4]],",",""))+1,1),"")</f>
        <v/>
      </c>
      <c r="AD128" t="str">
        <f>IF(Tabela1[[#This Row],[5]]&lt;&gt;"",IF(ISNUMBER(FIND(",",Tabela1[[#This Row],[5]])),LEN(Tabela1[[#This Row],[5]])-LEN(SUBSTITUTE(Tabela1[[#This Row],[5]],",",""))+1,1),"")</f>
        <v/>
      </c>
      <c r="AE128" t="str">
        <f>IF(Tabela1[[#This Row],[6]]&lt;&gt;"",IF(ISNUMBER(FIND(",",Tabela1[[#This Row],[6]])),LEN(Tabela1[[#This Row],[6]])-LEN(SUBSTITUTE(Tabela1[[#This Row],[6]],",",""))+1,1),"")</f>
        <v/>
      </c>
      <c r="AF128" t="str">
        <f>IF(Tabela1[[#This Row],[7]]&lt;&gt;"",IF(ISNUMBER(FIND(",",Tabela1[[#This Row],[7]])),LEN(Tabela1[[#This Row],[7]])-LEN(SUBSTITUTE(Tabela1[[#This Row],[7]],",",""))+1,1),"")</f>
        <v/>
      </c>
      <c r="AG128" t="str">
        <f>IF(Tabela1[[#This Row],[8]]&lt;&gt;"",IF(ISNUMBER(FIND(",",Tabela1[[#This Row],[8]])),LEN(Tabela1[[#This Row],[8]])-LEN(SUBSTITUTE(Tabela1[[#This Row],[8]],",",""))+1,1),"")</f>
        <v/>
      </c>
      <c r="AH128" t="str">
        <f>IF(Tabela1[[#This Row],[9]]&lt;&gt;"",IF(ISNUMBER(FIND(",",Tabela1[[#This Row],[9]])),LEN(Tabela1[[#This Row],[9]])-LEN(SUBSTITUTE(Tabela1[[#This Row],[9]],",",""))+1,1),"")</f>
        <v/>
      </c>
      <c r="AI128" t="str">
        <f>IF(Tabela1[[#This Row],[10]]&lt;&gt;"",IF(ISNUMBER(FIND(",",Tabela1[[#This Row],[10]])),LEN(Tabela1[[#This Row],[10]])-LEN(SUBSTITUTE(Tabela1[[#This Row],[10]],",",""))+1,1),"")</f>
        <v/>
      </c>
      <c r="AJ128" t="str">
        <f>IF(Tabela1[[#This Row],[11]]&lt;&gt;"",IF(ISNUMBER(FIND(",",Tabela1[[#This Row],[11]])),LEN(Tabela1[[#This Row],[11]])-LEN(SUBSTITUTE(Tabela1[[#This Row],[11]],",",""))+1,1),"")</f>
        <v/>
      </c>
      <c r="AK128" t="str">
        <f>IF(Tabela1[[#This Row],[12]]&lt;&gt;"",IF(ISNUMBER(FIND(",",Tabela1[[#This Row],[12]])),LEN(Tabela1[[#This Row],[12]])-LEN(SUBSTITUTE(Tabela1[[#This Row],[12]],",",""))+1,1),"")</f>
        <v/>
      </c>
      <c r="AL128" t="str">
        <f>IF(Tabela1[[#This Row],[13]]&lt;&gt;"",IF(ISNUMBER(FIND(",",Tabela1[[#This Row],[13]])),LEN(Tabela1[[#This Row],[13]])-LEN(SUBSTITUTE(Tabela1[[#This Row],[13]],",",""))+1,1),"")</f>
        <v/>
      </c>
      <c r="AM128" t="str">
        <f>IF(Tabela1[[#This Row],[14]]&lt;&gt;"",IF(ISNUMBER(FIND(",",Tabela1[[#This Row],[14]])),LEN(Tabela1[[#This Row],[14]])-LEN(SUBSTITUTE(Tabela1[[#This Row],[14]],",",""))+1,1),"")</f>
        <v/>
      </c>
      <c r="AN128" t="str">
        <f>IF(Tabela1[[#This Row],[15]]&lt;&gt;"",IF(ISNUMBER(FIND(",",Tabela1[[#This Row],[15]])),LEN(Tabela1[[#This Row],[15]])-LEN(SUBSTITUTE(Tabela1[[#This Row],[15]],",",""))+1,1),"")</f>
        <v/>
      </c>
      <c r="AO128" t="str">
        <f>IF(Tabela1[[#This Row],[16]]&lt;&gt;"",IF(ISNUMBER(FIND(",",Tabela1[[#This Row],[16]])),LEN(Tabela1[[#This Row],[16]])-LEN(SUBSTITUTE(Tabela1[[#This Row],[16]],",",""))+1,1),"")</f>
        <v/>
      </c>
      <c r="AP128" t="str">
        <f>IF(Tabela1[[#This Row],[17]]&lt;&gt;"",IF(ISNUMBER(FIND(",",Tabela1[[#This Row],[17]])),LEN(Tabela1[[#This Row],[17]])-LEN(SUBSTITUTE(Tabela1[[#This Row],[17]],",",""))+1,1),"")</f>
        <v/>
      </c>
      <c r="AQ128" t="str">
        <f>IF(Tabela1[[#This Row],[18]]&lt;&gt;"",IF(ISNUMBER(FIND(",",Tabela1[[#This Row],[18]])),LEN(Tabela1[[#This Row],[18]])-LEN(SUBSTITUTE(Tabela1[[#This Row],[18]],",",""))+1,1),"")</f>
        <v/>
      </c>
      <c r="AR128" s="13" t="str">
        <f>IF(Tabela1[[#This Row],[19_LENGTH]]&lt;&gt;"",IF(ISNUMBER(FIND(",",Tabela1[[#This Row],[19_LENGTH]])),LEN(Tabela1[[#This Row],[19_LENGTH]])-LEN(SUBSTITUTE(Tabela1[[#This Row],[19_LENGTH]],",",""))+1,1),"")</f>
        <v/>
      </c>
      <c r="AS128" s="21">
        <f>SUM(Tabela1[[#This Row],[1_]:[19_]])</f>
        <v>1</v>
      </c>
    </row>
    <row r="129" spans="1:45" x14ac:dyDescent="0.25">
      <c r="A129" s="27" t="s">
        <v>1319</v>
      </c>
      <c r="B129" s="19" t="s">
        <v>707</v>
      </c>
      <c r="C129" s="19">
        <v>202</v>
      </c>
      <c r="D129" s="19" t="s">
        <v>1297</v>
      </c>
      <c r="E129" s="20">
        <v>43452</v>
      </c>
      <c r="F129" s="19"/>
      <c r="G129" s="19"/>
      <c r="H129" s="19"/>
      <c r="I129" s="19"/>
      <c r="J129" s="19"/>
      <c r="K129" s="19">
        <v>34</v>
      </c>
      <c r="L129" s="19"/>
      <c r="M129" s="19"/>
      <c r="N129" s="19"/>
      <c r="O129" s="19"/>
      <c r="P129" s="19"/>
      <c r="Q129" s="19"/>
      <c r="R129" s="19"/>
      <c r="S129" s="19"/>
      <c r="T129" s="19"/>
      <c r="U129" s="19"/>
      <c r="V129" s="19"/>
      <c r="W129" s="19"/>
      <c r="X129" s="19"/>
      <c r="Y129" s="19"/>
      <c r="Z129" t="str">
        <f>IF(Tabela1[[#This Row],[1]]&lt;&gt;"",IF(ISNUMBER(FIND(",",Tabela1[[#This Row],[1]])),LEN(Tabela1[[#This Row],[1]])-LEN(SUBSTITUTE(Tabela1[[#This Row],[1]],",",""))+1,1),"")</f>
        <v/>
      </c>
      <c r="AA129" t="str">
        <f>IF(Tabela1[[#This Row],[2]]&lt;&gt;"",IF(ISNUMBER(FIND(",",Tabela1[[#This Row],[2]])),LEN(Tabela1[[#This Row],[2]])-LEN(SUBSTITUTE(Tabela1[[#This Row],[2]],",",""))+1,1),"")</f>
        <v/>
      </c>
      <c r="AB129" t="str">
        <f>IF(Tabela1[[#This Row],[3]]&lt;&gt;"",IF(ISNUMBER(FIND(",",Tabela1[[#This Row],[3]])),LEN(Tabela1[[#This Row],[3]])-LEN(SUBSTITUTE(Tabela1[[#This Row],[3]],",",""))+1,1),"")</f>
        <v/>
      </c>
      <c r="AC129" t="str">
        <f>IF(Tabela1[[#This Row],[4]]&lt;&gt;"",IF(ISNUMBER(FIND(",",Tabela1[[#This Row],[4]])),LEN(Tabela1[[#This Row],[4]])-LEN(SUBSTITUTE(Tabela1[[#This Row],[4]],",",""))+1,1),"")</f>
        <v/>
      </c>
      <c r="AD129" t="str">
        <f>IF(Tabela1[[#This Row],[5]]&lt;&gt;"",IF(ISNUMBER(FIND(",",Tabela1[[#This Row],[5]])),LEN(Tabela1[[#This Row],[5]])-LEN(SUBSTITUTE(Tabela1[[#This Row],[5]],",",""))+1,1),"")</f>
        <v/>
      </c>
      <c r="AE129">
        <f>IF(Tabela1[[#This Row],[6]]&lt;&gt;"",IF(ISNUMBER(FIND(",",Tabela1[[#This Row],[6]])),LEN(Tabela1[[#This Row],[6]])-LEN(SUBSTITUTE(Tabela1[[#This Row],[6]],",",""))+1,1),"")</f>
        <v>1</v>
      </c>
      <c r="AF129" t="str">
        <f>IF(Tabela1[[#This Row],[7]]&lt;&gt;"",IF(ISNUMBER(FIND(",",Tabela1[[#This Row],[7]])),LEN(Tabela1[[#This Row],[7]])-LEN(SUBSTITUTE(Tabela1[[#This Row],[7]],",",""))+1,1),"")</f>
        <v/>
      </c>
      <c r="AG129" t="str">
        <f>IF(Tabela1[[#This Row],[8]]&lt;&gt;"",IF(ISNUMBER(FIND(",",Tabela1[[#This Row],[8]])),LEN(Tabela1[[#This Row],[8]])-LEN(SUBSTITUTE(Tabela1[[#This Row],[8]],",",""))+1,1),"")</f>
        <v/>
      </c>
      <c r="AH129" t="str">
        <f>IF(Tabela1[[#This Row],[9]]&lt;&gt;"",IF(ISNUMBER(FIND(",",Tabela1[[#This Row],[9]])),LEN(Tabela1[[#This Row],[9]])-LEN(SUBSTITUTE(Tabela1[[#This Row],[9]],",",""))+1,1),"")</f>
        <v/>
      </c>
      <c r="AI129" t="str">
        <f>IF(Tabela1[[#This Row],[10]]&lt;&gt;"",IF(ISNUMBER(FIND(",",Tabela1[[#This Row],[10]])),LEN(Tabela1[[#This Row],[10]])-LEN(SUBSTITUTE(Tabela1[[#This Row],[10]],",",""))+1,1),"")</f>
        <v/>
      </c>
      <c r="AJ129" t="str">
        <f>IF(Tabela1[[#This Row],[11]]&lt;&gt;"",IF(ISNUMBER(FIND(",",Tabela1[[#This Row],[11]])),LEN(Tabela1[[#This Row],[11]])-LEN(SUBSTITUTE(Tabela1[[#This Row],[11]],",",""))+1,1),"")</f>
        <v/>
      </c>
      <c r="AK129" t="str">
        <f>IF(Tabela1[[#This Row],[12]]&lt;&gt;"",IF(ISNUMBER(FIND(",",Tabela1[[#This Row],[12]])),LEN(Tabela1[[#This Row],[12]])-LEN(SUBSTITUTE(Tabela1[[#This Row],[12]],",",""))+1,1),"")</f>
        <v/>
      </c>
      <c r="AL129" t="str">
        <f>IF(Tabela1[[#This Row],[13]]&lt;&gt;"",IF(ISNUMBER(FIND(",",Tabela1[[#This Row],[13]])),LEN(Tabela1[[#This Row],[13]])-LEN(SUBSTITUTE(Tabela1[[#This Row],[13]],",",""))+1,1),"")</f>
        <v/>
      </c>
      <c r="AM129" t="str">
        <f>IF(Tabela1[[#This Row],[14]]&lt;&gt;"",IF(ISNUMBER(FIND(",",Tabela1[[#This Row],[14]])),LEN(Tabela1[[#This Row],[14]])-LEN(SUBSTITUTE(Tabela1[[#This Row],[14]],",",""))+1,1),"")</f>
        <v/>
      </c>
      <c r="AN129" t="str">
        <f>IF(Tabela1[[#This Row],[15]]&lt;&gt;"",IF(ISNUMBER(FIND(",",Tabela1[[#This Row],[15]])),LEN(Tabela1[[#This Row],[15]])-LEN(SUBSTITUTE(Tabela1[[#This Row],[15]],",",""))+1,1),"")</f>
        <v/>
      </c>
      <c r="AO129" t="str">
        <f>IF(Tabela1[[#This Row],[16]]&lt;&gt;"",IF(ISNUMBER(FIND(",",Tabela1[[#This Row],[16]])),LEN(Tabela1[[#This Row],[16]])-LEN(SUBSTITUTE(Tabela1[[#This Row],[16]],",",""))+1,1),"")</f>
        <v/>
      </c>
      <c r="AP129" t="str">
        <f>IF(Tabela1[[#This Row],[17]]&lt;&gt;"",IF(ISNUMBER(FIND(",",Tabela1[[#This Row],[17]])),LEN(Tabela1[[#This Row],[17]])-LEN(SUBSTITUTE(Tabela1[[#This Row],[17]],",",""))+1,1),"")</f>
        <v/>
      </c>
      <c r="AQ129" t="str">
        <f>IF(Tabela1[[#This Row],[18]]&lt;&gt;"",IF(ISNUMBER(FIND(",",Tabela1[[#This Row],[18]])),LEN(Tabela1[[#This Row],[18]])-LEN(SUBSTITUTE(Tabela1[[#This Row],[18]],",",""))+1,1),"")</f>
        <v/>
      </c>
      <c r="AR129" s="13" t="str">
        <f>IF(Tabela1[[#This Row],[19_LENGTH]]&lt;&gt;"",IF(ISNUMBER(FIND(",",Tabela1[[#This Row],[19_LENGTH]])),LEN(Tabela1[[#This Row],[19_LENGTH]])-LEN(SUBSTITUTE(Tabela1[[#This Row],[19_LENGTH]],",",""))+1,1),"")</f>
        <v/>
      </c>
      <c r="AS129" s="21">
        <f>SUM(Tabela1[[#This Row],[1_]:[19_]])</f>
        <v>1</v>
      </c>
    </row>
    <row r="130" spans="1:45" x14ac:dyDescent="0.25">
      <c r="A130" s="27" t="s">
        <v>1319</v>
      </c>
      <c r="B130" s="19" t="s">
        <v>708</v>
      </c>
      <c r="C130" s="19">
        <v>202</v>
      </c>
      <c r="D130" s="19" t="s">
        <v>1297</v>
      </c>
      <c r="E130" s="20">
        <v>43452</v>
      </c>
      <c r="F130" s="19"/>
      <c r="G130" s="19">
        <v>175</v>
      </c>
      <c r="H130" s="19"/>
      <c r="I130" s="19"/>
      <c r="J130" s="19"/>
      <c r="K130" s="19"/>
      <c r="L130" s="19"/>
      <c r="M130" s="19"/>
      <c r="N130" s="19"/>
      <c r="O130" s="19"/>
      <c r="P130" s="19"/>
      <c r="Q130" s="19"/>
      <c r="R130" s="19"/>
      <c r="S130" s="19"/>
      <c r="T130" s="19"/>
      <c r="U130" s="19"/>
      <c r="V130" s="19"/>
      <c r="W130" s="19"/>
      <c r="X130" s="19"/>
      <c r="Y130" s="19"/>
      <c r="Z130" t="str">
        <f>IF(Tabela1[[#This Row],[1]]&lt;&gt;"",IF(ISNUMBER(FIND(",",Tabela1[[#This Row],[1]])),LEN(Tabela1[[#This Row],[1]])-LEN(SUBSTITUTE(Tabela1[[#This Row],[1]],",",""))+1,1),"")</f>
        <v/>
      </c>
      <c r="AA130">
        <f>IF(Tabela1[[#This Row],[2]]&lt;&gt;"",IF(ISNUMBER(FIND(",",Tabela1[[#This Row],[2]])),LEN(Tabela1[[#This Row],[2]])-LEN(SUBSTITUTE(Tabela1[[#This Row],[2]],",",""))+1,1),"")</f>
        <v>1</v>
      </c>
      <c r="AB130" t="str">
        <f>IF(Tabela1[[#This Row],[3]]&lt;&gt;"",IF(ISNUMBER(FIND(",",Tabela1[[#This Row],[3]])),LEN(Tabela1[[#This Row],[3]])-LEN(SUBSTITUTE(Tabela1[[#This Row],[3]],",",""))+1,1),"")</f>
        <v/>
      </c>
      <c r="AC130" t="str">
        <f>IF(Tabela1[[#This Row],[4]]&lt;&gt;"",IF(ISNUMBER(FIND(",",Tabela1[[#This Row],[4]])),LEN(Tabela1[[#This Row],[4]])-LEN(SUBSTITUTE(Tabela1[[#This Row],[4]],",",""))+1,1),"")</f>
        <v/>
      </c>
      <c r="AD130" t="str">
        <f>IF(Tabela1[[#This Row],[5]]&lt;&gt;"",IF(ISNUMBER(FIND(",",Tabela1[[#This Row],[5]])),LEN(Tabela1[[#This Row],[5]])-LEN(SUBSTITUTE(Tabela1[[#This Row],[5]],",",""))+1,1),"")</f>
        <v/>
      </c>
      <c r="AE130" t="str">
        <f>IF(Tabela1[[#This Row],[6]]&lt;&gt;"",IF(ISNUMBER(FIND(",",Tabela1[[#This Row],[6]])),LEN(Tabela1[[#This Row],[6]])-LEN(SUBSTITUTE(Tabela1[[#This Row],[6]],",",""))+1,1),"")</f>
        <v/>
      </c>
      <c r="AF130" t="str">
        <f>IF(Tabela1[[#This Row],[7]]&lt;&gt;"",IF(ISNUMBER(FIND(",",Tabela1[[#This Row],[7]])),LEN(Tabela1[[#This Row],[7]])-LEN(SUBSTITUTE(Tabela1[[#This Row],[7]],",",""))+1,1),"")</f>
        <v/>
      </c>
      <c r="AG130" t="str">
        <f>IF(Tabela1[[#This Row],[8]]&lt;&gt;"",IF(ISNUMBER(FIND(",",Tabela1[[#This Row],[8]])),LEN(Tabela1[[#This Row],[8]])-LEN(SUBSTITUTE(Tabela1[[#This Row],[8]],",",""))+1,1),"")</f>
        <v/>
      </c>
      <c r="AH130" t="str">
        <f>IF(Tabela1[[#This Row],[9]]&lt;&gt;"",IF(ISNUMBER(FIND(",",Tabela1[[#This Row],[9]])),LEN(Tabela1[[#This Row],[9]])-LEN(SUBSTITUTE(Tabela1[[#This Row],[9]],",",""))+1,1),"")</f>
        <v/>
      </c>
      <c r="AI130" t="str">
        <f>IF(Tabela1[[#This Row],[10]]&lt;&gt;"",IF(ISNUMBER(FIND(",",Tabela1[[#This Row],[10]])),LEN(Tabela1[[#This Row],[10]])-LEN(SUBSTITUTE(Tabela1[[#This Row],[10]],",",""))+1,1),"")</f>
        <v/>
      </c>
      <c r="AJ130" t="str">
        <f>IF(Tabela1[[#This Row],[11]]&lt;&gt;"",IF(ISNUMBER(FIND(",",Tabela1[[#This Row],[11]])),LEN(Tabela1[[#This Row],[11]])-LEN(SUBSTITUTE(Tabela1[[#This Row],[11]],",",""))+1,1),"")</f>
        <v/>
      </c>
      <c r="AK130" t="str">
        <f>IF(Tabela1[[#This Row],[12]]&lt;&gt;"",IF(ISNUMBER(FIND(",",Tabela1[[#This Row],[12]])),LEN(Tabela1[[#This Row],[12]])-LEN(SUBSTITUTE(Tabela1[[#This Row],[12]],",",""))+1,1),"")</f>
        <v/>
      </c>
      <c r="AL130" t="str">
        <f>IF(Tabela1[[#This Row],[13]]&lt;&gt;"",IF(ISNUMBER(FIND(",",Tabela1[[#This Row],[13]])),LEN(Tabela1[[#This Row],[13]])-LEN(SUBSTITUTE(Tabela1[[#This Row],[13]],",",""))+1,1),"")</f>
        <v/>
      </c>
      <c r="AM130" t="str">
        <f>IF(Tabela1[[#This Row],[14]]&lt;&gt;"",IF(ISNUMBER(FIND(",",Tabela1[[#This Row],[14]])),LEN(Tabela1[[#This Row],[14]])-LEN(SUBSTITUTE(Tabela1[[#This Row],[14]],",",""))+1,1),"")</f>
        <v/>
      </c>
      <c r="AN130" t="str">
        <f>IF(Tabela1[[#This Row],[15]]&lt;&gt;"",IF(ISNUMBER(FIND(",",Tabela1[[#This Row],[15]])),LEN(Tabela1[[#This Row],[15]])-LEN(SUBSTITUTE(Tabela1[[#This Row],[15]],",",""))+1,1),"")</f>
        <v/>
      </c>
      <c r="AO130" t="str">
        <f>IF(Tabela1[[#This Row],[16]]&lt;&gt;"",IF(ISNUMBER(FIND(",",Tabela1[[#This Row],[16]])),LEN(Tabela1[[#This Row],[16]])-LEN(SUBSTITUTE(Tabela1[[#This Row],[16]],",",""))+1,1),"")</f>
        <v/>
      </c>
      <c r="AP130" t="str">
        <f>IF(Tabela1[[#This Row],[17]]&lt;&gt;"",IF(ISNUMBER(FIND(",",Tabela1[[#This Row],[17]])),LEN(Tabela1[[#This Row],[17]])-LEN(SUBSTITUTE(Tabela1[[#This Row],[17]],",",""))+1,1),"")</f>
        <v/>
      </c>
      <c r="AQ130" t="str">
        <f>IF(Tabela1[[#This Row],[18]]&lt;&gt;"",IF(ISNUMBER(FIND(",",Tabela1[[#This Row],[18]])),LEN(Tabela1[[#This Row],[18]])-LEN(SUBSTITUTE(Tabela1[[#This Row],[18]],",",""))+1,1),"")</f>
        <v/>
      </c>
      <c r="AR130" s="13" t="str">
        <f>IF(Tabela1[[#This Row],[19_LENGTH]]&lt;&gt;"",IF(ISNUMBER(FIND(",",Tabela1[[#This Row],[19_LENGTH]])),LEN(Tabela1[[#This Row],[19_LENGTH]])-LEN(SUBSTITUTE(Tabela1[[#This Row],[19_LENGTH]],",",""))+1,1),"")</f>
        <v/>
      </c>
      <c r="AS130" s="21">
        <f>SUM(Tabela1[[#This Row],[1_]:[19_]])</f>
        <v>1</v>
      </c>
    </row>
    <row r="131" spans="1:45" x14ac:dyDescent="0.25">
      <c r="A131" s="27" t="s">
        <v>1319</v>
      </c>
      <c r="B131" s="19" t="s">
        <v>709</v>
      </c>
      <c r="C131" s="19">
        <v>218</v>
      </c>
      <c r="D131" s="19" t="s">
        <v>1315</v>
      </c>
      <c r="E131" s="20">
        <v>43452</v>
      </c>
      <c r="F131" s="19"/>
      <c r="G131" s="19"/>
      <c r="H131" s="19"/>
      <c r="I131" s="19">
        <v>53</v>
      </c>
      <c r="J131" s="19"/>
      <c r="K131" s="19"/>
      <c r="L131" s="19"/>
      <c r="M131" s="19"/>
      <c r="N131" s="19"/>
      <c r="O131" s="19"/>
      <c r="P131" s="19"/>
      <c r="Q131" s="19"/>
      <c r="R131" s="19"/>
      <c r="S131" s="19"/>
      <c r="T131" s="19"/>
      <c r="U131" s="19"/>
      <c r="V131" s="19"/>
      <c r="W131" s="19"/>
      <c r="X131" s="19"/>
      <c r="Y131" s="19"/>
      <c r="Z131" t="str">
        <f>IF(Tabela1[[#This Row],[1]]&lt;&gt;"",IF(ISNUMBER(FIND(",",Tabela1[[#This Row],[1]])),LEN(Tabela1[[#This Row],[1]])-LEN(SUBSTITUTE(Tabela1[[#This Row],[1]],",",""))+1,1),"")</f>
        <v/>
      </c>
      <c r="AA131" t="str">
        <f>IF(Tabela1[[#This Row],[2]]&lt;&gt;"",IF(ISNUMBER(FIND(",",Tabela1[[#This Row],[2]])),LEN(Tabela1[[#This Row],[2]])-LEN(SUBSTITUTE(Tabela1[[#This Row],[2]],",",""))+1,1),"")</f>
        <v/>
      </c>
      <c r="AB131" t="str">
        <f>IF(Tabela1[[#This Row],[3]]&lt;&gt;"",IF(ISNUMBER(FIND(",",Tabela1[[#This Row],[3]])),LEN(Tabela1[[#This Row],[3]])-LEN(SUBSTITUTE(Tabela1[[#This Row],[3]],",",""))+1,1),"")</f>
        <v/>
      </c>
      <c r="AC131">
        <f>IF(Tabela1[[#This Row],[4]]&lt;&gt;"",IF(ISNUMBER(FIND(",",Tabela1[[#This Row],[4]])),LEN(Tabela1[[#This Row],[4]])-LEN(SUBSTITUTE(Tabela1[[#This Row],[4]],",",""))+1,1),"")</f>
        <v>1</v>
      </c>
      <c r="AD131" t="str">
        <f>IF(Tabela1[[#This Row],[5]]&lt;&gt;"",IF(ISNUMBER(FIND(",",Tabela1[[#This Row],[5]])),LEN(Tabela1[[#This Row],[5]])-LEN(SUBSTITUTE(Tabela1[[#This Row],[5]],",",""))+1,1),"")</f>
        <v/>
      </c>
      <c r="AE131" t="str">
        <f>IF(Tabela1[[#This Row],[6]]&lt;&gt;"",IF(ISNUMBER(FIND(",",Tabela1[[#This Row],[6]])),LEN(Tabela1[[#This Row],[6]])-LEN(SUBSTITUTE(Tabela1[[#This Row],[6]],",",""))+1,1),"")</f>
        <v/>
      </c>
      <c r="AF131" t="str">
        <f>IF(Tabela1[[#This Row],[7]]&lt;&gt;"",IF(ISNUMBER(FIND(",",Tabela1[[#This Row],[7]])),LEN(Tabela1[[#This Row],[7]])-LEN(SUBSTITUTE(Tabela1[[#This Row],[7]],",",""))+1,1),"")</f>
        <v/>
      </c>
      <c r="AG131" t="str">
        <f>IF(Tabela1[[#This Row],[8]]&lt;&gt;"",IF(ISNUMBER(FIND(",",Tabela1[[#This Row],[8]])),LEN(Tabela1[[#This Row],[8]])-LEN(SUBSTITUTE(Tabela1[[#This Row],[8]],",",""))+1,1),"")</f>
        <v/>
      </c>
      <c r="AH131" t="str">
        <f>IF(Tabela1[[#This Row],[9]]&lt;&gt;"",IF(ISNUMBER(FIND(",",Tabela1[[#This Row],[9]])),LEN(Tabela1[[#This Row],[9]])-LEN(SUBSTITUTE(Tabela1[[#This Row],[9]],",",""))+1,1),"")</f>
        <v/>
      </c>
      <c r="AI131" t="str">
        <f>IF(Tabela1[[#This Row],[10]]&lt;&gt;"",IF(ISNUMBER(FIND(",",Tabela1[[#This Row],[10]])),LEN(Tabela1[[#This Row],[10]])-LEN(SUBSTITUTE(Tabela1[[#This Row],[10]],",",""))+1,1),"")</f>
        <v/>
      </c>
      <c r="AJ131" t="str">
        <f>IF(Tabela1[[#This Row],[11]]&lt;&gt;"",IF(ISNUMBER(FIND(",",Tabela1[[#This Row],[11]])),LEN(Tabela1[[#This Row],[11]])-LEN(SUBSTITUTE(Tabela1[[#This Row],[11]],",",""))+1,1),"")</f>
        <v/>
      </c>
      <c r="AK131" t="str">
        <f>IF(Tabela1[[#This Row],[12]]&lt;&gt;"",IF(ISNUMBER(FIND(",",Tabela1[[#This Row],[12]])),LEN(Tabela1[[#This Row],[12]])-LEN(SUBSTITUTE(Tabela1[[#This Row],[12]],",",""))+1,1),"")</f>
        <v/>
      </c>
      <c r="AL131" t="str">
        <f>IF(Tabela1[[#This Row],[13]]&lt;&gt;"",IF(ISNUMBER(FIND(",",Tabela1[[#This Row],[13]])),LEN(Tabela1[[#This Row],[13]])-LEN(SUBSTITUTE(Tabela1[[#This Row],[13]],",",""))+1,1),"")</f>
        <v/>
      </c>
      <c r="AM131" t="str">
        <f>IF(Tabela1[[#This Row],[14]]&lt;&gt;"",IF(ISNUMBER(FIND(",",Tabela1[[#This Row],[14]])),LEN(Tabela1[[#This Row],[14]])-LEN(SUBSTITUTE(Tabela1[[#This Row],[14]],",",""))+1,1),"")</f>
        <v/>
      </c>
      <c r="AN131" t="str">
        <f>IF(Tabela1[[#This Row],[15]]&lt;&gt;"",IF(ISNUMBER(FIND(",",Tabela1[[#This Row],[15]])),LEN(Tabela1[[#This Row],[15]])-LEN(SUBSTITUTE(Tabela1[[#This Row],[15]],",",""))+1,1),"")</f>
        <v/>
      </c>
      <c r="AO131" t="str">
        <f>IF(Tabela1[[#This Row],[16]]&lt;&gt;"",IF(ISNUMBER(FIND(",",Tabela1[[#This Row],[16]])),LEN(Tabela1[[#This Row],[16]])-LEN(SUBSTITUTE(Tabela1[[#This Row],[16]],",",""))+1,1),"")</f>
        <v/>
      </c>
      <c r="AP131" t="str">
        <f>IF(Tabela1[[#This Row],[17]]&lt;&gt;"",IF(ISNUMBER(FIND(",",Tabela1[[#This Row],[17]])),LEN(Tabela1[[#This Row],[17]])-LEN(SUBSTITUTE(Tabela1[[#This Row],[17]],",",""))+1,1),"")</f>
        <v/>
      </c>
      <c r="AQ131" t="str">
        <f>IF(Tabela1[[#This Row],[18]]&lt;&gt;"",IF(ISNUMBER(FIND(",",Tabela1[[#This Row],[18]])),LEN(Tabela1[[#This Row],[18]])-LEN(SUBSTITUTE(Tabela1[[#This Row],[18]],",",""))+1,1),"")</f>
        <v/>
      </c>
      <c r="AR131" s="13" t="str">
        <f>IF(Tabela1[[#This Row],[19_LENGTH]]&lt;&gt;"",IF(ISNUMBER(FIND(",",Tabela1[[#This Row],[19_LENGTH]])),LEN(Tabela1[[#This Row],[19_LENGTH]])-LEN(SUBSTITUTE(Tabela1[[#This Row],[19_LENGTH]],",",""))+1,1),"")</f>
        <v/>
      </c>
      <c r="AS131" s="21">
        <f>SUM(Tabela1[[#This Row],[1_]:[19_]])</f>
        <v>1</v>
      </c>
    </row>
    <row r="132" spans="1:45" x14ac:dyDescent="0.25">
      <c r="A132" s="27" t="s">
        <v>1319</v>
      </c>
      <c r="B132" s="19" t="s">
        <v>710</v>
      </c>
      <c r="C132" s="19">
        <v>202</v>
      </c>
      <c r="D132" s="19" t="s">
        <v>1300</v>
      </c>
      <c r="E132" s="20">
        <v>43452</v>
      </c>
      <c r="F132" s="19"/>
      <c r="G132" s="19"/>
      <c r="H132" s="19"/>
      <c r="I132" s="19"/>
      <c r="J132" s="19"/>
      <c r="K132" s="19"/>
      <c r="L132" s="19"/>
      <c r="M132" s="19">
        <v>184</v>
      </c>
      <c r="N132" s="19"/>
      <c r="O132" s="19"/>
      <c r="P132" s="19"/>
      <c r="Q132" s="19"/>
      <c r="R132" s="19"/>
      <c r="S132" s="19"/>
      <c r="T132" s="19"/>
      <c r="U132" s="19"/>
      <c r="V132" s="19"/>
      <c r="W132" s="19"/>
      <c r="X132" s="19"/>
      <c r="Y132" s="19"/>
      <c r="Z132" t="str">
        <f>IF(Tabela1[[#This Row],[1]]&lt;&gt;"",IF(ISNUMBER(FIND(",",Tabela1[[#This Row],[1]])),LEN(Tabela1[[#This Row],[1]])-LEN(SUBSTITUTE(Tabela1[[#This Row],[1]],",",""))+1,1),"")</f>
        <v/>
      </c>
      <c r="AA132" t="str">
        <f>IF(Tabela1[[#This Row],[2]]&lt;&gt;"",IF(ISNUMBER(FIND(",",Tabela1[[#This Row],[2]])),LEN(Tabela1[[#This Row],[2]])-LEN(SUBSTITUTE(Tabela1[[#This Row],[2]],",",""))+1,1),"")</f>
        <v/>
      </c>
      <c r="AB132" t="str">
        <f>IF(Tabela1[[#This Row],[3]]&lt;&gt;"",IF(ISNUMBER(FIND(",",Tabela1[[#This Row],[3]])),LEN(Tabela1[[#This Row],[3]])-LEN(SUBSTITUTE(Tabela1[[#This Row],[3]],",",""))+1,1),"")</f>
        <v/>
      </c>
      <c r="AC132" t="str">
        <f>IF(Tabela1[[#This Row],[4]]&lt;&gt;"",IF(ISNUMBER(FIND(",",Tabela1[[#This Row],[4]])),LEN(Tabela1[[#This Row],[4]])-LEN(SUBSTITUTE(Tabela1[[#This Row],[4]],",",""))+1,1),"")</f>
        <v/>
      </c>
      <c r="AD132" t="str">
        <f>IF(Tabela1[[#This Row],[5]]&lt;&gt;"",IF(ISNUMBER(FIND(",",Tabela1[[#This Row],[5]])),LEN(Tabela1[[#This Row],[5]])-LEN(SUBSTITUTE(Tabela1[[#This Row],[5]],",",""))+1,1),"")</f>
        <v/>
      </c>
      <c r="AE132" t="str">
        <f>IF(Tabela1[[#This Row],[6]]&lt;&gt;"",IF(ISNUMBER(FIND(",",Tabela1[[#This Row],[6]])),LEN(Tabela1[[#This Row],[6]])-LEN(SUBSTITUTE(Tabela1[[#This Row],[6]],",",""))+1,1),"")</f>
        <v/>
      </c>
      <c r="AF132" t="str">
        <f>IF(Tabela1[[#This Row],[7]]&lt;&gt;"",IF(ISNUMBER(FIND(",",Tabela1[[#This Row],[7]])),LEN(Tabela1[[#This Row],[7]])-LEN(SUBSTITUTE(Tabela1[[#This Row],[7]],",",""))+1,1),"")</f>
        <v/>
      </c>
      <c r="AG132">
        <f>IF(Tabela1[[#This Row],[8]]&lt;&gt;"",IF(ISNUMBER(FIND(",",Tabela1[[#This Row],[8]])),LEN(Tabela1[[#This Row],[8]])-LEN(SUBSTITUTE(Tabela1[[#This Row],[8]],",",""))+1,1),"")</f>
        <v>1</v>
      </c>
      <c r="AH132" t="str">
        <f>IF(Tabela1[[#This Row],[9]]&lt;&gt;"",IF(ISNUMBER(FIND(",",Tabela1[[#This Row],[9]])),LEN(Tabela1[[#This Row],[9]])-LEN(SUBSTITUTE(Tabela1[[#This Row],[9]],",",""))+1,1),"")</f>
        <v/>
      </c>
      <c r="AI132" t="str">
        <f>IF(Tabela1[[#This Row],[10]]&lt;&gt;"",IF(ISNUMBER(FIND(",",Tabela1[[#This Row],[10]])),LEN(Tabela1[[#This Row],[10]])-LEN(SUBSTITUTE(Tabela1[[#This Row],[10]],",",""))+1,1),"")</f>
        <v/>
      </c>
      <c r="AJ132" t="str">
        <f>IF(Tabela1[[#This Row],[11]]&lt;&gt;"",IF(ISNUMBER(FIND(",",Tabela1[[#This Row],[11]])),LEN(Tabela1[[#This Row],[11]])-LEN(SUBSTITUTE(Tabela1[[#This Row],[11]],",",""))+1,1),"")</f>
        <v/>
      </c>
      <c r="AK132" t="str">
        <f>IF(Tabela1[[#This Row],[12]]&lt;&gt;"",IF(ISNUMBER(FIND(",",Tabela1[[#This Row],[12]])),LEN(Tabela1[[#This Row],[12]])-LEN(SUBSTITUTE(Tabela1[[#This Row],[12]],",",""))+1,1),"")</f>
        <v/>
      </c>
      <c r="AL132" t="str">
        <f>IF(Tabela1[[#This Row],[13]]&lt;&gt;"",IF(ISNUMBER(FIND(",",Tabela1[[#This Row],[13]])),LEN(Tabela1[[#This Row],[13]])-LEN(SUBSTITUTE(Tabela1[[#This Row],[13]],",",""))+1,1),"")</f>
        <v/>
      </c>
      <c r="AM132" t="str">
        <f>IF(Tabela1[[#This Row],[14]]&lt;&gt;"",IF(ISNUMBER(FIND(",",Tabela1[[#This Row],[14]])),LEN(Tabela1[[#This Row],[14]])-LEN(SUBSTITUTE(Tabela1[[#This Row],[14]],",",""))+1,1),"")</f>
        <v/>
      </c>
      <c r="AN132" t="str">
        <f>IF(Tabela1[[#This Row],[15]]&lt;&gt;"",IF(ISNUMBER(FIND(",",Tabela1[[#This Row],[15]])),LEN(Tabela1[[#This Row],[15]])-LEN(SUBSTITUTE(Tabela1[[#This Row],[15]],",",""))+1,1),"")</f>
        <v/>
      </c>
      <c r="AO132" t="str">
        <f>IF(Tabela1[[#This Row],[16]]&lt;&gt;"",IF(ISNUMBER(FIND(",",Tabela1[[#This Row],[16]])),LEN(Tabela1[[#This Row],[16]])-LEN(SUBSTITUTE(Tabela1[[#This Row],[16]],",",""))+1,1),"")</f>
        <v/>
      </c>
      <c r="AP132" t="str">
        <f>IF(Tabela1[[#This Row],[17]]&lt;&gt;"",IF(ISNUMBER(FIND(",",Tabela1[[#This Row],[17]])),LEN(Tabela1[[#This Row],[17]])-LEN(SUBSTITUTE(Tabela1[[#This Row],[17]],",",""))+1,1),"")</f>
        <v/>
      </c>
      <c r="AQ132" t="str">
        <f>IF(Tabela1[[#This Row],[18]]&lt;&gt;"",IF(ISNUMBER(FIND(",",Tabela1[[#This Row],[18]])),LEN(Tabela1[[#This Row],[18]])-LEN(SUBSTITUTE(Tabela1[[#This Row],[18]],",",""))+1,1),"")</f>
        <v/>
      </c>
      <c r="AR132" s="13" t="str">
        <f>IF(Tabela1[[#This Row],[19_LENGTH]]&lt;&gt;"",IF(ISNUMBER(FIND(",",Tabela1[[#This Row],[19_LENGTH]])),LEN(Tabela1[[#This Row],[19_LENGTH]])-LEN(SUBSTITUTE(Tabela1[[#This Row],[19_LENGTH]],",",""))+1,1),"")</f>
        <v/>
      </c>
      <c r="AS132" s="21">
        <f>SUM(Tabela1[[#This Row],[1_]:[19_]])</f>
        <v>1</v>
      </c>
    </row>
    <row r="133" spans="1:45" x14ac:dyDescent="0.25">
      <c r="A133" s="27" t="s">
        <v>1319</v>
      </c>
      <c r="B133" s="19" t="s">
        <v>365</v>
      </c>
      <c r="C133" s="19">
        <v>202</v>
      </c>
      <c r="D133" s="19" t="s">
        <v>1292</v>
      </c>
      <c r="E133" s="20">
        <v>43452</v>
      </c>
      <c r="F133" s="19"/>
      <c r="G133" s="19"/>
      <c r="H133" s="19">
        <v>199</v>
      </c>
      <c r="I133" s="19"/>
      <c r="J133" s="19"/>
      <c r="K133" s="19"/>
      <c r="L133" s="19"/>
      <c r="M133" s="19"/>
      <c r="N133" s="19"/>
      <c r="O133" s="19"/>
      <c r="P133" s="19"/>
      <c r="Q133" s="19"/>
      <c r="R133" s="19"/>
      <c r="S133" s="19"/>
      <c r="T133" s="19"/>
      <c r="U133" s="19"/>
      <c r="V133" s="19"/>
      <c r="W133" s="19"/>
      <c r="X133" s="19"/>
      <c r="Y133" s="19"/>
      <c r="Z133" t="str">
        <f>IF(Tabela1[[#This Row],[1]]&lt;&gt;"",IF(ISNUMBER(FIND(",",Tabela1[[#This Row],[1]])),LEN(Tabela1[[#This Row],[1]])-LEN(SUBSTITUTE(Tabela1[[#This Row],[1]],",",""))+1,1),"")</f>
        <v/>
      </c>
      <c r="AA133" t="str">
        <f>IF(Tabela1[[#This Row],[2]]&lt;&gt;"",IF(ISNUMBER(FIND(",",Tabela1[[#This Row],[2]])),LEN(Tabela1[[#This Row],[2]])-LEN(SUBSTITUTE(Tabela1[[#This Row],[2]],",",""))+1,1),"")</f>
        <v/>
      </c>
      <c r="AB133">
        <f>IF(Tabela1[[#This Row],[3]]&lt;&gt;"",IF(ISNUMBER(FIND(",",Tabela1[[#This Row],[3]])),LEN(Tabela1[[#This Row],[3]])-LEN(SUBSTITUTE(Tabela1[[#This Row],[3]],",",""))+1,1),"")</f>
        <v>1</v>
      </c>
      <c r="AC133" t="str">
        <f>IF(Tabela1[[#This Row],[4]]&lt;&gt;"",IF(ISNUMBER(FIND(",",Tabela1[[#This Row],[4]])),LEN(Tabela1[[#This Row],[4]])-LEN(SUBSTITUTE(Tabela1[[#This Row],[4]],",",""))+1,1),"")</f>
        <v/>
      </c>
      <c r="AD133" t="str">
        <f>IF(Tabela1[[#This Row],[5]]&lt;&gt;"",IF(ISNUMBER(FIND(",",Tabela1[[#This Row],[5]])),LEN(Tabela1[[#This Row],[5]])-LEN(SUBSTITUTE(Tabela1[[#This Row],[5]],",",""))+1,1),"")</f>
        <v/>
      </c>
      <c r="AE133" t="str">
        <f>IF(Tabela1[[#This Row],[6]]&lt;&gt;"",IF(ISNUMBER(FIND(",",Tabela1[[#This Row],[6]])),LEN(Tabela1[[#This Row],[6]])-LEN(SUBSTITUTE(Tabela1[[#This Row],[6]],",",""))+1,1),"")</f>
        <v/>
      </c>
      <c r="AF133" t="str">
        <f>IF(Tabela1[[#This Row],[7]]&lt;&gt;"",IF(ISNUMBER(FIND(",",Tabela1[[#This Row],[7]])),LEN(Tabela1[[#This Row],[7]])-LEN(SUBSTITUTE(Tabela1[[#This Row],[7]],",",""))+1,1),"")</f>
        <v/>
      </c>
      <c r="AG133" t="str">
        <f>IF(Tabela1[[#This Row],[8]]&lt;&gt;"",IF(ISNUMBER(FIND(",",Tabela1[[#This Row],[8]])),LEN(Tabela1[[#This Row],[8]])-LEN(SUBSTITUTE(Tabela1[[#This Row],[8]],",",""))+1,1),"")</f>
        <v/>
      </c>
      <c r="AH133" t="str">
        <f>IF(Tabela1[[#This Row],[9]]&lt;&gt;"",IF(ISNUMBER(FIND(",",Tabela1[[#This Row],[9]])),LEN(Tabela1[[#This Row],[9]])-LEN(SUBSTITUTE(Tabela1[[#This Row],[9]],",",""))+1,1),"")</f>
        <v/>
      </c>
      <c r="AI133" t="str">
        <f>IF(Tabela1[[#This Row],[10]]&lt;&gt;"",IF(ISNUMBER(FIND(",",Tabela1[[#This Row],[10]])),LEN(Tabela1[[#This Row],[10]])-LEN(SUBSTITUTE(Tabela1[[#This Row],[10]],",",""))+1,1),"")</f>
        <v/>
      </c>
      <c r="AJ133" t="str">
        <f>IF(Tabela1[[#This Row],[11]]&lt;&gt;"",IF(ISNUMBER(FIND(",",Tabela1[[#This Row],[11]])),LEN(Tabela1[[#This Row],[11]])-LEN(SUBSTITUTE(Tabela1[[#This Row],[11]],",",""))+1,1),"")</f>
        <v/>
      </c>
      <c r="AK133" t="str">
        <f>IF(Tabela1[[#This Row],[12]]&lt;&gt;"",IF(ISNUMBER(FIND(",",Tabela1[[#This Row],[12]])),LEN(Tabela1[[#This Row],[12]])-LEN(SUBSTITUTE(Tabela1[[#This Row],[12]],",",""))+1,1),"")</f>
        <v/>
      </c>
      <c r="AL133" t="str">
        <f>IF(Tabela1[[#This Row],[13]]&lt;&gt;"",IF(ISNUMBER(FIND(",",Tabela1[[#This Row],[13]])),LEN(Tabela1[[#This Row],[13]])-LEN(SUBSTITUTE(Tabela1[[#This Row],[13]],",",""))+1,1),"")</f>
        <v/>
      </c>
      <c r="AM133" t="str">
        <f>IF(Tabela1[[#This Row],[14]]&lt;&gt;"",IF(ISNUMBER(FIND(",",Tabela1[[#This Row],[14]])),LEN(Tabela1[[#This Row],[14]])-LEN(SUBSTITUTE(Tabela1[[#This Row],[14]],",",""))+1,1),"")</f>
        <v/>
      </c>
      <c r="AN133" t="str">
        <f>IF(Tabela1[[#This Row],[15]]&lt;&gt;"",IF(ISNUMBER(FIND(",",Tabela1[[#This Row],[15]])),LEN(Tabela1[[#This Row],[15]])-LEN(SUBSTITUTE(Tabela1[[#This Row],[15]],",",""))+1,1),"")</f>
        <v/>
      </c>
      <c r="AO133" t="str">
        <f>IF(Tabela1[[#This Row],[16]]&lt;&gt;"",IF(ISNUMBER(FIND(",",Tabela1[[#This Row],[16]])),LEN(Tabela1[[#This Row],[16]])-LEN(SUBSTITUTE(Tabela1[[#This Row],[16]],",",""))+1,1),"")</f>
        <v/>
      </c>
      <c r="AP133" t="str">
        <f>IF(Tabela1[[#This Row],[17]]&lt;&gt;"",IF(ISNUMBER(FIND(",",Tabela1[[#This Row],[17]])),LEN(Tabela1[[#This Row],[17]])-LEN(SUBSTITUTE(Tabela1[[#This Row],[17]],",",""))+1,1),"")</f>
        <v/>
      </c>
      <c r="AQ133" t="str">
        <f>IF(Tabela1[[#This Row],[18]]&lt;&gt;"",IF(ISNUMBER(FIND(",",Tabela1[[#This Row],[18]])),LEN(Tabela1[[#This Row],[18]])-LEN(SUBSTITUTE(Tabela1[[#This Row],[18]],",",""))+1,1),"")</f>
        <v/>
      </c>
      <c r="AR133" s="13" t="str">
        <f>IF(Tabela1[[#This Row],[19_LENGTH]]&lt;&gt;"",IF(ISNUMBER(FIND(",",Tabela1[[#This Row],[19_LENGTH]])),LEN(Tabela1[[#This Row],[19_LENGTH]])-LEN(SUBSTITUTE(Tabela1[[#This Row],[19_LENGTH]],",",""))+1,1),"")</f>
        <v/>
      </c>
      <c r="AS133" s="21">
        <f>SUM(Tabela1[[#This Row],[1_]:[19_]])</f>
        <v>1</v>
      </c>
    </row>
    <row r="134" spans="1:45" x14ac:dyDescent="0.25">
      <c r="A134" s="27" t="s">
        <v>1319</v>
      </c>
      <c r="B134" s="19" t="s">
        <v>366</v>
      </c>
      <c r="C134" s="19">
        <v>156</v>
      </c>
      <c r="D134" s="19" t="s">
        <v>1292</v>
      </c>
      <c r="E134" s="20">
        <v>43452</v>
      </c>
      <c r="F134" s="19"/>
      <c r="G134" s="19"/>
      <c r="H134" s="19"/>
      <c r="I134" s="19"/>
      <c r="J134" s="19"/>
      <c r="K134" s="19"/>
      <c r="L134" s="19"/>
      <c r="M134" s="19"/>
      <c r="N134" s="19"/>
      <c r="O134" s="19"/>
      <c r="P134" s="19"/>
      <c r="Q134" s="19">
        <v>77</v>
      </c>
      <c r="R134" s="19"/>
      <c r="S134" s="19"/>
      <c r="T134" s="19"/>
      <c r="U134" s="19"/>
      <c r="V134" s="19"/>
      <c r="W134" s="19"/>
      <c r="X134" s="19"/>
      <c r="Y134" s="19"/>
      <c r="Z134" t="str">
        <f>IF(Tabela1[[#This Row],[1]]&lt;&gt;"",IF(ISNUMBER(FIND(",",Tabela1[[#This Row],[1]])),LEN(Tabela1[[#This Row],[1]])-LEN(SUBSTITUTE(Tabela1[[#This Row],[1]],",",""))+1,1),"")</f>
        <v/>
      </c>
      <c r="AA134" t="str">
        <f>IF(Tabela1[[#This Row],[2]]&lt;&gt;"",IF(ISNUMBER(FIND(",",Tabela1[[#This Row],[2]])),LEN(Tabela1[[#This Row],[2]])-LEN(SUBSTITUTE(Tabela1[[#This Row],[2]],",",""))+1,1),"")</f>
        <v/>
      </c>
      <c r="AB134" t="str">
        <f>IF(Tabela1[[#This Row],[3]]&lt;&gt;"",IF(ISNUMBER(FIND(",",Tabela1[[#This Row],[3]])),LEN(Tabela1[[#This Row],[3]])-LEN(SUBSTITUTE(Tabela1[[#This Row],[3]],",",""))+1,1),"")</f>
        <v/>
      </c>
      <c r="AC134" t="str">
        <f>IF(Tabela1[[#This Row],[4]]&lt;&gt;"",IF(ISNUMBER(FIND(",",Tabela1[[#This Row],[4]])),LEN(Tabela1[[#This Row],[4]])-LEN(SUBSTITUTE(Tabela1[[#This Row],[4]],",",""))+1,1),"")</f>
        <v/>
      </c>
      <c r="AD134" t="str">
        <f>IF(Tabela1[[#This Row],[5]]&lt;&gt;"",IF(ISNUMBER(FIND(",",Tabela1[[#This Row],[5]])),LEN(Tabela1[[#This Row],[5]])-LEN(SUBSTITUTE(Tabela1[[#This Row],[5]],",",""))+1,1),"")</f>
        <v/>
      </c>
      <c r="AE134" t="str">
        <f>IF(Tabela1[[#This Row],[6]]&lt;&gt;"",IF(ISNUMBER(FIND(",",Tabela1[[#This Row],[6]])),LEN(Tabela1[[#This Row],[6]])-LEN(SUBSTITUTE(Tabela1[[#This Row],[6]],",",""))+1,1),"")</f>
        <v/>
      </c>
      <c r="AF134" t="str">
        <f>IF(Tabela1[[#This Row],[7]]&lt;&gt;"",IF(ISNUMBER(FIND(",",Tabela1[[#This Row],[7]])),LEN(Tabela1[[#This Row],[7]])-LEN(SUBSTITUTE(Tabela1[[#This Row],[7]],",",""))+1,1),"")</f>
        <v/>
      </c>
      <c r="AG134" t="str">
        <f>IF(Tabela1[[#This Row],[8]]&lt;&gt;"",IF(ISNUMBER(FIND(",",Tabela1[[#This Row],[8]])),LEN(Tabela1[[#This Row],[8]])-LEN(SUBSTITUTE(Tabela1[[#This Row],[8]],",",""))+1,1),"")</f>
        <v/>
      </c>
      <c r="AH134" t="str">
        <f>IF(Tabela1[[#This Row],[9]]&lt;&gt;"",IF(ISNUMBER(FIND(",",Tabela1[[#This Row],[9]])),LEN(Tabela1[[#This Row],[9]])-LEN(SUBSTITUTE(Tabela1[[#This Row],[9]],",",""))+1,1),"")</f>
        <v/>
      </c>
      <c r="AI134" t="str">
        <f>IF(Tabela1[[#This Row],[10]]&lt;&gt;"",IF(ISNUMBER(FIND(",",Tabela1[[#This Row],[10]])),LEN(Tabela1[[#This Row],[10]])-LEN(SUBSTITUTE(Tabela1[[#This Row],[10]],",",""))+1,1),"")</f>
        <v/>
      </c>
      <c r="AJ134" t="str">
        <f>IF(Tabela1[[#This Row],[11]]&lt;&gt;"",IF(ISNUMBER(FIND(",",Tabela1[[#This Row],[11]])),LEN(Tabela1[[#This Row],[11]])-LEN(SUBSTITUTE(Tabela1[[#This Row],[11]],",",""))+1,1),"")</f>
        <v/>
      </c>
      <c r="AK134">
        <f>IF(Tabela1[[#This Row],[12]]&lt;&gt;"",IF(ISNUMBER(FIND(",",Tabela1[[#This Row],[12]])),LEN(Tabela1[[#This Row],[12]])-LEN(SUBSTITUTE(Tabela1[[#This Row],[12]],",",""))+1,1),"")</f>
        <v>1</v>
      </c>
      <c r="AL134" t="str">
        <f>IF(Tabela1[[#This Row],[13]]&lt;&gt;"",IF(ISNUMBER(FIND(",",Tabela1[[#This Row],[13]])),LEN(Tabela1[[#This Row],[13]])-LEN(SUBSTITUTE(Tabela1[[#This Row],[13]],",",""))+1,1),"")</f>
        <v/>
      </c>
      <c r="AM134" t="str">
        <f>IF(Tabela1[[#This Row],[14]]&lt;&gt;"",IF(ISNUMBER(FIND(",",Tabela1[[#This Row],[14]])),LEN(Tabela1[[#This Row],[14]])-LEN(SUBSTITUTE(Tabela1[[#This Row],[14]],",",""))+1,1),"")</f>
        <v/>
      </c>
      <c r="AN134" t="str">
        <f>IF(Tabela1[[#This Row],[15]]&lt;&gt;"",IF(ISNUMBER(FIND(",",Tabela1[[#This Row],[15]])),LEN(Tabela1[[#This Row],[15]])-LEN(SUBSTITUTE(Tabela1[[#This Row],[15]],",",""))+1,1),"")</f>
        <v/>
      </c>
      <c r="AO134" t="str">
        <f>IF(Tabela1[[#This Row],[16]]&lt;&gt;"",IF(ISNUMBER(FIND(",",Tabela1[[#This Row],[16]])),LEN(Tabela1[[#This Row],[16]])-LEN(SUBSTITUTE(Tabela1[[#This Row],[16]],",",""))+1,1),"")</f>
        <v/>
      </c>
      <c r="AP134" t="str">
        <f>IF(Tabela1[[#This Row],[17]]&lt;&gt;"",IF(ISNUMBER(FIND(",",Tabela1[[#This Row],[17]])),LEN(Tabela1[[#This Row],[17]])-LEN(SUBSTITUTE(Tabela1[[#This Row],[17]],",",""))+1,1),"")</f>
        <v/>
      </c>
      <c r="AQ134" t="str">
        <f>IF(Tabela1[[#This Row],[18]]&lt;&gt;"",IF(ISNUMBER(FIND(",",Tabela1[[#This Row],[18]])),LEN(Tabela1[[#This Row],[18]])-LEN(SUBSTITUTE(Tabela1[[#This Row],[18]],",",""))+1,1),"")</f>
        <v/>
      </c>
      <c r="AR134" s="13" t="str">
        <f>IF(Tabela1[[#This Row],[19_LENGTH]]&lt;&gt;"",IF(ISNUMBER(FIND(",",Tabela1[[#This Row],[19_LENGTH]])),LEN(Tabela1[[#This Row],[19_LENGTH]])-LEN(SUBSTITUTE(Tabela1[[#This Row],[19_LENGTH]],",",""))+1,1),"")</f>
        <v/>
      </c>
      <c r="AS134" s="21">
        <f>SUM(Tabela1[[#This Row],[1_]:[19_]])</f>
        <v>1</v>
      </c>
    </row>
    <row r="135" spans="1:45" x14ac:dyDescent="0.25">
      <c r="A135" s="27" t="s">
        <v>1319</v>
      </c>
      <c r="B135" s="19" t="s">
        <v>367</v>
      </c>
      <c r="C135" s="19">
        <v>202</v>
      </c>
      <c r="D135" s="19" t="s">
        <v>1298</v>
      </c>
      <c r="E135" s="20">
        <v>43452</v>
      </c>
      <c r="F135" s="19"/>
      <c r="G135" s="19"/>
      <c r="H135" s="19"/>
      <c r="I135" s="19">
        <v>144</v>
      </c>
      <c r="J135" s="19"/>
      <c r="K135" s="19"/>
      <c r="L135" s="19"/>
      <c r="M135" s="19"/>
      <c r="N135" s="19"/>
      <c r="O135" s="19"/>
      <c r="P135" s="19"/>
      <c r="Q135" s="19"/>
      <c r="R135" s="19"/>
      <c r="S135" s="19"/>
      <c r="T135" s="19"/>
      <c r="U135" s="19"/>
      <c r="V135" s="19"/>
      <c r="W135" s="19"/>
      <c r="X135" s="19"/>
      <c r="Y135" s="19"/>
      <c r="Z135" t="str">
        <f>IF(Tabela1[[#This Row],[1]]&lt;&gt;"",IF(ISNUMBER(FIND(",",Tabela1[[#This Row],[1]])),LEN(Tabela1[[#This Row],[1]])-LEN(SUBSTITUTE(Tabela1[[#This Row],[1]],",",""))+1,1),"")</f>
        <v/>
      </c>
      <c r="AA135" t="str">
        <f>IF(Tabela1[[#This Row],[2]]&lt;&gt;"",IF(ISNUMBER(FIND(",",Tabela1[[#This Row],[2]])),LEN(Tabela1[[#This Row],[2]])-LEN(SUBSTITUTE(Tabela1[[#This Row],[2]],",",""))+1,1),"")</f>
        <v/>
      </c>
      <c r="AB135" t="str">
        <f>IF(Tabela1[[#This Row],[3]]&lt;&gt;"",IF(ISNUMBER(FIND(",",Tabela1[[#This Row],[3]])),LEN(Tabela1[[#This Row],[3]])-LEN(SUBSTITUTE(Tabela1[[#This Row],[3]],",",""))+1,1),"")</f>
        <v/>
      </c>
      <c r="AC135">
        <f>IF(Tabela1[[#This Row],[4]]&lt;&gt;"",IF(ISNUMBER(FIND(",",Tabela1[[#This Row],[4]])),LEN(Tabela1[[#This Row],[4]])-LEN(SUBSTITUTE(Tabela1[[#This Row],[4]],",",""))+1,1),"")</f>
        <v>1</v>
      </c>
      <c r="AD135" t="str">
        <f>IF(Tabela1[[#This Row],[5]]&lt;&gt;"",IF(ISNUMBER(FIND(",",Tabela1[[#This Row],[5]])),LEN(Tabela1[[#This Row],[5]])-LEN(SUBSTITUTE(Tabela1[[#This Row],[5]],",",""))+1,1),"")</f>
        <v/>
      </c>
      <c r="AE135" t="str">
        <f>IF(Tabela1[[#This Row],[6]]&lt;&gt;"",IF(ISNUMBER(FIND(",",Tabela1[[#This Row],[6]])),LEN(Tabela1[[#This Row],[6]])-LEN(SUBSTITUTE(Tabela1[[#This Row],[6]],",",""))+1,1),"")</f>
        <v/>
      </c>
      <c r="AF135" t="str">
        <f>IF(Tabela1[[#This Row],[7]]&lt;&gt;"",IF(ISNUMBER(FIND(",",Tabela1[[#This Row],[7]])),LEN(Tabela1[[#This Row],[7]])-LEN(SUBSTITUTE(Tabela1[[#This Row],[7]],",",""))+1,1),"")</f>
        <v/>
      </c>
      <c r="AG135" t="str">
        <f>IF(Tabela1[[#This Row],[8]]&lt;&gt;"",IF(ISNUMBER(FIND(",",Tabela1[[#This Row],[8]])),LEN(Tabela1[[#This Row],[8]])-LEN(SUBSTITUTE(Tabela1[[#This Row],[8]],",",""))+1,1),"")</f>
        <v/>
      </c>
      <c r="AH135" t="str">
        <f>IF(Tabela1[[#This Row],[9]]&lt;&gt;"",IF(ISNUMBER(FIND(",",Tabela1[[#This Row],[9]])),LEN(Tabela1[[#This Row],[9]])-LEN(SUBSTITUTE(Tabela1[[#This Row],[9]],",",""))+1,1),"")</f>
        <v/>
      </c>
      <c r="AI135" t="str">
        <f>IF(Tabela1[[#This Row],[10]]&lt;&gt;"",IF(ISNUMBER(FIND(",",Tabela1[[#This Row],[10]])),LEN(Tabela1[[#This Row],[10]])-LEN(SUBSTITUTE(Tabela1[[#This Row],[10]],",",""))+1,1),"")</f>
        <v/>
      </c>
      <c r="AJ135" t="str">
        <f>IF(Tabela1[[#This Row],[11]]&lt;&gt;"",IF(ISNUMBER(FIND(",",Tabela1[[#This Row],[11]])),LEN(Tabela1[[#This Row],[11]])-LEN(SUBSTITUTE(Tabela1[[#This Row],[11]],",",""))+1,1),"")</f>
        <v/>
      </c>
      <c r="AK135" t="str">
        <f>IF(Tabela1[[#This Row],[12]]&lt;&gt;"",IF(ISNUMBER(FIND(",",Tabela1[[#This Row],[12]])),LEN(Tabela1[[#This Row],[12]])-LEN(SUBSTITUTE(Tabela1[[#This Row],[12]],",",""))+1,1),"")</f>
        <v/>
      </c>
      <c r="AL135" t="str">
        <f>IF(Tabela1[[#This Row],[13]]&lt;&gt;"",IF(ISNUMBER(FIND(",",Tabela1[[#This Row],[13]])),LEN(Tabela1[[#This Row],[13]])-LEN(SUBSTITUTE(Tabela1[[#This Row],[13]],",",""))+1,1),"")</f>
        <v/>
      </c>
      <c r="AM135" t="str">
        <f>IF(Tabela1[[#This Row],[14]]&lt;&gt;"",IF(ISNUMBER(FIND(",",Tabela1[[#This Row],[14]])),LEN(Tabela1[[#This Row],[14]])-LEN(SUBSTITUTE(Tabela1[[#This Row],[14]],",",""))+1,1),"")</f>
        <v/>
      </c>
      <c r="AN135" t="str">
        <f>IF(Tabela1[[#This Row],[15]]&lt;&gt;"",IF(ISNUMBER(FIND(",",Tabela1[[#This Row],[15]])),LEN(Tabela1[[#This Row],[15]])-LEN(SUBSTITUTE(Tabela1[[#This Row],[15]],",",""))+1,1),"")</f>
        <v/>
      </c>
      <c r="AO135" t="str">
        <f>IF(Tabela1[[#This Row],[16]]&lt;&gt;"",IF(ISNUMBER(FIND(",",Tabela1[[#This Row],[16]])),LEN(Tabela1[[#This Row],[16]])-LEN(SUBSTITUTE(Tabela1[[#This Row],[16]],",",""))+1,1),"")</f>
        <v/>
      </c>
      <c r="AP135" t="str">
        <f>IF(Tabela1[[#This Row],[17]]&lt;&gt;"",IF(ISNUMBER(FIND(",",Tabela1[[#This Row],[17]])),LEN(Tabela1[[#This Row],[17]])-LEN(SUBSTITUTE(Tabela1[[#This Row],[17]],",",""))+1,1),"")</f>
        <v/>
      </c>
      <c r="AQ135" t="str">
        <f>IF(Tabela1[[#This Row],[18]]&lt;&gt;"",IF(ISNUMBER(FIND(",",Tabela1[[#This Row],[18]])),LEN(Tabela1[[#This Row],[18]])-LEN(SUBSTITUTE(Tabela1[[#This Row],[18]],",",""))+1,1),"")</f>
        <v/>
      </c>
      <c r="AR135" s="13" t="str">
        <f>IF(Tabela1[[#This Row],[19_LENGTH]]&lt;&gt;"",IF(ISNUMBER(FIND(",",Tabela1[[#This Row],[19_LENGTH]])),LEN(Tabela1[[#This Row],[19_LENGTH]])-LEN(SUBSTITUTE(Tabela1[[#This Row],[19_LENGTH]],",",""))+1,1),"")</f>
        <v/>
      </c>
      <c r="AS135" s="21">
        <f>SUM(Tabela1[[#This Row],[1_]:[19_]])</f>
        <v>1</v>
      </c>
    </row>
    <row r="136" spans="1:45" x14ac:dyDescent="0.25">
      <c r="A136" s="27" t="s">
        <v>1319</v>
      </c>
      <c r="B136" s="19" t="s">
        <v>368</v>
      </c>
      <c r="C136" s="19">
        <v>202</v>
      </c>
      <c r="D136" s="19" t="s">
        <v>1297</v>
      </c>
      <c r="E136" s="20">
        <v>43452</v>
      </c>
      <c r="F136" s="19"/>
      <c r="G136" s="19"/>
      <c r="H136" s="19">
        <v>157</v>
      </c>
      <c r="I136" s="19"/>
      <c r="J136" s="19"/>
      <c r="K136" s="19"/>
      <c r="L136" s="19"/>
      <c r="M136" s="19"/>
      <c r="N136" s="19"/>
      <c r="O136" s="19"/>
      <c r="P136" s="19"/>
      <c r="Q136" s="19"/>
      <c r="R136" s="19"/>
      <c r="S136" s="19"/>
      <c r="T136" s="19"/>
      <c r="U136" s="19"/>
      <c r="V136" s="19"/>
      <c r="W136" s="19"/>
      <c r="X136" s="19"/>
      <c r="Y136" s="19"/>
      <c r="Z136" t="str">
        <f>IF(Tabela1[[#This Row],[1]]&lt;&gt;"",IF(ISNUMBER(FIND(",",Tabela1[[#This Row],[1]])),LEN(Tabela1[[#This Row],[1]])-LEN(SUBSTITUTE(Tabela1[[#This Row],[1]],",",""))+1,1),"")</f>
        <v/>
      </c>
      <c r="AA136" t="str">
        <f>IF(Tabela1[[#This Row],[2]]&lt;&gt;"",IF(ISNUMBER(FIND(",",Tabela1[[#This Row],[2]])),LEN(Tabela1[[#This Row],[2]])-LEN(SUBSTITUTE(Tabela1[[#This Row],[2]],",",""))+1,1),"")</f>
        <v/>
      </c>
      <c r="AB136">
        <f>IF(Tabela1[[#This Row],[3]]&lt;&gt;"",IF(ISNUMBER(FIND(",",Tabela1[[#This Row],[3]])),LEN(Tabela1[[#This Row],[3]])-LEN(SUBSTITUTE(Tabela1[[#This Row],[3]],",",""))+1,1),"")</f>
        <v>1</v>
      </c>
      <c r="AC136" t="str">
        <f>IF(Tabela1[[#This Row],[4]]&lt;&gt;"",IF(ISNUMBER(FIND(",",Tabela1[[#This Row],[4]])),LEN(Tabela1[[#This Row],[4]])-LEN(SUBSTITUTE(Tabela1[[#This Row],[4]],",",""))+1,1),"")</f>
        <v/>
      </c>
      <c r="AD136" t="str">
        <f>IF(Tabela1[[#This Row],[5]]&lt;&gt;"",IF(ISNUMBER(FIND(",",Tabela1[[#This Row],[5]])),LEN(Tabela1[[#This Row],[5]])-LEN(SUBSTITUTE(Tabela1[[#This Row],[5]],",",""))+1,1),"")</f>
        <v/>
      </c>
      <c r="AE136" t="str">
        <f>IF(Tabela1[[#This Row],[6]]&lt;&gt;"",IF(ISNUMBER(FIND(",",Tabela1[[#This Row],[6]])),LEN(Tabela1[[#This Row],[6]])-LEN(SUBSTITUTE(Tabela1[[#This Row],[6]],",",""))+1,1),"")</f>
        <v/>
      </c>
      <c r="AF136" t="str">
        <f>IF(Tabela1[[#This Row],[7]]&lt;&gt;"",IF(ISNUMBER(FIND(",",Tabela1[[#This Row],[7]])),LEN(Tabela1[[#This Row],[7]])-LEN(SUBSTITUTE(Tabela1[[#This Row],[7]],",",""))+1,1),"")</f>
        <v/>
      </c>
      <c r="AG136" t="str">
        <f>IF(Tabela1[[#This Row],[8]]&lt;&gt;"",IF(ISNUMBER(FIND(",",Tabela1[[#This Row],[8]])),LEN(Tabela1[[#This Row],[8]])-LEN(SUBSTITUTE(Tabela1[[#This Row],[8]],",",""))+1,1),"")</f>
        <v/>
      </c>
      <c r="AH136" t="str">
        <f>IF(Tabela1[[#This Row],[9]]&lt;&gt;"",IF(ISNUMBER(FIND(",",Tabela1[[#This Row],[9]])),LEN(Tabela1[[#This Row],[9]])-LEN(SUBSTITUTE(Tabela1[[#This Row],[9]],",",""))+1,1),"")</f>
        <v/>
      </c>
      <c r="AI136" t="str">
        <f>IF(Tabela1[[#This Row],[10]]&lt;&gt;"",IF(ISNUMBER(FIND(",",Tabela1[[#This Row],[10]])),LEN(Tabela1[[#This Row],[10]])-LEN(SUBSTITUTE(Tabela1[[#This Row],[10]],",",""))+1,1),"")</f>
        <v/>
      </c>
      <c r="AJ136" t="str">
        <f>IF(Tabela1[[#This Row],[11]]&lt;&gt;"",IF(ISNUMBER(FIND(",",Tabela1[[#This Row],[11]])),LEN(Tabela1[[#This Row],[11]])-LEN(SUBSTITUTE(Tabela1[[#This Row],[11]],",",""))+1,1),"")</f>
        <v/>
      </c>
      <c r="AK136" t="str">
        <f>IF(Tabela1[[#This Row],[12]]&lt;&gt;"",IF(ISNUMBER(FIND(",",Tabela1[[#This Row],[12]])),LEN(Tabela1[[#This Row],[12]])-LEN(SUBSTITUTE(Tabela1[[#This Row],[12]],",",""))+1,1),"")</f>
        <v/>
      </c>
      <c r="AL136" t="str">
        <f>IF(Tabela1[[#This Row],[13]]&lt;&gt;"",IF(ISNUMBER(FIND(",",Tabela1[[#This Row],[13]])),LEN(Tabela1[[#This Row],[13]])-LEN(SUBSTITUTE(Tabela1[[#This Row],[13]],",",""))+1,1),"")</f>
        <v/>
      </c>
      <c r="AM136" t="str">
        <f>IF(Tabela1[[#This Row],[14]]&lt;&gt;"",IF(ISNUMBER(FIND(",",Tabela1[[#This Row],[14]])),LEN(Tabela1[[#This Row],[14]])-LEN(SUBSTITUTE(Tabela1[[#This Row],[14]],",",""))+1,1),"")</f>
        <v/>
      </c>
      <c r="AN136" t="str">
        <f>IF(Tabela1[[#This Row],[15]]&lt;&gt;"",IF(ISNUMBER(FIND(",",Tabela1[[#This Row],[15]])),LEN(Tabela1[[#This Row],[15]])-LEN(SUBSTITUTE(Tabela1[[#This Row],[15]],",",""))+1,1),"")</f>
        <v/>
      </c>
      <c r="AO136" t="str">
        <f>IF(Tabela1[[#This Row],[16]]&lt;&gt;"",IF(ISNUMBER(FIND(",",Tabela1[[#This Row],[16]])),LEN(Tabela1[[#This Row],[16]])-LEN(SUBSTITUTE(Tabela1[[#This Row],[16]],",",""))+1,1),"")</f>
        <v/>
      </c>
      <c r="AP136" t="str">
        <f>IF(Tabela1[[#This Row],[17]]&lt;&gt;"",IF(ISNUMBER(FIND(",",Tabela1[[#This Row],[17]])),LEN(Tabela1[[#This Row],[17]])-LEN(SUBSTITUTE(Tabela1[[#This Row],[17]],",",""))+1,1),"")</f>
        <v/>
      </c>
      <c r="AQ136" t="str">
        <f>IF(Tabela1[[#This Row],[18]]&lt;&gt;"",IF(ISNUMBER(FIND(",",Tabela1[[#This Row],[18]])),LEN(Tabela1[[#This Row],[18]])-LEN(SUBSTITUTE(Tabela1[[#This Row],[18]],",",""))+1,1),"")</f>
        <v/>
      </c>
      <c r="AR136" s="13" t="str">
        <f>IF(Tabela1[[#This Row],[19_LENGTH]]&lt;&gt;"",IF(ISNUMBER(FIND(",",Tabela1[[#This Row],[19_LENGTH]])),LEN(Tabela1[[#This Row],[19_LENGTH]])-LEN(SUBSTITUTE(Tabela1[[#This Row],[19_LENGTH]],",",""))+1,1),"")</f>
        <v/>
      </c>
      <c r="AS136" s="21">
        <f>SUM(Tabela1[[#This Row],[1_]:[19_]])</f>
        <v>1</v>
      </c>
    </row>
    <row r="137" spans="1:45" x14ac:dyDescent="0.25">
      <c r="A137" s="27" t="s">
        <v>1319</v>
      </c>
      <c r="B137" s="19" t="s">
        <v>711</v>
      </c>
      <c r="C137" s="19">
        <v>192</v>
      </c>
      <c r="D137" s="19" t="s">
        <v>1315</v>
      </c>
      <c r="E137" s="20">
        <v>43453</v>
      </c>
      <c r="F137" s="19"/>
      <c r="G137" s="19"/>
      <c r="H137" s="19"/>
      <c r="I137" s="19" t="s">
        <v>55</v>
      </c>
      <c r="J137" s="19"/>
      <c r="K137" s="19"/>
      <c r="L137" s="19"/>
      <c r="M137" s="19"/>
      <c r="N137" s="19"/>
      <c r="O137" s="19"/>
      <c r="P137" s="19"/>
      <c r="Q137" s="19"/>
      <c r="R137" s="19"/>
      <c r="S137" s="19"/>
      <c r="T137" s="19"/>
      <c r="U137" s="19"/>
      <c r="V137" s="19"/>
      <c r="W137" s="19"/>
      <c r="X137" s="19"/>
      <c r="Y137" s="19"/>
      <c r="Z137" t="str">
        <f>IF(Tabela1[[#This Row],[1]]&lt;&gt;"",IF(ISNUMBER(FIND(",",Tabela1[[#This Row],[1]])),LEN(Tabela1[[#This Row],[1]])-LEN(SUBSTITUTE(Tabela1[[#This Row],[1]],",",""))+1,1),"")</f>
        <v/>
      </c>
      <c r="AA137" t="str">
        <f>IF(Tabela1[[#This Row],[2]]&lt;&gt;"",IF(ISNUMBER(FIND(",",Tabela1[[#This Row],[2]])),LEN(Tabela1[[#This Row],[2]])-LEN(SUBSTITUTE(Tabela1[[#This Row],[2]],",",""))+1,1),"")</f>
        <v/>
      </c>
      <c r="AB137" t="str">
        <f>IF(Tabela1[[#This Row],[3]]&lt;&gt;"",IF(ISNUMBER(FIND(",",Tabela1[[#This Row],[3]])),LEN(Tabela1[[#This Row],[3]])-LEN(SUBSTITUTE(Tabela1[[#This Row],[3]],",",""))+1,1),"")</f>
        <v/>
      </c>
      <c r="AC137">
        <f>IF(Tabela1[[#This Row],[4]]&lt;&gt;"",IF(ISNUMBER(FIND(",",Tabela1[[#This Row],[4]])),LEN(Tabela1[[#This Row],[4]])-LEN(SUBSTITUTE(Tabela1[[#This Row],[4]],",",""))+1,1),"")</f>
        <v>2</v>
      </c>
      <c r="AD137" t="str">
        <f>IF(Tabela1[[#This Row],[5]]&lt;&gt;"",IF(ISNUMBER(FIND(",",Tabela1[[#This Row],[5]])),LEN(Tabela1[[#This Row],[5]])-LEN(SUBSTITUTE(Tabela1[[#This Row],[5]],",",""))+1,1),"")</f>
        <v/>
      </c>
      <c r="AE137" t="str">
        <f>IF(Tabela1[[#This Row],[6]]&lt;&gt;"",IF(ISNUMBER(FIND(",",Tabela1[[#This Row],[6]])),LEN(Tabela1[[#This Row],[6]])-LEN(SUBSTITUTE(Tabela1[[#This Row],[6]],",",""))+1,1),"")</f>
        <v/>
      </c>
      <c r="AF137" t="str">
        <f>IF(Tabela1[[#This Row],[7]]&lt;&gt;"",IF(ISNUMBER(FIND(",",Tabela1[[#This Row],[7]])),LEN(Tabela1[[#This Row],[7]])-LEN(SUBSTITUTE(Tabela1[[#This Row],[7]],",",""))+1,1),"")</f>
        <v/>
      </c>
      <c r="AG137" t="str">
        <f>IF(Tabela1[[#This Row],[8]]&lt;&gt;"",IF(ISNUMBER(FIND(",",Tabela1[[#This Row],[8]])),LEN(Tabela1[[#This Row],[8]])-LEN(SUBSTITUTE(Tabela1[[#This Row],[8]],",",""))+1,1),"")</f>
        <v/>
      </c>
      <c r="AH137" t="str">
        <f>IF(Tabela1[[#This Row],[9]]&lt;&gt;"",IF(ISNUMBER(FIND(",",Tabela1[[#This Row],[9]])),LEN(Tabela1[[#This Row],[9]])-LEN(SUBSTITUTE(Tabela1[[#This Row],[9]],",",""))+1,1),"")</f>
        <v/>
      </c>
      <c r="AI137" t="str">
        <f>IF(Tabela1[[#This Row],[10]]&lt;&gt;"",IF(ISNUMBER(FIND(",",Tabela1[[#This Row],[10]])),LEN(Tabela1[[#This Row],[10]])-LEN(SUBSTITUTE(Tabela1[[#This Row],[10]],",",""))+1,1),"")</f>
        <v/>
      </c>
      <c r="AJ137" t="str">
        <f>IF(Tabela1[[#This Row],[11]]&lt;&gt;"",IF(ISNUMBER(FIND(",",Tabela1[[#This Row],[11]])),LEN(Tabela1[[#This Row],[11]])-LEN(SUBSTITUTE(Tabela1[[#This Row],[11]],",",""))+1,1),"")</f>
        <v/>
      </c>
      <c r="AK137" t="str">
        <f>IF(Tabela1[[#This Row],[12]]&lt;&gt;"",IF(ISNUMBER(FIND(",",Tabela1[[#This Row],[12]])),LEN(Tabela1[[#This Row],[12]])-LEN(SUBSTITUTE(Tabela1[[#This Row],[12]],",",""))+1,1),"")</f>
        <v/>
      </c>
      <c r="AL137" t="str">
        <f>IF(Tabela1[[#This Row],[13]]&lt;&gt;"",IF(ISNUMBER(FIND(",",Tabela1[[#This Row],[13]])),LEN(Tabela1[[#This Row],[13]])-LEN(SUBSTITUTE(Tabela1[[#This Row],[13]],",",""))+1,1),"")</f>
        <v/>
      </c>
      <c r="AM137" t="str">
        <f>IF(Tabela1[[#This Row],[14]]&lt;&gt;"",IF(ISNUMBER(FIND(",",Tabela1[[#This Row],[14]])),LEN(Tabela1[[#This Row],[14]])-LEN(SUBSTITUTE(Tabela1[[#This Row],[14]],",",""))+1,1),"")</f>
        <v/>
      </c>
      <c r="AN137" t="str">
        <f>IF(Tabela1[[#This Row],[15]]&lt;&gt;"",IF(ISNUMBER(FIND(",",Tabela1[[#This Row],[15]])),LEN(Tabela1[[#This Row],[15]])-LEN(SUBSTITUTE(Tabela1[[#This Row],[15]],",",""))+1,1),"")</f>
        <v/>
      </c>
      <c r="AO137" t="str">
        <f>IF(Tabela1[[#This Row],[16]]&lt;&gt;"",IF(ISNUMBER(FIND(",",Tabela1[[#This Row],[16]])),LEN(Tabela1[[#This Row],[16]])-LEN(SUBSTITUTE(Tabela1[[#This Row],[16]],",",""))+1,1),"")</f>
        <v/>
      </c>
      <c r="AP137" t="str">
        <f>IF(Tabela1[[#This Row],[17]]&lt;&gt;"",IF(ISNUMBER(FIND(",",Tabela1[[#This Row],[17]])),LEN(Tabela1[[#This Row],[17]])-LEN(SUBSTITUTE(Tabela1[[#This Row],[17]],",",""))+1,1),"")</f>
        <v/>
      </c>
      <c r="AQ137" t="str">
        <f>IF(Tabela1[[#This Row],[18]]&lt;&gt;"",IF(ISNUMBER(FIND(",",Tabela1[[#This Row],[18]])),LEN(Tabela1[[#This Row],[18]])-LEN(SUBSTITUTE(Tabela1[[#This Row],[18]],",",""))+1,1),"")</f>
        <v/>
      </c>
      <c r="AR137" s="13" t="str">
        <f>IF(Tabela1[[#This Row],[19_LENGTH]]&lt;&gt;"",IF(ISNUMBER(FIND(",",Tabela1[[#This Row],[19_LENGTH]])),LEN(Tabela1[[#This Row],[19_LENGTH]])-LEN(SUBSTITUTE(Tabela1[[#This Row],[19_LENGTH]],",",""))+1,1),"")</f>
        <v/>
      </c>
      <c r="AS137" s="21">
        <f>SUM(Tabela1[[#This Row],[1_]:[19_]])</f>
        <v>2</v>
      </c>
    </row>
    <row r="138" spans="1:45" x14ac:dyDescent="0.25">
      <c r="A138" s="27" t="s">
        <v>1319</v>
      </c>
      <c r="B138" s="19" t="s">
        <v>712</v>
      </c>
      <c r="C138" s="19">
        <v>202</v>
      </c>
      <c r="D138" s="19" t="s">
        <v>1315</v>
      </c>
      <c r="E138" s="20">
        <v>43452</v>
      </c>
      <c r="F138" s="19"/>
      <c r="G138" s="19"/>
      <c r="H138" s="19"/>
      <c r="I138" s="19" t="s">
        <v>56</v>
      </c>
      <c r="J138" s="19"/>
      <c r="K138" s="19"/>
      <c r="L138" s="19"/>
      <c r="M138" s="19"/>
      <c r="N138" s="19"/>
      <c r="O138" s="19"/>
      <c r="P138" s="19"/>
      <c r="Q138" s="19"/>
      <c r="R138" s="19"/>
      <c r="S138" s="19"/>
      <c r="T138" s="19"/>
      <c r="U138" s="19"/>
      <c r="V138" s="19"/>
      <c r="W138" s="19"/>
      <c r="X138" s="19"/>
      <c r="Y138" s="19"/>
      <c r="Z138" t="str">
        <f>IF(Tabela1[[#This Row],[1]]&lt;&gt;"",IF(ISNUMBER(FIND(",",Tabela1[[#This Row],[1]])),LEN(Tabela1[[#This Row],[1]])-LEN(SUBSTITUTE(Tabela1[[#This Row],[1]],",",""))+1,1),"")</f>
        <v/>
      </c>
      <c r="AA138" t="str">
        <f>IF(Tabela1[[#This Row],[2]]&lt;&gt;"",IF(ISNUMBER(FIND(",",Tabela1[[#This Row],[2]])),LEN(Tabela1[[#This Row],[2]])-LEN(SUBSTITUTE(Tabela1[[#This Row],[2]],",",""))+1,1),"")</f>
        <v/>
      </c>
      <c r="AB138" t="str">
        <f>IF(Tabela1[[#This Row],[3]]&lt;&gt;"",IF(ISNUMBER(FIND(",",Tabela1[[#This Row],[3]])),LEN(Tabela1[[#This Row],[3]])-LEN(SUBSTITUTE(Tabela1[[#This Row],[3]],",",""))+1,1),"")</f>
        <v/>
      </c>
      <c r="AC138">
        <f>IF(Tabela1[[#This Row],[4]]&lt;&gt;"",IF(ISNUMBER(FIND(",",Tabela1[[#This Row],[4]])),LEN(Tabela1[[#This Row],[4]])-LEN(SUBSTITUTE(Tabela1[[#This Row],[4]],",",""))+1,1),"")</f>
        <v>2</v>
      </c>
      <c r="AD138" t="str">
        <f>IF(Tabela1[[#This Row],[5]]&lt;&gt;"",IF(ISNUMBER(FIND(",",Tabela1[[#This Row],[5]])),LEN(Tabela1[[#This Row],[5]])-LEN(SUBSTITUTE(Tabela1[[#This Row],[5]],",",""))+1,1),"")</f>
        <v/>
      </c>
      <c r="AE138" t="str">
        <f>IF(Tabela1[[#This Row],[6]]&lt;&gt;"",IF(ISNUMBER(FIND(",",Tabela1[[#This Row],[6]])),LEN(Tabela1[[#This Row],[6]])-LEN(SUBSTITUTE(Tabela1[[#This Row],[6]],",",""))+1,1),"")</f>
        <v/>
      </c>
      <c r="AF138" t="str">
        <f>IF(Tabela1[[#This Row],[7]]&lt;&gt;"",IF(ISNUMBER(FIND(",",Tabela1[[#This Row],[7]])),LEN(Tabela1[[#This Row],[7]])-LEN(SUBSTITUTE(Tabela1[[#This Row],[7]],",",""))+1,1),"")</f>
        <v/>
      </c>
      <c r="AG138" t="str">
        <f>IF(Tabela1[[#This Row],[8]]&lt;&gt;"",IF(ISNUMBER(FIND(",",Tabela1[[#This Row],[8]])),LEN(Tabela1[[#This Row],[8]])-LEN(SUBSTITUTE(Tabela1[[#This Row],[8]],",",""))+1,1),"")</f>
        <v/>
      </c>
      <c r="AH138" t="str">
        <f>IF(Tabela1[[#This Row],[9]]&lt;&gt;"",IF(ISNUMBER(FIND(",",Tabela1[[#This Row],[9]])),LEN(Tabela1[[#This Row],[9]])-LEN(SUBSTITUTE(Tabela1[[#This Row],[9]],",",""))+1,1),"")</f>
        <v/>
      </c>
      <c r="AI138" t="str">
        <f>IF(Tabela1[[#This Row],[10]]&lt;&gt;"",IF(ISNUMBER(FIND(",",Tabela1[[#This Row],[10]])),LEN(Tabela1[[#This Row],[10]])-LEN(SUBSTITUTE(Tabela1[[#This Row],[10]],",",""))+1,1),"")</f>
        <v/>
      </c>
      <c r="AJ138" t="str">
        <f>IF(Tabela1[[#This Row],[11]]&lt;&gt;"",IF(ISNUMBER(FIND(",",Tabela1[[#This Row],[11]])),LEN(Tabela1[[#This Row],[11]])-LEN(SUBSTITUTE(Tabela1[[#This Row],[11]],",",""))+1,1),"")</f>
        <v/>
      </c>
      <c r="AK138" t="str">
        <f>IF(Tabela1[[#This Row],[12]]&lt;&gt;"",IF(ISNUMBER(FIND(",",Tabela1[[#This Row],[12]])),LEN(Tabela1[[#This Row],[12]])-LEN(SUBSTITUTE(Tabela1[[#This Row],[12]],",",""))+1,1),"")</f>
        <v/>
      </c>
      <c r="AL138" t="str">
        <f>IF(Tabela1[[#This Row],[13]]&lt;&gt;"",IF(ISNUMBER(FIND(",",Tabela1[[#This Row],[13]])),LEN(Tabela1[[#This Row],[13]])-LEN(SUBSTITUTE(Tabela1[[#This Row],[13]],",",""))+1,1),"")</f>
        <v/>
      </c>
      <c r="AM138" t="str">
        <f>IF(Tabela1[[#This Row],[14]]&lt;&gt;"",IF(ISNUMBER(FIND(",",Tabela1[[#This Row],[14]])),LEN(Tabela1[[#This Row],[14]])-LEN(SUBSTITUTE(Tabela1[[#This Row],[14]],",",""))+1,1),"")</f>
        <v/>
      </c>
      <c r="AN138" t="str">
        <f>IF(Tabela1[[#This Row],[15]]&lt;&gt;"",IF(ISNUMBER(FIND(",",Tabela1[[#This Row],[15]])),LEN(Tabela1[[#This Row],[15]])-LEN(SUBSTITUTE(Tabela1[[#This Row],[15]],",",""))+1,1),"")</f>
        <v/>
      </c>
      <c r="AO138" t="str">
        <f>IF(Tabela1[[#This Row],[16]]&lt;&gt;"",IF(ISNUMBER(FIND(",",Tabela1[[#This Row],[16]])),LEN(Tabela1[[#This Row],[16]])-LEN(SUBSTITUTE(Tabela1[[#This Row],[16]],",",""))+1,1),"")</f>
        <v/>
      </c>
      <c r="AP138" t="str">
        <f>IF(Tabela1[[#This Row],[17]]&lt;&gt;"",IF(ISNUMBER(FIND(",",Tabela1[[#This Row],[17]])),LEN(Tabela1[[#This Row],[17]])-LEN(SUBSTITUTE(Tabela1[[#This Row],[17]],",",""))+1,1),"")</f>
        <v/>
      </c>
      <c r="AQ138" t="str">
        <f>IF(Tabela1[[#This Row],[18]]&lt;&gt;"",IF(ISNUMBER(FIND(",",Tabela1[[#This Row],[18]])),LEN(Tabela1[[#This Row],[18]])-LEN(SUBSTITUTE(Tabela1[[#This Row],[18]],",",""))+1,1),"")</f>
        <v/>
      </c>
      <c r="AR138" s="13" t="str">
        <f>IF(Tabela1[[#This Row],[19_LENGTH]]&lt;&gt;"",IF(ISNUMBER(FIND(",",Tabela1[[#This Row],[19_LENGTH]])),LEN(Tabela1[[#This Row],[19_LENGTH]])-LEN(SUBSTITUTE(Tabela1[[#This Row],[19_LENGTH]],",",""))+1,1),"")</f>
        <v/>
      </c>
      <c r="AS138" s="21">
        <f>SUM(Tabela1[[#This Row],[1_]:[19_]])</f>
        <v>2</v>
      </c>
    </row>
    <row r="139" spans="1:45" x14ac:dyDescent="0.25">
      <c r="A139" s="27" t="s">
        <v>1319</v>
      </c>
      <c r="B139" s="19" t="s">
        <v>713</v>
      </c>
      <c r="C139" s="19">
        <v>202</v>
      </c>
      <c r="D139" s="19" t="s">
        <v>1315</v>
      </c>
      <c r="E139" s="20">
        <v>43452</v>
      </c>
      <c r="F139" s="19"/>
      <c r="G139" s="19"/>
      <c r="H139" s="19"/>
      <c r="I139" s="19"/>
      <c r="J139" s="19"/>
      <c r="K139" s="19"/>
      <c r="L139" s="19"/>
      <c r="M139" s="19"/>
      <c r="N139" s="19"/>
      <c r="O139" s="19"/>
      <c r="P139" s="19"/>
      <c r="Q139" s="19"/>
      <c r="R139" s="19"/>
      <c r="S139" s="19"/>
      <c r="T139" s="19"/>
      <c r="U139" s="19">
        <v>31</v>
      </c>
      <c r="V139" s="19"/>
      <c r="W139" s="19"/>
      <c r="X139" s="19"/>
      <c r="Y139" s="19"/>
      <c r="Z139" t="str">
        <f>IF(Tabela1[[#This Row],[1]]&lt;&gt;"",IF(ISNUMBER(FIND(",",Tabela1[[#This Row],[1]])),LEN(Tabela1[[#This Row],[1]])-LEN(SUBSTITUTE(Tabela1[[#This Row],[1]],",",""))+1,1),"")</f>
        <v/>
      </c>
      <c r="AA139" t="str">
        <f>IF(Tabela1[[#This Row],[2]]&lt;&gt;"",IF(ISNUMBER(FIND(",",Tabela1[[#This Row],[2]])),LEN(Tabela1[[#This Row],[2]])-LEN(SUBSTITUTE(Tabela1[[#This Row],[2]],",",""))+1,1),"")</f>
        <v/>
      </c>
      <c r="AB139" t="str">
        <f>IF(Tabela1[[#This Row],[3]]&lt;&gt;"",IF(ISNUMBER(FIND(",",Tabela1[[#This Row],[3]])),LEN(Tabela1[[#This Row],[3]])-LEN(SUBSTITUTE(Tabela1[[#This Row],[3]],",",""))+1,1),"")</f>
        <v/>
      </c>
      <c r="AC139" t="str">
        <f>IF(Tabela1[[#This Row],[4]]&lt;&gt;"",IF(ISNUMBER(FIND(",",Tabela1[[#This Row],[4]])),LEN(Tabela1[[#This Row],[4]])-LEN(SUBSTITUTE(Tabela1[[#This Row],[4]],",",""))+1,1),"")</f>
        <v/>
      </c>
      <c r="AD139" t="str">
        <f>IF(Tabela1[[#This Row],[5]]&lt;&gt;"",IF(ISNUMBER(FIND(",",Tabela1[[#This Row],[5]])),LEN(Tabela1[[#This Row],[5]])-LEN(SUBSTITUTE(Tabela1[[#This Row],[5]],",",""))+1,1),"")</f>
        <v/>
      </c>
      <c r="AE139" t="str">
        <f>IF(Tabela1[[#This Row],[6]]&lt;&gt;"",IF(ISNUMBER(FIND(",",Tabela1[[#This Row],[6]])),LEN(Tabela1[[#This Row],[6]])-LEN(SUBSTITUTE(Tabela1[[#This Row],[6]],",",""))+1,1),"")</f>
        <v/>
      </c>
      <c r="AF139" t="str">
        <f>IF(Tabela1[[#This Row],[7]]&lt;&gt;"",IF(ISNUMBER(FIND(",",Tabela1[[#This Row],[7]])),LEN(Tabela1[[#This Row],[7]])-LEN(SUBSTITUTE(Tabela1[[#This Row],[7]],",",""))+1,1),"")</f>
        <v/>
      </c>
      <c r="AG139" t="str">
        <f>IF(Tabela1[[#This Row],[8]]&lt;&gt;"",IF(ISNUMBER(FIND(",",Tabela1[[#This Row],[8]])),LEN(Tabela1[[#This Row],[8]])-LEN(SUBSTITUTE(Tabela1[[#This Row],[8]],",",""))+1,1),"")</f>
        <v/>
      </c>
      <c r="AH139" t="str">
        <f>IF(Tabela1[[#This Row],[9]]&lt;&gt;"",IF(ISNUMBER(FIND(",",Tabela1[[#This Row],[9]])),LEN(Tabela1[[#This Row],[9]])-LEN(SUBSTITUTE(Tabela1[[#This Row],[9]],",",""))+1,1),"")</f>
        <v/>
      </c>
      <c r="AI139" t="str">
        <f>IF(Tabela1[[#This Row],[10]]&lt;&gt;"",IF(ISNUMBER(FIND(",",Tabela1[[#This Row],[10]])),LEN(Tabela1[[#This Row],[10]])-LEN(SUBSTITUTE(Tabela1[[#This Row],[10]],",",""))+1,1),"")</f>
        <v/>
      </c>
      <c r="AJ139" t="str">
        <f>IF(Tabela1[[#This Row],[11]]&lt;&gt;"",IF(ISNUMBER(FIND(",",Tabela1[[#This Row],[11]])),LEN(Tabela1[[#This Row],[11]])-LEN(SUBSTITUTE(Tabela1[[#This Row],[11]],",",""))+1,1),"")</f>
        <v/>
      </c>
      <c r="AK139" t="str">
        <f>IF(Tabela1[[#This Row],[12]]&lt;&gt;"",IF(ISNUMBER(FIND(",",Tabela1[[#This Row],[12]])),LEN(Tabela1[[#This Row],[12]])-LEN(SUBSTITUTE(Tabela1[[#This Row],[12]],",",""))+1,1),"")</f>
        <v/>
      </c>
      <c r="AL139" t="str">
        <f>IF(Tabela1[[#This Row],[13]]&lt;&gt;"",IF(ISNUMBER(FIND(",",Tabela1[[#This Row],[13]])),LEN(Tabela1[[#This Row],[13]])-LEN(SUBSTITUTE(Tabela1[[#This Row],[13]],",",""))+1,1),"")</f>
        <v/>
      </c>
      <c r="AM139" t="str">
        <f>IF(Tabela1[[#This Row],[14]]&lt;&gt;"",IF(ISNUMBER(FIND(",",Tabela1[[#This Row],[14]])),LEN(Tabela1[[#This Row],[14]])-LEN(SUBSTITUTE(Tabela1[[#This Row],[14]],",",""))+1,1),"")</f>
        <v/>
      </c>
      <c r="AN139" t="str">
        <f>IF(Tabela1[[#This Row],[15]]&lt;&gt;"",IF(ISNUMBER(FIND(",",Tabela1[[#This Row],[15]])),LEN(Tabela1[[#This Row],[15]])-LEN(SUBSTITUTE(Tabela1[[#This Row],[15]],",",""))+1,1),"")</f>
        <v/>
      </c>
      <c r="AO139">
        <f>IF(Tabela1[[#This Row],[16]]&lt;&gt;"",IF(ISNUMBER(FIND(",",Tabela1[[#This Row],[16]])),LEN(Tabela1[[#This Row],[16]])-LEN(SUBSTITUTE(Tabela1[[#This Row],[16]],",",""))+1,1),"")</f>
        <v>1</v>
      </c>
      <c r="AP139" t="str">
        <f>IF(Tabela1[[#This Row],[17]]&lt;&gt;"",IF(ISNUMBER(FIND(",",Tabela1[[#This Row],[17]])),LEN(Tabela1[[#This Row],[17]])-LEN(SUBSTITUTE(Tabela1[[#This Row],[17]],",",""))+1,1),"")</f>
        <v/>
      </c>
      <c r="AQ139" t="str">
        <f>IF(Tabela1[[#This Row],[18]]&lt;&gt;"",IF(ISNUMBER(FIND(",",Tabela1[[#This Row],[18]])),LEN(Tabela1[[#This Row],[18]])-LEN(SUBSTITUTE(Tabela1[[#This Row],[18]],",",""))+1,1),"")</f>
        <v/>
      </c>
      <c r="AR139" s="13" t="str">
        <f>IF(Tabela1[[#This Row],[19_LENGTH]]&lt;&gt;"",IF(ISNUMBER(FIND(",",Tabela1[[#This Row],[19_LENGTH]])),LEN(Tabela1[[#This Row],[19_LENGTH]])-LEN(SUBSTITUTE(Tabela1[[#This Row],[19_LENGTH]],",",""))+1,1),"")</f>
        <v/>
      </c>
      <c r="AS139" s="21">
        <f>SUM(Tabela1[[#This Row],[1_]:[19_]])</f>
        <v>1</v>
      </c>
    </row>
    <row r="140" spans="1:45" x14ac:dyDescent="0.25">
      <c r="A140" s="27" t="s">
        <v>1319</v>
      </c>
      <c r="B140" s="19" t="s">
        <v>714</v>
      </c>
      <c r="C140" s="19">
        <v>202</v>
      </c>
      <c r="D140" s="19" t="s">
        <v>1298</v>
      </c>
      <c r="E140" s="20">
        <v>43452</v>
      </c>
      <c r="F140" s="19"/>
      <c r="G140" s="19"/>
      <c r="H140" s="19">
        <v>135</v>
      </c>
      <c r="I140" s="19" t="s">
        <v>57</v>
      </c>
      <c r="J140" s="19"/>
      <c r="K140" s="19"/>
      <c r="L140" s="19"/>
      <c r="M140" s="19"/>
      <c r="N140" s="19"/>
      <c r="O140" s="19"/>
      <c r="P140" s="19"/>
      <c r="Q140" s="19"/>
      <c r="R140" s="19"/>
      <c r="S140" s="19"/>
      <c r="T140" s="19"/>
      <c r="U140" s="19"/>
      <c r="V140" s="19"/>
      <c r="W140" s="19"/>
      <c r="X140" s="19"/>
      <c r="Y140" s="19"/>
      <c r="Z140" t="str">
        <f>IF(Tabela1[[#This Row],[1]]&lt;&gt;"",IF(ISNUMBER(FIND(",",Tabela1[[#This Row],[1]])),LEN(Tabela1[[#This Row],[1]])-LEN(SUBSTITUTE(Tabela1[[#This Row],[1]],",",""))+1,1),"")</f>
        <v/>
      </c>
      <c r="AA140" t="str">
        <f>IF(Tabela1[[#This Row],[2]]&lt;&gt;"",IF(ISNUMBER(FIND(",",Tabela1[[#This Row],[2]])),LEN(Tabela1[[#This Row],[2]])-LEN(SUBSTITUTE(Tabela1[[#This Row],[2]],",",""))+1,1),"")</f>
        <v/>
      </c>
      <c r="AB140">
        <f>IF(Tabela1[[#This Row],[3]]&lt;&gt;"",IF(ISNUMBER(FIND(",",Tabela1[[#This Row],[3]])),LEN(Tabela1[[#This Row],[3]])-LEN(SUBSTITUTE(Tabela1[[#This Row],[3]],",",""))+1,1),"")</f>
        <v>1</v>
      </c>
      <c r="AC140">
        <f>IF(Tabela1[[#This Row],[4]]&lt;&gt;"",IF(ISNUMBER(FIND(",",Tabela1[[#This Row],[4]])),LEN(Tabela1[[#This Row],[4]])-LEN(SUBSTITUTE(Tabela1[[#This Row],[4]],",",""))+1,1),"")</f>
        <v>2</v>
      </c>
      <c r="AD140" t="str">
        <f>IF(Tabela1[[#This Row],[5]]&lt;&gt;"",IF(ISNUMBER(FIND(",",Tabela1[[#This Row],[5]])),LEN(Tabela1[[#This Row],[5]])-LEN(SUBSTITUTE(Tabela1[[#This Row],[5]],",",""))+1,1),"")</f>
        <v/>
      </c>
      <c r="AE140" t="str">
        <f>IF(Tabela1[[#This Row],[6]]&lt;&gt;"",IF(ISNUMBER(FIND(",",Tabela1[[#This Row],[6]])),LEN(Tabela1[[#This Row],[6]])-LEN(SUBSTITUTE(Tabela1[[#This Row],[6]],",",""))+1,1),"")</f>
        <v/>
      </c>
      <c r="AF140" t="str">
        <f>IF(Tabela1[[#This Row],[7]]&lt;&gt;"",IF(ISNUMBER(FIND(",",Tabela1[[#This Row],[7]])),LEN(Tabela1[[#This Row],[7]])-LEN(SUBSTITUTE(Tabela1[[#This Row],[7]],",",""))+1,1),"")</f>
        <v/>
      </c>
      <c r="AG140" t="str">
        <f>IF(Tabela1[[#This Row],[8]]&lt;&gt;"",IF(ISNUMBER(FIND(",",Tabela1[[#This Row],[8]])),LEN(Tabela1[[#This Row],[8]])-LEN(SUBSTITUTE(Tabela1[[#This Row],[8]],",",""))+1,1),"")</f>
        <v/>
      </c>
      <c r="AH140" t="str">
        <f>IF(Tabela1[[#This Row],[9]]&lt;&gt;"",IF(ISNUMBER(FIND(",",Tabela1[[#This Row],[9]])),LEN(Tabela1[[#This Row],[9]])-LEN(SUBSTITUTE(Tabela1[[#This Row],[9]],",",""))+1,1),"")</f>
        <v/>
      </c>
      <c r="AI140" t="str">
        <f>IF(Tabela1[[#This Row],[10]]&lt;&gt;"",IF(ISNUMBER(FIND(",",Tabela1[[#This Row],[10]])),LEN(Tabela1[[#This Row],[10]])-LEN(SUBSTITUTE(Tabela1[[#This Row],[10]],",",""))+1,1),"")</f>
        <v/>
      </c>
      <c r="AJ140" t="str">
        <f>IF(Tabela1[[#This Row],[11]]&lt;&gt;"",IF(ISNUMBER(FIND(",",Tabela1[[#This Row],[11]])),LEN(Tabela1[[#This Row],[11]])-LEN(SUBSTITUTE(Tabela1[[#This Row],[11]],",",""))+1,1),"")</f>
        <v/>
      </c>
      <c r="AK140" t="str">
        <f>IF(Tabela1[[#This Row],[12]]&lt;&gt;"",IF(ISNUMBER(FIND(",",Tabela1[[#This Row],[12]])),LEN(Tabela1[[#This Row],[12]])-LEN(SUBSTITUTE(Tabela1[[#This Row],[12]],",",""))+1,1),"")</f>
        <v/>
      </c>
      <c r="AL140" t="str">
        <f>IF(Tabela1[[#This Row],[13]]&lt;&gt;"",IF(ISNUMBER(FIND(",",Tabela1[[#This Row],[13]])),LEN(Tabela1[[#This Row],[13]])-LEN(SUBSTITUTE(Tabela1[[#This Row],[13]],",",""))+1,1),"")</f>
        <v/>
      </c>
      <c r="AM140" t="str">
        <f>IF(Tabela1[[#This Row],[14]]&lt;&gt;"",IF(ISNUMBER(FIND(",",Tabela1[[#This Row],[14]])),LEN(Tabela1[[#This Row],[14]])-LEN(SUBSTITUTE(Tabela1[[#This Row],[14]],",",""))+1,1),"")</f>
        <v/>
      </c>
      <c r="AN140" t="str">
        <f>IF(Tabela1[[#This Row],[15]]&lt;&gt;"",IF(ISNUMBER(FIND(",",Tabela1[[#This Row],[15]])),LEN(Tabela1[[#This Row],[15]])-LEN(SUBSTITUTE(Tabela1[[#This Row],[15]],",",""))+1,1),"")</f>
        <v/>
      </c>
      <c r="AO140" t="str">
        <f>IF(Tabela1[[#This Row],[16]]&lt;&gt;"",IF(ISNUMBER(FIND(",",Tabela1[[#This Row],[16]])),LEN(Tabela1[[#This Row],[16]])-LEN(SUBSTITUTE(Tabela1[[#This Row],[16]],",",""))+1,1),"")</f>
        <v/>
      </c>
      <c r="AP140" t="str">
        <f>IF(Tabela1[[#This Row],[17]]&lt;&gt;"",IF(ISNUMBER(FIND(",",Tabela1[[#This Row],[17]])),LEN(Tabela1[[#This Row],[17]])-LEN(SUBSTITUTE(Tabela1[[#This Row],[17]],",",""))+1,1),"")</f>
        <v/>
      </c>
      <c r="AQ140" t="str">
        <f>IF(Tabela1[[#This Row],[18]]&lt;&gt;"",IF(ISNUMBER(FIND(",",Tabela1[[#This Row],[18]])),LEN(Tabela1[[#This Row],[18]])-LEN(SUBSTITUTE(Tabela1[[#This Row],[18]],",",""))+1,1),"")</f>
        <v/>
      </c>
      <c r="AR140" s="13" t="str">
        <f>IF(Tabela1[[#This Row],[19_LENGTH]]&lt;&gt;"",IF(ISNUMBER(FIND(",",Tabela1[[#This Row],[19_LENGTH]])),LEN(Tabela1[[#This Row],[19_LENGTH]])-LEN(SUBSTITUTE(Tabela1[[#This Row],[19_LENGTH]],",",""))+1,1),"")</f>
        <v/>
      </c>
      <c r="AS140" s="21">
        <f>SUM(Tabela1[[#This Row],[1_]:[19_]])</f>
        <v>3</v>
      </c>
    </row>
    <row r="141" spans="1:45" x14ac:dyDescent="0.25">
      <c r="A141" s="27" t="s">
        <v>1319</v>
      </c>
      <c r="B141" s="19" t="s">
        <v>715</v>
      </c>
      <c r="C141" s="19">
        <v>202</v>
      </c>
      <c r="D141" s="19" t="s">
        <v>1298</v>
      </c>
      <c r="E141" s="20">
        <v>43452</v>
      </c>
      <c r="F141" s="19"/>
      <c r="G141" s="19"/>
      <c r="H141" s="19"/>
      <c r="I141" s="19">
        <v>68</v>
      </c>
      <c r="J141" s="19"/>
      <c r="K141" s="19"/>
      <c r="L141" s="19"/>
      <c r="M141" s="19"/>
      <c r="N141" s="19"/>
      <c r="O141" s="19"/>
      <c r="P141" s="19"/>
      <c r="Q141" s="19"/>
      <c r="R141" s="19"/>
      <c r="S141" s="19"/>
      <c r="T141" s="19"/>
      <c r="U141" s="19"/>
      <c r="V141" s="19"/>
      <c r="W141" s="19"/>
      <c r="X141" s="19"/>
      <c r="Y141" s="19"/>
      <c r="Z141" t="str">
        <f>IF(Tabela1[[#This Row],[1]]&lt;&gt;"",IF(ISNUMBER(FIND(",",Tabela1[[#This Row],[1]])),LEN(Tabela1[[#This Row],[1]])-LEN(SUBSTITUTE(Tabela1[[#This Row],[1]],",",""))+1,1),"")</f>
        <v/>
      </c>
      <c r="AA141" t="str">
        <f>IF(Tabela1[[#This Row],[2]]&lt;&gt;"",IF(ISNUMBER(FIND(",",Tabela1[[#This Row],[2]])),LEN(Tabela1[[#This Row],[2]])-LEN(SUBSTITUTE(Tabela1[[#This Row],[2]],",",""))+1,1),"")</f>
        <v/>
      </c>
      <c r="AB141" t="str">
        <f>IF(Tabela1[[#This Row],[3]]&lt;&gt;"",IF(ISNUMBER(FIND(",",Tabela1[[#This Row],[3]])),LEN(Tabela1[[#This Row],[3]])-LEN(SUBSTITUTE(Tabela1[[#This Row],[3]],",",""))+1,1),"")</f>
        <v/>
      </c>
      <c r="AC141">
        <f>IF(Tabela1[[#This Row],[4]]&lt;&gt;"",IF(ISNUMBER(FIND(",",Tabela1[[#This Row],[4]])),LEN(Tabela1[[#This Row],[4]])-LEN(SUBSTITUTE(Tabela1[[#This Row],[4]],",",""))+1,1),"")</f>
        <v>1</v>
      </c>
      <c r="AD141" t="str">
        <f>IF(Tabela1[[#This Row],[5]]&lt;&gt;"",IF(ISNUMBER(FIND(",",Tabela1[[#This Row],[5]])),LEN(Tabela1[[#This Row],[5]])-LEN(SUBSTITUTE(Tabela1[[#This Row],[5]],",",""))+1,1),"")</f>
        <v/>
      </c>
      <c r="AE141" t="str">
        <f>IF(Tabela1[[#This Row],[6]]&lt;&gt;"",IF(ISNUMBER(FIND(",",Tabela1[[#This Row],[6]])),LEN(Tabela1[[#This Row],[6]])-LEN(SUBSTITUTE(Tabela1[[#This Row],[6]],",",""))+1,1),"")</f>
        <v/>
      </c>
      <c r="AF141" t="str">
        <f>IF(Tabela1[[#This Row],[7]]&lt;&gt;"",IF(ISNUMBER(FIND(",",Tabela1[[#This Row],[7]])),LEN(Tabela1[[#This Row],[7]])-LEN(SUBSTITUTE(Tabela1[[#This Row],[7]],",",""))+1,1),"")</f>
        <v/>
      </c>
      <c r="AG141" t="str">
        <f>IF(Tabela1[[#This Row],[8]]&lt;&gt;"",IF(ISNUMBER(FIND(",",Tabela1[[#This Row],[8]])),LEN(Tabela1[[#This Row],[8]])-LEN(SUBSTITUTE(Tabela1[[#This Row],[8]],",",""))+1,1),"")</f>
        <v/>
      </c>
      <c r="AH141" t="str">
        <f>IF(Tabela1[[#This Row],[9]]&lt;&gt;"",IF(ISNUMBER(FIND(",",Tabela1[[#This Row],[9]])),LEN(Tabela1[[#This Row],[9]])-LEN(SUBSTITUTE(Tabela1[[#This Row],[9]],",",""))+1,1),"")</f>
        <v/>
      </c>
      <c r="AI141" t="str">
        <f>IF(Tabela1[[#This Row],[10]]&lt;&gt;"",IF(ISNUMBER(FIND(",",Tabela1[[#This Row],[10]])),LEN(Tabela1[[#This Row],[10]])-LEN(SUBSTITUTE(Tabela1[[#This Row],[10]],",",""))+1,1),"")</f>
        <v/>
      </c>
      <c r="AJ141" t="str">
        <f>IF(Tabela1[[#This Row],[11]]&lt;&gt;"",IF(ISNUMBER(FIND(",",Tabela1[[#This Row],[11]])),LEN(Tabela1[[#This Row],[11]])-LEN(SUBSTITUTE(Tabela1[[#This Row],[11]],",",""))+1,1),"")</f>
        <v/>
      </c>
      <c r="AK141" t="str">
        <f>IF(Tabela1[[#This Row],[12]]&lt;&gt;"",IF(ISNUMBER(FIND(",",Tabela1[[#This Row],[12]])),LEN(Tabela1[[#This Row],[12]])-LEN(SUBSTITUTE(Tabela1[[#This Row],[12]],",",""))+1,1),"")</f>
        <v/>
      </c>
      <c r="AL141" t="str">
        <f>IF(Tabela1[[#This Row],[13]]&lt;&gt;"",IF(ISNUMBER(FIND(",",Tabela1[[#This Row],[13]])),LEN(Tabela1[[#This Row],[13]])-LEN(SUBSTITUTE(Tabela1[[#This Row],[13]],",",""))+1,1),"")</f>
        <v/>
      </c>
      <c r="AM141" t="str">
        <f>IF(Tabela1[[#This Row],[14]]&lt;&gt;"",IF(ISNUMBER(FIND(",",Tabela1[[#This Row],[14]])),LEN(Tabela1[[#This Row],[14]])-LEN(SUBSTITUTE(Tabela1[[#This Row],[14]],",",""))+1,1),"")</f>
        <v/>
      </c>
      <c r="AN141" t="str">
        <f>IF(Tabela1[[#This Row],[15]]&lt;&gt;"",IF(ISNUMBER(FIND(",",Tabela1[[#This Row],[15]])),LEN(Tabela1[[#This Row],[15]])-LEN(SUBSTITUTE(Tabela1[[#This Row],[15]],",",""))+1,1),"")</f>
        <v/>
      </c>
      <c r="AO141" t="str">
        <f>IF(Tabela1[[#This Row],[16]]&lt;&gt;"",IF(ISNUMBER(FIND(",",Tabela1[[#This Row],[16]])),LEN(Tabela1[[#This Row],[16]])-LEN(SUBSTITUTE(Tabela1[[#This Row],[16]],",",""))+1,1),"")</f>
        <v/>
      </c>
      <c r="AP141" t="str">
        <f>IF(Tabela1[[#This Row],[17]]&lt;&gt;"",IF(ISNUMBER(FIND(",",Tabela1[[#This Row],[17]])),LEN(Tabela1[[#This Row],[17]])-LEN(SUBSTITUTE(Tabela1[[#This Row],[17]],",",""))+1,1),"")</f>
        <v/>
      </c>
      <c r="AQ141" t="str">
        <f>IF(Tabela1[[#This Row],[18]]&lt;&gt;"",IF(ISNUMBER(FIND(",",Tabela1[[#This Row],[18]])),LEN(Tabela1[[#This Row],[18]])-LEN(SUBSTITUTE(Tabela1[[#This Row],[18]],",",""))+1,1),"")</f>
        <v/>
      </c>
      <c r="AR141" s="13" t="str">
        <f>IF(Tabela1[[#This Row],[19_LENGTH]]&lt;&gt;"",IF(ISNUMBER(FIND(",",Tabela1[[#This Row],[19_LENGTH]])),LEN(Tabela1[[#This Row],[19_LENGTH]])-LEN(SUBSTITUTE(Tabela1[[#This Row],[19_LENGTH]],",",""))+1,1),"")</f>
        <v/>
      </c>
      <c r="AS141" s="21">
        <f>SUM(Tabela1[[#This Row],[1_]:[19_]])</f>
        <v>1</v>
      </c>
    </row>
    <row r="142" spans="1:45" x14ac:dyDescent="0.25">
      <c r="A142" s="27" t="s">
        <v>1319</v>
      </c>
      <c r="B142" s="19" t="s">
        <v>716</v>
      </c>
      <c r="C142" s="19">
        <v>204</v>
      </c>
      <c r="D142" s="19" t="s">
        <v>1298</v>
      </c>
      <c r="E142" s="20">
        <v>43452</v>
      </c>
      <c r="F142" s="19"/>
      <c r="G142" s="19"/>
      <c r="H142" s="19"/>
      <c r="I142" s="19" t="s">
        <v>58</v>
      </c>
      <c r="J142" s="19"/>
      <c r="K142" s="19"/>
      <c r="L142" s="19"/>
      <c r="M142" s="19"/>
      <c r="N142" s="19"/>
      <c r="O142" s="19"/>
      <c r="P142" s="19"/>
      <c r="Q142" s="19"/>
      <c r="R142" s="19"/>
      <c r="S142" s="19"/>
      <c r="T142" s="19"/>
      <c r="U142" s="19"/>
      <c r="V142" s="19"/>
      <c r="W142" s="19"/>
      <c r="X142" s="19"/>
      <c r="Y142" s="19"/>
      <c r="Z142" t="str">
        <f>IF(Tabela1[[#This Row],[1]]&lt;&gt;"",IF(ISNUMBER(FIND(",",Tabela1[[#This Row],[1]])),LEN(Tabela1[[#This Row],[1]])-LEN(SUBSTITUTE(Tabela1[[#This Row],[1]],",",""))+1,1),"")</f>
        <v/>
      </c>
      <c r="AA142" t="str">
        <f>IF(Tabela1[[#This Row],[2]]&lt;&gt;"",IF(ISNUMBER(FIND(",",Tabela1[[#This Row],[2]])),LEN(Tabela1[[#This Row],[2]])-LEN(SUBSTITUTE(Tabela1[[#This Row],[2]],",",""))+1,1),"")</f>
        <v/>
      </c>
      <c r="AB142" t="str">
        <f>IF(Tabela1[[#This Row],[3]]&lt;&gt;"",IF(ISNUMBER(FIND(",",Tabela1[[#This Row],[3]])),LEN(Tabela1[[#This Row],[3]])-LEN(SUBSTITUTE(Tabela1[[#This Row],[3]],",",""))+1,1),"")</f>
        <v/>
      </c>
      <c r="AC142">
        <f>IF(Tabela1[[#This Row],[4]]&lt;&gt;"",IF(ISNUMBER(FIND(",",Tabela1[[#This Row],[4]])),LEN(Tabela1[[#This Row],[4]])-LEN(SUBSTITUTE(Tabela1[[#This Row],[4]],",",""))+1,1),"")</f>
        <v>3</v>
      </c>
      <c r="AD142" t="str">
        <f>IF(Tabela1[[#This Row],[5]]&lt;&gt;"",IF(ISNUMBER(FIND(",",Tabela1[[#This Row],[5]])),LEN(Tabela1[[#This Row],[5]])-LEN(SUBSTITUTE(Tabela1[[#This Row],[5]],",",""))+1,1),"")</f>
        <v/>
      </c>
      <c r="AE142" t="str">
        <f>IF(Tabela1[[#This Row],[6]]&lt;&gt;"",IF(ISNUMBER(FIND(",",Tabela1[[#This Row],[6]])),LEN(Tabela1[[#This Row],[6]])-LEN(SUBSTITUTE(Tabela1[[#This Row],[6]],",",""))+1,1),"")</f>
        <v/>
      </c>
      <c r="AF142" t="str">
        <f>IF(Tabela1[[#This Row],[7]]&lt;&gt;"",IF(ISNUMBER(FIND(",",Tabela1[[#This Row],[7]])),LEN(Tabela1[[#This Row],[7]])-LEN(SUBSTITUTE(Tabela1[[#This Row],[7]],",",""))+1,1),"")</f>
        <v/>
      </c>
      <c r="AG142" t="str">
        <f>IF(Tabela1[[#This Row],[8]]&lt;&gt;"",IF(ISNUMBER(FIND(",",Tabela1[[#This Row],[8]])),LEN(Tabela1[[#This Row],[8]])-LEN(SUBSTITUTE(Tabela1[[#This Row],[8]],",",""))+1,1),"")</f>
        <v/>
      </c>
      <c r="AH142" t="str">
        <f>IF(Tabela1[[#This Row],[9]]&lt;&gt;"",IF(ISNUMBER(FIND(",",Tabela1[[#This Row],[9]])),LEN(Tabela1[[#This Row],[9]])-LEN(SUBSTITUTE(Tabela1[[#This Row],[9]],",",""))+1,1),"")</f>
        <v/>
      </c>
      <c r="AI142" t="str">
        <f>IF(Tabela1[[#This Row],[10]]&lt;&gt;"",IF(ISNUMBER(FIND(",",Tabela1[[#This Row],[10]])),LEN(Tabela1[[#This Row],[10]])-LEN(SUBSTITUTE(Tabela1[[#This Row],[10]],",",""))+1,1),"")</f>
        <v/>
      </c>
      <c r="AJ142" t="str">
        <f>IF(Tabela1[[#This Row],[11]]&lt;&gt;"",IF(ISNUMBER(FIND(",",Tabela1[[#This Row],[11]])),LEN(Tabela1[[#This Row],[11]])-LEN(SUBSTITUTE(Tabela1[[#This Row],[11]],",",""))+1,1),"")</f>
        <v/>
      </c>
      <c r="AK142" t="str">
        <f>IF(Tabela1[[#This Row],[12]]&lt;&gt;"",IF(ISNUMBER(FIND(",",Tabela1[[#This Row],[12]])),LEN(Tabela1[[#This Row],[12]])-LEN(SUBSTITUTE(Tabela1[[#This Row],[12]],",",""))+1,1),"")</f>
        <v/>
      </c>
      <c r="AL142" t="str">
        <f>IF(Tabela1[[#This Row],[13]]&lt;&gt;"",IF(ISNUMBER(FIND(",",Tabela1[[#This Row],[13]])),LEN(Tabela1[[#This Row],[13]])-LEN(SUBSTITUTE(Tabela1[[#This Row],[13]],",",""))+1,1),"")</f>
        <v/>
      </c>
      <c r="AM142" t="str">
        <f>IF(Tabela1[[#This Row],[14]]&lt;&gt;"",IF(ISNUMBER(FIND(",",Tabela1[[#This Row],[14]])),LEN(Tabela1[[#This Row],[14]])-LEN(SUBSTITUTE(Tabela1[[#This Row],[14]],",",""))+1,1),"")</f>
        <v/>
      </c>
      <c r="AN142" t="str">
        <f>IF(Tabela1[[#This Row],[15]]&lt;&gt;"",IF(ISNUMBER(FIND(",",Tabela1[[#This Row],[15]])),LEN(Tabela1[[#This Row],[15]])-LEN(SUBSTITUTE(Tabela1[[#This Row],[15]],",",""))+1,1),"")</f>
        <v/>
      </c>
      <c r="AO142" t="str">
        <f>IF(Tabela1[[#This Row],[16]]&lt;&gt;"",IF(ISNUMBER(FIND(",",Tabela1[[#This Row],[16]])),LEN(Tabela1[[#This Row],[16]])-LEN(SUBSTITUTE(Tabela1[[#This Row],[16]],",",""))+1,1),"")</f>
        <v/>
      </c>
      <c r="AP142" t="str">
        <f>IF(Tabela1[[#This Row],[17]]&lt;&gt;"",IF(ISNUMBER(FIND(",",Tabela1[[#This Row],[17]])),LEN(Tabela1[[#This Row],[17]])-LEN(SUBSTITUTE(Tabela1[[#This Row],[17]],",",""))+1,1),"")</f>
        <v/>
      </c>
      <c r="AQ142" t="str">
        <f>IF(Tabela1[[#This Row],[18]]&lt;&gt;"",IF(ISNUMBER(FIND(",",Tabela1[[#This Row],[18]])),LEN(Tabela1[[#This Row],[18]])-LEN(SUBSTITUTE(Tabela1[[#This Row],[18]],",",""))+1,1),"")</f>
        <v/>
      </c>
      <c r="AR142" s="13" t="str">
        <f>IF(Tabela1[[#This Row],[19_LENGTH]]&lt;&gt;"",IF(ISNUMBER(FIND(",",Tabela1[[#This Row],[19_LENGTH]])),LEN(Tabela1[[#This Row],[19_LENGTH]])-LEN(SUBSTITUTE(Tabela1[[#This Row],[19_LENGTH]],",",""))+1,1),"")</f>
        <v/>
      </c>
      <c r="AS142" s="21">
        <f>SUM(Tabela1[[#This Row],[1_]:[19_]])</f>
        <v>3</v>
      </c>
    </row>
    <row r="143" spans="1:45" x14ac:dyDescent="0.25">
      <c r="A143" s="27" t="s">
        <v>1319</v>
      </c>
      <c r="B143" s="19" t="s">
        <v>369</v>
      </c>
      <c r="C143" s="19">
        <v>222</v>
      </c>
      <c r="D143" s="19" t="s">
        <v>1297</v>
      </c>
      <c r="E143" s="20">
        <v>43453</v>
      </c>
      <c r="F143" s="19"/>
      <c r="G143" s="19"/>
      <c r="H143" s="19">
        <v>36</v>
      </c>
      <c r="I143" s="19"/>
      <c r="J143" s="19"/>
      <c r="K143" s="19"/>
      <c r="L143" s="19"/>
      <c r="M143" s="19"/>
      <c r="N143" s="19"/>
      <c r="O143" s="19"/>
      <c r="P143" s="19"/>
      <c r="Q143" s="19"/>
      <c r="R143" s="19"/>
      <c r="S143" s="19"/>
      <c r="T143" s="19"/>
      <c r="U143" s="19"/>
      <c r="V143" s="19"/>
      <c r="W143" s="19"/>
      <c r="X143" s="19"/>
      <c r="Y143" s="19"/>
      <c r="Z143" t="str">
        <f>IF(Tabela1[[#This Row],[1]]&lt;&gt;"",IF(ISNUMBER(FIND(",",Tabela1[[#This Row],[1]])),LEN(Tabela1[[#This Row],[1]])-LEN(SUBSTITUTE(Tabela1[[#This Row],[1]],",",""))+1,1),"")</f>
        <v/>
      </c>
      <c r="AA143" t="str">
        <f>IF(Tabela1[[#This Row],[2]]&lt;&gt;"",IF(ISNUMBER(FIND(",",Tabela1[[#This Row],[2]])),LEN(Tabela1[[#This Row],[2]])-LEN(SUBSTITUTE(Tabela1[[#This Row],[2]],",",""))+1,1),"")</f>
        <v/>
      </c>
      <c r="AB143">
        <f>IF(Tabela1[[#This Row],[3]]&lt;&gt;"",IF(ISNUMBER(FIND(",",Tabela1[[#This Row],[3]])),LEN(Tabela1[[#This Row],[3]])-LEN(SUBSTITUTE(Tabela1[[#This Row],[3]],",",""))+1,1),"")</f>
        <v>1</v>
      </c>
      <c r="AC143" t="str">
        <f>IF(Tabela1[[#This Row],[4]]&lt;&gt;"",IF(ISNUMBER(FIND(",",Tabela1[[#This Row],[4]])),LEN(Tabela1[[#This Row],[4]])-LEN(SUBSTITUTE(Tabela1[[#This Row],[4]],",",""))+1,1),"")</f>
        <v/>
      </c>
      <c r="AD143" t="str">
        <f>IF(Tabela1[[#This Row],[5]]&lt;&gt;"",IF(ISNUMBER(FIND(",",Tabela1[[#This Row],[5]])),LEN(Tabela1[[#This Row],[5]])-LEN(SUBSTITUTE(Tabela1[[#This Row],[5]],",",""))+1,1),"")</f>
        <v/>
      </c>
      <c r="AE143" t="str">
        <f>IF(Tabela1[[#This Row],[6]]&lt;&gt;"",IF(ISNUMBER(FIND(",",Tabela1[[#This Row],[6]])),LEN(Tabela1[[#This Row],[6]])-LEN(SUBSTITUTE(Tabela1[[#This Row],[6]],",",""))+1,1),"")</f>
        <v/>
      </c>
      <c r="AF143" t="str">
        <f>IF(Tabela1[[#This Row],[7]]&lt;&gt;"",IF(ISNUMBER(FIND(",",Tabela1[[#This Row],[7]])),LEN(Tabela1[[#This Row],[7]])-LEN(SUBSTITUTE(Tabela1[[#This Row],[7]],",",""))+1,1),"")</f>
        <v/>
      </c>
      <c r="AG143" t="str">
        <f>IF(Tabela1[[#This Row],[8]]&lt;&gt;"",IF(ISNUMBER(FIND(",",Tabela1[[#This Row],[8]])),LEN(Tabela1[[#This Row],[8]])-LEN(SUBSTITUTE(Tabela1[[#This Row],[8]],",",""))+1,1),"")</f>
        <v/>
      </c>
      <c r="AH143" t="str">
        <f>IF(Tabela1[[#This Row],[9]]&lt;&gt;"",IF(ISNUMBER(FIND(",",Tabela1[[#This Row],[9]])),LEN(Tabela1[[#This Row],[9]])-LEN(SUBSTITUTE(Tabela1[[#This Row],[9]],",",""))+1,1),"")</f>
        <v/>
      </c>
      <c r="AI143" t="str">
        <f>IF(Tabela1[[#This Row],[10]]&lt;&gt;"",IF(ISNUMBER(FIND(",",Tabela1[[#This Row],[10]])),LEN(Tabela1[[#This Row],[10]])-LEN(SUBSTITUTE(Tabela1[[#This Row],[10]],",",""))+1,1),"")</f>
        <v/>
      </c>
      <c r="AJ143" t="str">
        <f>IF(Tabela1[[#This Row],[11]]&lt;&gt;"",IF(ISNUMBER(FIND(",",Tabela1[[#This Row],[11]])),LEN(Tabela1[[#This Row],[11]])-LEN(SUBSTITUTE(Tabela1[[#This Row],[11]],",",""))+1,1),"")</f>
        <v/>
      </c>
      <c r="AK143" t="str">
        <f>IF(Tabela1[[#This Row],[12]]&lt;&gt;"",IF(ISNUMBER(FIND(",",Tabela1[[#This Row],[12]])),LEN(Tabela1[[#This Row],[12]])-LEN(SUBSTITUTE(Tabela1[[#This Row],[12]],",",""))+1,1),"")</f>
        <v/>
      </c>
      <c r="AL143" t="str">
        <f>IF(Tabela1[[#This Row],[13]]&lt;&gt;"",IF(ISNUMBER(FIND(",",Tabela1[[#This Row],[13]])),LEN(Tabela1[[#This Row],[13]])-LEN(SUBSTITUTE(Tabela1[[#This Row],[13]],",",""))+1,1),"")</f>
        <v/>
      </c>
      <c r="AM143" t="str">
        <f>IF(Tabela1[[#This Row],[14]]&lt;&gt;"",IF(ISNUMBER(FIND(",",Tabela1[[#This Row],[14]])),LEN(Tabela1[[#This Row],[14]])-LEN(SUBSTITUTE(Tabela1[[#This Row],[14]],",",""))+1,1),"")</f>
        <v/>
      </c>
      <c r="AN143" t="str">
        <f>IF(Tabela1[[#This Row],[15]]&lt;&gt;"",IF(ISNUMBER(FIND(",",Tabela1[[#This Row],[15]])),LEN(Tabela1[[#This Row],[15]])-LEN(SUBSTITUTE(Tabela1[[#This Row],[15]],",",""))+1,1),"")</f>
        <v/>
      </c>
      <c r="AO143" t="str">
        <f>IF(Tabela1[[#This Row],[16]]&lt;&gt;"",IF(ISNUMBER(FIND(",",Tabela1[[#This Row],[16]])),LEN(Tabela1[[#This Row],[16]])-LEN(SUBSTITUTE(Tabela1[[#This Row],[16]],",",""))+1,1),"")</f>
        <v/>
      </c>
      <c r="AP143" t="str">
        <f>IF(Tabela1[[#This Row],[17]]&lt;&gt;"",IF(ISNUMBER(FIND(",",Tabela1[[#This Row],[17]])),LEN(Tabela1[[#This Row],[17]])-LEN(SUBSTITUTE(Tabela1[[#This Row],[17]],",",""))+1,1),"")</f>
        <v/>
      </c>
      <c r="AQ143" t="str">
        <f>IF(Tabela1[[#This Row],[18]]&lt;&gt;"",IF(ISNUMBER(FIND(",",Tabela1[[#This Row],[18]])),LEN(Tabela1[[#This Row],[18]])-LEN(SUBSTITUTE(Tabela1[[#This Row],[18]],",",""))+1,1),"")</f>
        <v/>
      </c>
      <c r="AR143" s="13" t="str">
        <f>IF(Tabela1[[#This Row],[19_LENGTH]]&lt;&gt;"",IF(ISNUMBER(FIND(",",Tabela1[[#This Row],[19_LENGTH]])),LEN(Tabela1[[#This Row],[19_LENGTH]])-LEN(SUBSTITUTE(Tabela1[[#This Row],[19_LENGTH]],",",""))+1,1),"")</f>
        <v/>
      </c>
      <c r="AS143" s="21">
        <f>SUM(Tabela1[[#This Row],[1_]:[19_]])</f>
        <v>1</v>
      </c>
    </row>
    <row r="144" spans="1:45" x14ac:dyDescent="0.25">
      <c r="A144" s="27" t="s">
        <v>1319</v>
      </c>
      <c r="B144" s="19" t="s">
        <v>717</v>
      </c>
      <c r="C144" s="19">
        <v>202</v>
      </c>
      <c r="D144" s="19" t="s">
        <v>1292</v>
      </c>
      <c r="E144" s="20">
        <v>43453</v>
      </c>
      <c r="F144" s="19"/>
      <c r="G144" s="19"/>
      <c r="H144" s="19"/>
      <c r="I144" s="19"/>
      <c r="J144" s="19"/>
      <c r="K144" s="19"/>
      <c r="L144" s="19"/>
      <c r="M144" s="19"/>
      <c r="N144" s="19"/>
      <c r="O144" s="19"/>
      <c r="P144" s="19"/>
      <c r="Q144" s="19"/>
      <c r="R144" s="19">
        <v>35</v>
      </c>
      <c r="S144" s="19"/>
      <c r="T144" s="19"/>
      <c r="U144" s="19"/>
      <c r="V144" s="19"/>
      <c r="W144" s="19"/>
      <c r="X144" s="19"/>
      <c r="Y144" s="19"/>
      <c r="Z144" t="str">
        <f>IF(Tabela1[[#This Row],[1]]&lt;&gt;"",IF(ISNUMBER(FIND(",",Tabela1[[#This Row],[1]])),LEN(Tabela1[[#This Row],[1]])-LEN(SUBSTITUTE(Tabela1[[#This Row],[1]],",",""))+1,1),"")</f>
        <v/>
      </c>
      <c r="AA144" t="str">
        <f>IF(Tabela1[[#This Row],[2]]&lt;&gt;"",IF(ISNUMBER(FIND(",",Tabela1[[#This Row],[2]])),LEN(Tabela1[[#This Row],[2]])-LEN(SUBSTITUTE(Tabela1[[#This Row],[2]],",",""))+1,1),"")</f>
        <v/>
      </c>
      <c r="AB144" t="str">
        <f>IF(Tabela1[[#This Row],[3]]&lt;&gt;"",IF(ISNUMBER(FIND(",",Tabela1[[#This Row],[3]])),LEN(Tabela1[[#This Row],[3]])-LEN(SUBSTITUTE(Tabela1[[#This Row],[3]],",",""))+1,1),"")</f>
        <v/>
      </c>
      <c r="AC144" t="str">
        <f>IF(Tabela1[[#This Row],[4]]&lt;&gt;"",IF(ISNUMBER(FIND(",",Tabela1[[#This Row],[4]])),LEN(Tabela1[[#This Row],[4]])-LEN(SUBSTITUTE(Tabela1[[#This Row],[4]],",",""))+1,1),"")</f>
        <v/>
      </c>
      <c r="AD144" t="str">
        <f>IF(Tabela1[[#This Row],[5]]&lt;&gt;"",IF(ISNUMBER(FIND(",",Tabela1[[#This Row],[5]])),LEN(Tabela1[[#This Row],[5]])-LEN(SUBSTITUTE(Tabela1[[#This Row],[5]],",",""))+1,1),"")</f>
        <v/>
      </c>
      <c r="AE144" t="str">
        <f>IF(Tabela1[[#This Row],[6]]&lt;&gt;"",IF(ISNUMBER(FIND(",",Tabela1[[#This Row],[6]])),LEN(Tabela1[[#This Row],[6]])-LEN(SUBSTITUTE(Tabela1[[#This Row],[6]],",",""))+1,1),"")</f>
        <v/>
      </c>
      <c r="AF144" t="str">
        <f>IF(Tabela1[[#This Row],[7]]&lt;&gt;"",IF(ISNUMBER(FIND(",",Tabela1[[#This Row],[7]])),LEN(Tabela1[[#This Row],[7]])-LEN(SUBSTITUTE(Tabela1[[#This Row],[7]],",",""))+1,1),"")</f>
        <v/>
      </c>
      <c r="AG144" t="str">
        <f>IF(Tabela1[[#This Row],[8]]&lt;&gt;"",IF(ISNUMBER(FIND(",",Tabela1[[#This Row],[8]])),LEN(Tabela1[[#This Row],[8]])-LEN(SUBSTITUTE(Tabela1[[#This Row],[8]],",",""))+1,1),"")</f>
        <v/>
      </c>
      <c r="AH144" t="str">
        <f>IF(Tabela1[[#This Row],[9]]&lt;&gt;"",IF(ISNUMBER(FIND(",",Tabela1[[#This Row],[9]])),LEN(Tabela1[[#This Row],[9]])-LEN(SUBSTITUTE(Tabela1[[#This Row],[9]],",",""))+1,1),"")</f>
        <v/>
      </c>
      <c r="AI144" t="str">
        <f>IF(Tabela1[[#This Row],[10]]&lt;&gt;"",IF(ISNUMBER(FIND(",",Tabela1[[#This Row],[10]])),LEN(Tabela1[[#This Row],[10]])-LEN(SUBSTITUTE(Tabela1[[#This Row],[10]],",",""))+1,1),"")</f>
        <v/>
      </c>
      <c r="AJ144" t="str">
        <f>IF(Tabela1[[#This Row],[11]]&lt;&gt;"",IF(ISNUMBER(FIND(",",Tabela1[[#This Row],[11]])),LEN(Tabela1[[#This Row],[11]])-LEN(SUBSTITUTE(Tabela1[[#This Row],[11]],",",""))+1,1),"")</f>
        <v/>
      </c>
      <c r="AK144" t="str">
        <f>IF(Tabela1[[#This Row],[12]]&lt;&gt;"",IF(ISNUMBER(FIND(",",Tabela1[[#This Row],[12]])),LEN(Tabela1[[#This Row],[12]])-LEN(SUBSTITUTE(Tabela1[[#This Row],[12]],",",""))+1,1),"")</f>
        <v/>
      </c>
      <c r="AL144">
        <f>IF(Tabela1[[#This Row],[13]]&lt;&gt;"",IF(ISNUMBER(FIND(",",Tabela1[[#This Row],[13]])),LEN(Tabela1[[#This Row],[13]])-LEN(SUBSTITUTE(Tabela1[[#This Row],[13]],",",""))+1,1),"")</f>
        <v>1</v>
      </c>
      <c r="AM144" t="str">
        <f>IF(Tabela1[[#This Row],[14]]&lt;&gt;"",IF(ISNUMBER(FIND(",",Tabela1[[#This Row],[14]])),LEN(Tabela1[[#This Row],[14]])-LEN(SUBSTITUTE(Tabela1[[#This Row],[14]],",",""))+1,1),"")</f>
        <v/>
      </c>
      <c r="AN144" t="str">
        <f>IF(Tabela1[[#This Row],[15]]&lt;&gt;"",IF(ISNUMBER(FIND(",",Tabela1[[#This Row],[15]])),LEN(Tabela1[[#This Row],[15]])-LEN(SUBSTITUTE(Tabela1[[#This Row],[15]],",",""))+1,1),"")</f>
        <v/>
      </c>
      <c r="AO144" t="str">
        <f>IF(Tabela1[[#This Row],[16]]&lt;&gt;"",IF(ISNUMBER(FIND(",",Tabela1[[#This Row],[16]])),LEN(Tabela1[[#This Row],[16]])-LEN(SUBSTITUTE(Tabela1[[#This Row],[16]],",",""))+1,1),"")</f>
        <v/>
      </c>
      <c r="AP144" t="str">
        <f>IF(Tabela1[[#This Row],[17]]&lt;&gt;"",IF(ISNUMBER(FIND(",",Tabela1[[#This Row],[17]])),LEN(Tabela1[[#This Row],[17]])-LEN(SUBSTITUTE(Tabela1[[#This Row],[17]],",",""))+1,1),"")</f>
        <v/>
      </c>
      <c r="AQ144" t="str">
        <f>IF(Tabela1[[#This Row],[18]]&lt;&gt;"",IF(ISNUMBER(FIND(",",Tabela1[[#This Row],[18]])),LEN(Tabela1[[#This Row],[18]])-LEN(SUBSTITUTE(Tabela1[[#This Row],[18]],",",""))+1,1),"")</f>
        <v/>
      </c>
      <c r="AR144" s="13" t="str">
        <f>IF(Tabela1[[#This Row],[19_LENGTH]]&lt;&gt;"",IF(ISNUMBER(FIND(",",Tabela1[[#This Row],[19_LENGTH]])),LEN(Tabela1[[#This Row],[19_LENGTH]])-LEN(SUBSTITUTE(Tabela1[[#This Row],[19_LENGTH]],",",""))+1,1),"")</f>
        <v/>
      </c>
      <c r="AS144" s="21">
        <f>SUM(Tabela1[[#This Row],[1_]:[19_]])</f>
        <v>1</v>
      </c>
    </row>
    <row r="145" spans="1:45" x14ac:dyDescent="0.25">
      <c r="A145" s="27" t="s">
        <v>1319</v>
      </c>
      <c r="B145" s="19" t="s">
        <v>718</v>
      </c>
      <c r="C145" s="19">
        <v>202</v>
      </c>
      <c r="D145" s="19" t="s">
        <v>1292</v>
      </c>
      <c r="E145" s="20">
        <v>43453</v>
      </c>
      <c r="F145" s="19"/>
      <c r="G145" s="19">
        <v>192</v>
      </c>
      <c r="H145" s="19"/>
      <c r="I145" s="19"/>
      <c r="J145" s="19"/>
      <c r="K145" s="19"/>
      <c r="L145" s="19"/>
      <c r="M145" s="19"/>
      <c r="N145" s="19"/>
      <c r="O145" s="19"/>
      <c r="P145" s="19"/>
      <c r="Q145" s="19"/>
      <c r="R145" s="19"/>
      <c r="S145" s="19"/>
      <c r="T145" s="19"/>
      <c r="U145" s="19"/>
      <c r="V145" s="19"/>
      <c r="W145" s="19"/>
      <c r="X145" s="19"/>
      <c r="Y145" s="19"/>
      <c r="Z145" t="str">
        <f>IF(Tabela1[[#This Row],[1]]&lt;&gt;"",IF(ISNUMBER(FIND(",",Tabela1[[#This Row],[1]])),LEN(Tabela1[[#This Row],[1]])-LEN(SUBSTITUTE(Tabela1[[#This Row],[1]],",",""))+1,1),"")</f>
        <v/>
      </c>
      <c r="AA145">
        <f>IF(Tabela1[[#This Row],[2]]&lt;&gt;"",IF(ISNUMBER(FIND(",",Tabela1[[#This Row],[2]])),LEN(Tabela1[[#This Row],[2]])-LEN(SUBSTITUTE(Tabela1[[#This Row],[2]],",",""))+1,1),"")</f>
        <v>1</v>
      </c>
      <c r="AB145" t="str">
        <f>IF(Tabela1[[#This Row],[3]]&lt;&gt;"",IF(ISNUMBER(FIND(",",Tabela1[[#This Row],[3]])),LEN(Tabela1[[#This Row],[3]])-LEN(SUBSTITUTE(Tabela1[[#This Row],[3]],",",""))+1,1),"")</f>
        <v/>
      </c>
      <c r="AC145" t="str">
        <f>IF(Tabela1[[#This Row],[4]]&lt;&gt;"",IF(ISNUMBER(FIND(",",Tabela1[[#This Row],[4]])),LEN(Tabela1[[#This Row],[4]])-LEN(SUBSTITUTE(Tabela1[[#This Row],[4]],",",""))+1,1),"")</f>
        <v/>
      </c>
      <c r="AD145" t="str">
        <f>IF(Tabela1[[#This Row],[5]]&lt;&gt;"",IF(ISNUMBER(FIND(",",Tabela1[[#This Row],[5]])),LEN(Tabela1[[#This Row],[5]])-LEN(SUBSTITUTE(Tabela1[[#This Row],[5]],",",""))+1,1),"")</f>
        <v/>
      </c>
      <c r="AE145" t="str">
        <f>IF(Tabela1[[#This Row],[6]]&lt;&gt;"",IF(ISNUMBER(FIND(",",Tabela1[[#This Row],[6]])),LEN(Tabela1[[#This Row],[6]])-LEN(SUBSTITUTE(Tabela1[[#This Row],[6]],",",""))+1,1),"")</f>
        <v/>
      </c>
      <c r="AF145" t="str">
        <f>IF(Tabela1[[#This Row],[7]]&lt;&gt;"",IF(ISNUMBER(FIND(",",Tabela1[[#This Row],[7]])),LEN(Tabela1[[#This Row],[7]])-LEN(SUBSTITUTE(Tabela1[[#This Row],[7]],",",""))+1,1),"")</f>
        <v/>
      </c>
      <c r="AG145" t="str">
        <f>IF(Tabela1[[#This Row],[8]]&lt;&gt;"",IF(ISNUMBER(FIND(",",Tabela1[[#This Row],[8]])),LEN(Tabela1[[#This Row],[8]])-LEN(SUBSTITUTE(Tabela1[[#This Row],[8]],",",""))+1,1),"")</f>
        <v/>
      </c>
      <c r="AH145" t="str">
        <f>IF(Tabela1[[#This Row],[9]]&lt;&gt;"",IF(ISNUMBER(FIND(",",Tabela1[[#This Row],[9]])),LEN(Tabela1[[#This Row],[9]])-LEN(SUBSTITUTE(Tabela1[[#This Row],[9]],",",""))+1,1),"")</f>
        <v/>
      </c>
      <c r="AI145" t="str">
        <f>IF(Tabela1[[#This Row],[10]]&lt;&gt;"",IF(ISNUMBER(FIND(",",Tabela1[[#This Row],[10]])),LEN(Tabela1[[#This Row],[10]])-LEN(SUBSTITUTE(Tabela1[[#This Row],[10]],",",""))+1,1),"")</f>
        <v/>
      </c>
      <c r="AJ145" t="str">
        <f>IF(Tabela1[[#This Row],[11]]&lt;&gt;"",IF(ISNUMBER(FIND(",",Tabela1[[#This Row],[11]])),LEN(Tabela1[[#This Row],[11]])-LEN(SUBSTITUTE(Tabela1[[#This Row],[11]],",",""))+1,1),"")</f>
        <v/>
      </c>
      <c r="AK145" t="str">
        <f>IF(Tabela1[[#This Row],[12]]&lt;&gt;"",IF(ISNUMBER(FIND(",",Tabela1[[#This Row],[12]])),LEN(Tabela1[[#This Row],[12]])-LEN(SUBSTITUTE(Tabela1[[#This Row],[12]],",",""))+1,1),"")</f>
        <v/>
      </c>
      <c r="AL145" t="str">
        <f>IF(Tabela1[[#This Row],[13]]&lt;&gt;"",IF(ISNUMBER(FIND(",",Tabela1[[#This Row],[13]])),LEN(Tabela1[[#This Row],[13]])-LEN(SUBSTITUTE(Tabela1[[#This Row],[13]],",",""))+1,1),"")</f>
        <v/>
      </c>
      <c r="AM145" t="str">
        <f>IF(Tabela1[[#This Row],[14]]&lt;&gt;"",IF(ISNUMBER(FIND(",",Tabela1[[#This Row],[14]])),LEN(Tabela1[[#This Row],[14]])-LEN(SUBSTITUTE(Tabela1[[#This Row],[14]],",",""))+1,1),"")</f>
        <v/>
      </c>
      <c r="AN145" t="str">
        <f>IF(Tabela1[[#This Row],[15]]&lt;&gt;"",IF(ISNUMBER(FIND(",",Tabela1[[#This Row],[15]])),LEN(Tabela1[[#This Row],[15]])-LEN(SUBSTITUTE(Tabela1[[#This Row],[15]],",",""))+1,1),"")</f>
        <v/>
      </c>
      <c r="AO145" t="str">
        <f>IF(Tabela1[[#This Row],[16]]&lt;&gt;"",IF(ISNUMBER(FIND(",",Tabela1[[#This Row],[16]])),LEN(Tabela1[[#This Row],[16]])-LEN(SUBSTITUTE(Tabela1[[#This Row],[16]],",",""))+1,1),"")</f>
        <v/>
      </c>
      <c r="AP145" t="str">
        <f>IF(Tabela1[[#This Row],[17]]&lt;&gt;"",IF(ISNUMBER(FIND(",",Tabela1[[#This Row],[17]])),LEN(Tabela1[[#This Row],[17]])-LEN(SUBSTITUTE(Tabela1[[#This Row],[17]],",",""))+1,1),"")</f>
        <v/>
      </c>
      <c r="AQ145" t="str">
        <f>IF(Tabela1[[#This Row],[18]]&lt;&gt;"",IF(ISNUMBER(FIND(",",Tabela1[[#This Row],[18]])),LEN(Tabela1[[#This Row],[18]])-LEN(SUBSTITUTE(Tabela1[[#This Row],[18]],",",""))+1,1),"")</f>
        <v/>
      </c>
      <c r="AR145" s="13" t="str">
        <f>IF(Tabela1[[#This Row],[19_LENGTH]]&lt;&gt;"",IF(ISNUMBER(FIND(",",Tabela1[[#This Row],[19_LENGTH]])),LEN(Tabela1[[#This Row],[19_LENGTH]])-LEN(SUBSTITUTE(Tabela1[[#This Row],[19_LENGTH]],",",""))+1,1),"")</f>
        <v/>
      </c>
      <c r="AS145" s="21">
        <f>SUM(Tabela1[[#This Row],[1_]:[19_]])</f>
        <v>1</v>
      </c>
    </row>
    <row r="146" spans="1:45" x14ac:dyDescent="0.25">
      <c r="A146" s="27" t="s">
        <v>1319</v>
      </c>
      <c r="B146" s="19" t="s">
        <v>719</v>
      </c>
      <c r="C146" s="19">
        <v>188</v>
      </c>
      <c r="D146" s="19" t="s">
        <v>1292</v>
      </c>
      <c r="E146" s="20">
        <v>43453</v>
      </c>
      <c r="F146" s="19"/>
      <c r="G146" s="19"/>
      <c r="H146" s="19"/>
      <c r="I146" s="19"/>
      <c r="J146" s="19"/>
      <c r="K146" s="19"/>
      <c r="L146" s="19"/>
      <c r="M146" s="19"/>
      <c r="N146" s="19"/>
      <c r="O146" s="19">
        <v>161</v>
      </c>
      <c r="P146" s="19"/>
      <c r="Q146" s="19"/>
      <c r="R146" s="19"/>
      <c r="S146" s="19"/>
      <c r="T146" s="19"/>
      <c r="U146" s="19"/>
      <c r="V146" s="19"/>
      <c r="W146" s="19">
        <v>166</v>
      </c>
      <c r="X146" s="19"/>
      <c r="Y146" s="19"/>
      <c r="Z146" t="str">
        <f>IF(Tabela1[[#This Row],[1]]&lt;&gt;"",IF(ISNUMBER(FIND(",",Tabela1[[#This Row],[1]])),LEN(Tabela1[[#This Row],[1]])-LEN(SUBSTITUTE(Tabela1[[#This Row],[1]],",",""))+1,1),"")</f>
        <v/>
      </c>
      <c r="AA146" t="str">
        <f>IF(Tabela1[[#This Row],[2]]&lt;&gt;"",IF(ISNUMBER(FIND(",",Tabela1[[#This Row],[2]])),LEN(Tabela1[[#This Row],[2]])-LEN(SUBSTITUTE(Tabela1[[#This Row],[2]],",",""))+1,1),"")</f>
        <v/>
      </c>
      <c r="AB146" t="str">
        <f>IF(Tabela1[[#This Row],[3]]&lt;&gt;"",IF(ISNUMBER(FIND(",",Tabela1[[#This Row],[3]])),LEN(Tabela1[[#This Row],[3]])-LEN(SUBSTITUTE(Tabela1[[#This Row],[3]],",",""))+1,1),"")</f>
        <v/>
      </c>
      <c r="AC146" t="str">
        <f>IF(Tabela1[[#This Row],[4]]&lt;&gt;"",IF(ISNUMBER(FIND(",",Tabela1[[#This Row],[4]])),LEN(Tabela1[[#This Row],[4]])-LEN(SUBSTITUTE(Tabela1[[#This Row],[4]],",",""))+1,1),"")</f>
        <v/>
      </c>
      <c r="AD146" t="str">
        <f>IF(Tabela1[[#This Row],[5]]&lt;&gt;"",IF(ISNUMBER(FIND(",",Tabela1[[#This Row],[5]])),LEN(Tabela1[[#This Row],[5]])-LEN(SUBSTITUTE(Tabela1[[#This Row],[5]],",",""))+1,1),"")</f>
        <v/>
      </c>
      <c r="AE146" t="str">
        <f>IF(Tabela1[[#This Row],[6]]&lt;&gt;"",IF(ISNUMBER(FIND(",",Tabela1[[#This Row],[6]])),LEN(Tabela1[[#This Row],[6]])-LEN(SUBSTITUTE(Tabela1[[#This Row],[6]],",",""))+1,1),"")</f>
        <v/>
      </c>
      <c r="AF146" t="str">
        <f>IF(Tabela1[[#This Row],[7]]&lt;&gt;"",IF(ISNUMBER(FIND(",",Tabela1[[#This Row],[7]])),LEN(Tabela1[[#This Row],[7]])-LEN(SUBSTITUTE(Tabela1[[#This Row],[7]],",",""))+1,1),"")</f>
        <v/>
      </c>
      <c r="AG146" t="str">
        <f>IF(Tabela1[[#This Row],[8]]&lt;&gt;"",IF(ISNUMBER(FIND(",",Tabela1[[#This Row],[8]])),LEN(Tabela1[[#This Row],[8]])-LEN(SUBSTITUTE(Tabela1[[#This Row],[8]],",",""))+1,1),"")</f>
        <v/>
      </c>
      <c r="AH146" t="str">
        <f>IF(Tabela1[[#This Row],[9]]&lt;&gt;"",IF(ISNUMBER(FIND(",",Tabela1[[#This Row],[9]])),LEN(Tabela1[[#This Row],[9]])-LEN(SUBSTITUTE(Tabela1[[#This Row],[9]],",",""))+1,1),"")</f>
        <v/>
      </c>
      <c r="AI146">
        <f>IF(Tabela1[[#This Row],[10]]&lt;&gt;"",IF(ISNUMBER(FIND(",",Tabela1[[#This Row],[10]])),LEN(Tabela1[[#This Row],[10]])-LEN(SUBSTITUTE(Tabela1[[#This Row],[10]],",",""))+1,1),"")</f>
        <v>1</v>
      </c>
      <c r="AJ146" t="str">
        <f>IF(Tabela1[[#This Row],[11]]&lt;&gt;"",IF(ISNUMBER(FIND(",",Tabela1[[#This Row],[11]])),LEN(Tabela1[[#This Row],[11]])-LEN(SUBSTITUTE(Tabela1[[#This Row],[11]],",",""))+1,1),"")</f>
        <v/>
      </c>
      <c r="AK146" t="str">
        <f>IF(Tabela1[[#This Row],[12]]&lt;&gt;"",IF(ISNUMBER(FIND(",",Tabela1[[#This Row],[12]])),LEN(Tabela1[[#This Row],[12]])-LEN(SUBSTITUTE(Tabela1[[#This Row],[12]],",",""))+1,1),"")</f>
        <v/>
      </c>
      <c r="AL146" t="str">
        <f>IF(Tabela1[[#This Row],[13]]&lt;&gt;"",IF(ISNUMBER(FIND(",",Tabela1[[#This Row],[13]])),LEN(Tabela1[[#This Row],[13]])-LEN(SUBSTITUTE(Tabela1[[#This Row],[13]],",",""))+1,1),"")</f>
        <v/>
      </c>
      <c r="AM146" t="str">
        <f>IF(Tabela1[[#This Row],[14]]&lt;&gt;"",IF(ISNUMBER(FIND(",",Tabela1[[#This Row],[14]])),LEN(Tabela1[[#This Row],[14]])-LEN(SUBSTITUTE(Tabela1[[#This Row],[14]],",",""))+1,1),"")</f>
        <v/>
      </c>
      <c r="AN146" t="str">
        <f>IF(Tabela1[[#This Row],[15]]&lt;&gt;"",IF(ISNUMBER(FIND(",",Tabela1[[#This Row],[15]])),LEN(Tabela1[[#This Row],[15]])-LEN(SUBSTITUTE(Tabela1[[#This Row],[15]],",",""))+1,1),"")</f>
        <v/>
      </c>
      <c r="AO146" t="str">
        <f>IF(Tabela1[[#This Row],[16]]&lt;&gt;"",IF(ISNUMBER(FIND(",",Tabela1[[#This Row],[16]])),LEN(Tabela1[[#This Row],[16]])-LEN(SUBSTITUTE(Tabela1[[#This Row],[16]],",",""))+1,1),"")</f>
        <v/>
      </c>
      <c r="AP146" t="str">
        <f>IF(Tabela1[[#This Row],[17]]&lt;&gt;"",IF(ISNUMBER(FIND(",",Tabela1[[#This Row],[17]])),LEN(Tabela1[[#This Row],[17]])-LEN(SUBSTITUTE(Tabela1[[#This Row],[17]],",",""))+1,1),"")</f>
        <v/>
      </c>
      <c r="AQ146">
        <f>IF(Tabela1[[#This Row],[18]]&lt;&gt;"",IF(ISNUMBER(FIND(",",Tabela1[[#This Row],[18]])),LEN(Tabela1[[#This Row],[18]])-LEN(SUBSTITUTE(Tabela1[[#This Row],[18]],",",""))+1,1),"")</f>
        <v>1</v>
      </c>
      <c r="AR146" s="13" t="str">
        <f>IF(Tabela1[[#This Row],[19_LENGTH]]&lt;&gt;"",IF(ISNUMBER(FIND(",",Tabela1[[#This Row],[19_LENGTH]])),LEN(Tabela1[[#This Row],[19_LENGTH]])-LEN(SUBSTITUTE(Tabela1[[#This Row],[19_LENGTH]],",",""))+1,1),"")</f>
        <v/>
      </c>
      <c r="AS146" s="21">
        <f>SUM(Tabela1[[#This Row],[1_]:[19_]])</f>
        <v>2</v>
      </c>
    </row>
    <row r="147" spans="1:45" x14ac:dyDescent="0.25">
      <c r="A147" s="27" t="s">
        <v>1319</v>
      </c>
      <c r="B147" s="19" t="s">
        <v>720</v>
      </c>
      <c r="C147" s="19">
        <v>202</v>
      </c>
      <c r="D147" s="19" t="s">
        <v>1294</v>
      </c>
      <c r="E147" s="20">
        <v>43453</v>
      </c>
      <c r="F147" s="19"/>
      <c r="G147" s="19"/>
      <c r="H147" s="19"/>
      <c r="I147" s="19" t="s">
        <v>59</v>
      </c>
      <c r="J147" s="19"/>
      <c r="K147" s="19"/>
      <c r="L147" s="19"/>
      <c r="M147" s="19"/>
      <c r="N147" s="19"/>
      <c r="O147" s="19"/>
      <c r="P147" s="19"/>
      <c r="Q147" s="19"/>
      <c r="R147" s="19"/>
      <c r="S147" s="19"/>
      <c r="T147" s="19"/>
      <c r="U147" s="19"/>
      <c r="V147" s="19"/>
      <c r="W147" s="19"/>
      <c r="X147" s="19"/>
      <c r="Y147" s="19"/>
      <c r="Z147" t="str">
        <f>IF(Tabela1[[#This Row],[1]]&lt;&gt;"",IF(ISNUMBER(FIND(",",Tabela1[[#This Row],[1]])),LEN(Tabela1[[#This Row],[1]])-LEN(SUBSTITUTE(Tabela1[[#This Row],[1]],",",""))+1,1),"")</f>
        <v/>
      </c>
      <c r="AA147" t="str">
        <f>IF(Tabela1[[#This Row],[2]]&lt;&gt;"",IF(ISNUMBER(FIND(",",Tabela1[[#This Row],[2]])),LEN(Tabela1[[#This Row],[2]])-LEN(SUBSTITUTE(Tabela1[[#This Row],[2]],",",""))+1,1),"")</f>
        <v/>
      </c>
      <c r="AB147" t="str">
        <f>IF(Tabela1[[#This Row],[3]]&lt;&gt;"",IF(ISNUMBER(FIND(",",Tabela1[[#This Row],[3]])),LEN(Tabela1[[#This Row],[3]])-LEN(SUBSTITUTE(Tabela1[[#This Row],[3]],",",""))+1,1),"")</f>
        <v/>
      </c>
      <c r="AC147">
        <f>IF(Tabela1[[#This Row],[4]]&lt;&gt;"",IF(ISNUMBER(FIND(",",Tabela1[[#This Row],[4]])),LEN(Tabela1[[#This Row],[4]])-LEN(SUBSTITUTE(Tabela1[[#This Row],[4]],",",""))+1,1),"")</f>
        <v>4</v>
      </c>
      <c r="AD147" t="str">
        <f>IF(Tabela1[[#This Row],[5]]&lt;&gt;"",IF(ISNUMBER(FIND(",",Tabela1[[#This Row],[5]])),LEN(Tabela1[[#This Row],[5]])-LEN(SUBSTITUTE(Tabela1[[#This Row],[5]],",",""))+1,1),"")</f>
        <v/>
      </c>
      <c r="AE147" t="str">
        <f>IF(Tabela1[[#This Row],[6]]&lt;&gt;"",IF(ISNUMBER(FIND(",",Tabela1[[#This Row],[6]])),LEN(Tabela1[[#This Row],[6]])-LEN(SUBSTITUTE(Tabela1[[#This Row],[6]],",",""))+1,1),"")</f>
        <v/>
      </c>
      <c r="AF147" t="str">
        <f>IF(Tabela1[[#This Row],[7]]&lt;&gt;"",IF(ISNUMBER(FIND(",",Tabela1[[#This Row],[7]])),LEN(Tabela1[[#This Row],[7]])-LEN(SUBSTITUTE(Tabela1[[#This Row],[7]],",",""))+1,1),"")</f>
        <v/>
      </c>
      <c r="AG147" t="str">
        <f>IF(Tabela1[[#This Row],[8]]&lt;&gt;"",IF(ISNUMBER(FIND(",",Tabela1[[#This Row],[8]])),LEN(Tabela1[[#This Row],[8]])-LEN(SUBSTITUTE(Tabela1[[#This Row],[8]],",",""))+1,1),"")</f>
        <v/>
      </c>
      <c r="AH147" t="str">
        <f>IF(Tabela1[[#This Row],[9]]&lt;&gt;"",IF(ISNUMBER(FIND(",",Tabela1[[#This Row],[9]])),LEN(Tabela1[[#This Row],[9]])-LEN(SUBSTITUTE(Tabela1[[#This Row],[9]],",",""))+1,1),"")</f>
        <v/>
      </c>
      <c r="AI147" t="str">
        <f>IF(Tabela1[[#This Row],[10]]&lt;&gt;"",IF(ISNUMBER(FIND(",",Tabela1[[#This Row],[10]])),LEN(Tabela1[[#This Row],[10]])-LEN(SUBSTITUTE(Tabela1[[#This Row],[10]],",",""))+1,1),"")</f>
        <v/>
      </c>
      <c r="AJ147" t="str">
        <f>IF(Tabela1[[#This Row],[11]]&lt;&gt;"",IF(ISNUMBER(FIND(",",Tabela1[[#This Row],[11]])),LEN(Tabela1[[#This Row],[11]])-LEN(SUBSTITUTE(Tabela1[[#This Row],[11]],",",""))+1,1),"")</f>
        <v/>
      </c>
      <c r="AK147" t="str">
        <f>IF(Tabela1[[#This Row],[12]]&lt;&gt;"",IF(ISNUMBER(FIND(",",Tabela1[[#This Row],[12]])),LEN(Tabela1[[#This Row],[12]])-LEN(SUBSTITUTE(Tabela1[[#This Row],[12]],",",""))+1,1),"")</f>
        <v/>
      </c>
      <c r="AL147" t="str">
        <f>IF(Tabela1[[#This Row],[13]]&lt;&gt;"",IF(ISNUMBER(FIND(",",Tabela1[[#This Row],[13]])),LEN(Tabela1[[#This Row],[13]])-LEN(SUBSTITUTE(Tabela1[[#This Row],[13]],",",""))+1,1),"")</f>
        <v/>
      </c>
      <c r="AM147" t="str">
        <f>IF(Tabela1[[#This Row],[14]]&lt;&gt;"",IF(ISNUMBER(FIND(",",Tabela1[[#This Row],[14]])),LEN(Tabela1[[#This Row],[14]])-LEN(SUBSTITUTE(Tabela1[[#This Row],[14]],",",""))+1,1),"")</f>
        <v/>
      </c>
      <c r="AN147" t="str">
        <f>IF(Tabela1[[#This Row],[15]]&lt;&gt;"",IF(ISNUMBER(FIND(",",Tabela1[[#This Row],[15]])),LEN(Tabela1[[#This Row],[15]])-LEN(SUBSTITUTE(Tabela1[[#This Row],[15]],",",""))+1,1),"")</f>
        <v/>
      </c>
      <c r="AO147" t="str">
        <f>IF(Tabela1[[#This Row],[16]]&lt;&gt;"",IF(ISNUMBER(FIND(",",Tabela1[[#This Row],[16]])),LEN(Tabela1[[#This Row],[16]])-LEN(SUBSTITUTE(Tabela1[[#This Row],[16]],",",""))+1,1),"")</f>
        <v/>
      </c>
      <c r="AP147" t="str">
        <f>IF(Tabela1[[#This Row],[17]]&lt;&gt;"",IF(ISNUMBER(FIND(",",Tabela1[[#This Row],[17]])),LEN(Tabela1[[#This Row],[17]])-LEN(SUBSTITUTE(Tabela1[[#This Row],[17]],",",""))+1,1),"")</f>
        <v/>
      </c>
      <c r="AQ147" t="str">
        <f>IF(Tabela1[[#This Row],[18]]&lt;&gt;"",IF(ISNUMBER(FIND(",",Tabela1[[#This Row],[18]])),LEN(Tabela1[[#This Row],[18]])-LEN(SUBSTITUTE(Tabela1[[#This Row],[18]],",",""))+1,1),"")</f>
        <v/>
      </c>
      <c r="AR147" s="13" t="str">
        <f>IF(Tabela1[[#This Row],[19_LENGTH]]&lt;&gt;"",IF(ISNUMBER(FIND(",",Tabela1[[#This Row],[19_LENGTH]])),LEN(Tabela1[[#This Row],[19_LENGTH]])-LEN(SUBSTITUTE(Tabela1[[#This Row],[19_LENGTH]],",",""))+1,1),"")</f>
        <v/>
      </c>
      <c r="AS147" s="21">
        <f>SUM(Tabela1[[#This Row],[1_]:[19_]])</f>
        <v>4</v>
      </c>
    </row>
    <row r="148" spans="1:45" x14ac:dyDescent="0.25">
      <c r="A148" s="27" t="s">
        <v>1319</v>
      </c>
      <c r="B148" s="19" t="s">
        <v>721</v>
      </c>
      <c r="C148" s="19">
        <v>202</v>
      </c>
      <c r="D148" s="19" t="s">
        <v>1294</v>
      </c>
      <c r="E148" s="20">
        <v>43453</v>
      </c>
      <c r="F148" s="19"/>
      <c r="G148" s="19" t="s">
        <v>60</v>
      </c>
      <c r="H148" s="19"/>
      <c r="I148" s="19">
        <v>119</v>
      </c>
      <c r="J148" s="19"/>
      <c r="K148" s="19"/>
      <c r="L148" s="19"/>
      <c r="M148" s="19"/>
      <c r="N148" s="19"/>
      <c r="O148" s="19"/>
      <c r="P148" s="19"/>
      <c r="Q148" s="19"/>
      <c r="R148" s="19"/>
      <c r="S148" s="19"/>
      <c r="T148" s="19">
        <v>174</v>
      </c>
      <c r="U148" s="19"/>
      <c r="V148" s="19"/>
      <c r="W148" s="19"/>
      <c r="X148" s="19"/>
      <c r="Y148" s="19"/>
      <c r="Z148" t="str">
        <f>IF(Tabela1[[#This Row],[1]]&lt;&gt;"",IF(ISNUMBER(FIND(",",Tabela1[[#This Row],[1]])),LEN(Tabela1[[#This Row],[1]])-LEN(SUBSTITUTE(Tabela1[[#This Row],[1]],",",""))+1,1),"")</f>
        <v/>
      </c>
      <c r="AA148">
        <f>IF(Tabela1[[#This Row],[2]]&lt;&gt;"",IF(ISNUMBER(FIND(",",Tabela1[[#This Row],[2]])),LEN(Tabela1[[#This Row],[2]])-LEN(SUBSTITUTE(Tabela1[[#This Row],[2]],",",""))+1,1),"")</f>
        <v>2</v>
      </c>
      <c r="AB148" t="str">
        <f>IF(Tabela1[[#This Row],[3]]&lt;&gt;"",IF(ISNUMBER(FIND(",",Tabela1[[#This Row],[3]])),LEN(Tabela1[[#This Row],[3]])-LEN(SUBSTITUTE(Tabela1[[#This Row],[3]],",",""))+1,1),"")</f>
        <v/>
      </c>
      <c r="AC148">
        <f>IF(Tabela1[[#This Row],[4]]&lt;&gt;"",IF(ISNUMBER(FIND(",",Tabela1[[#This Row],[4]])),LEN(Tabela1[[#This Row],[4]])-LEN(SUBSTITUTE(Tabela1[[#This Row],[4]],",",""))+1,1),"")</f>
        <v>1</v>
      </c>
      <c r="AD148" t="str">
        <f>IF(Tabela1[[#This Row],[5]]&lt;&gt;"",IF(ISNUMBER(FIND(",",Tabela1[[#This Row],[5]])),LEN(Tabela1[[#This Row],[5]])-LEN(SUBSTITUTE(Tabela1[[#This Row],[5]],",",""))+1,1),"")</f>
        <v/>
      </c>
      <c r="AE148" t="str">
        <f>IF(Tabela1[[#This Row],[6]]&lt;&gt;"",IF(ISNUMBER(FIND(",",Tabela1[[#This Row],[6]])),LEN(Tabela1[[#This Row],[6]])-LEN(SUBSTITUTE(Tabela1[[#This Row],[6]],",",""))+1,1),"")</f>
        <v/>
      </c>
      <c r="AF148" t="str">
        <f>IF(Tabela1[[#This Row],[7]]&lt;&gt;"",IF(ISNUMBER(FIND(",",Tabela1[[#This Row],[7]])),LEN(Tabela1[[#This Row],[7]])-LEN(SUBSTITUTE(Tabela1[[#This Row],[7]],",",""))+1,1),"")</f>
        <v/>
      </c>
      <c r="AG148" t="str">
        <f>IF(Tabela1[[#This Row],[8]]&lt;&gt;"",IF(ISNUMBER(FIND(",",Tabela1[[#This Row],[8]])),LEN(Tabela1[[#This Row],[8]])-LEN(SUBSTITUTE(Tabela1[[#This Row],[8]],",",""))+1,1),"")</f>
        <v/>
      </c>
      <c r="AH148" t="str">
        <f>IF(Tabela1[[#This Row],[9]]&lt;&gt;"",IF(ISNUMBER(FIND(",",Tabela1[[#This Row],[9]])),LEN(Tabela1[[#This Row],[9]])-LEN(SUBSTITUTE(Tabela1[[#This Row],[9]],",",""))+1,1),"")</f>
        <v/>
      </c>
      <c r="AI148" t="str">
        <f>IF(Tabela1[[#This Row],[10]]&lt;&gt;"",IF(ISNUMBER(FIND(",",Tabela1[[#This Row],[10]])),LEN(Tabela1[[#This Row],[10]])-LEN(SUBSTITUTE(Tabela1[[#This Row],[10]],",",""))+1,1),"")</f>
        <v/>
      </c>
      <c r="AJ148" t="str">
        <f>IF(Tabela1[[#This Row],[11]]&lt;&gt;"",IF(ISNUMBER(FIND(",",Tabela1[[#This Row],[11]])),LEN(Tabela1[[#This Row],[11]])-LEN(SUBSTITUTE(Tabela1[[#This Row],[11]],",",""))+1,1),"")</f>
        <v/>
      </c>
      <c r="AK148" t="str">
        <f>IF(Tabela1[[#This Row],[12]]&lt;&gt;"",IF(ISNUMBER(FIND(",",Tabela1[[#This Row],[12]])),LEN(Tabela1[[#This Row],[12]])-LEN(SUBSTITUTE(Tabela1[[#This Row],[12]],",",""))+1,1),"")</f>
        <v/>
      </c>
      <c r="AL148" t="str">
        <f>IF(Tabela1[[#This Row],[13]]&lt;&gt;"",IF(ISNUMBER(FIND(",",Tabela1[[#This Row],[13]])),LEN(Tabela1[[#This Row],[13]])-LEN(SUBSTITUTE(Tabela1[[#This Row],[13]],",",""))+1,1),"")</f>
        <v/>
      </c>
      <c r="AM148" t="str">
        <f>IF(Tabela1[[#This Row],[14]]&lt;&gt;"",IF(ISNUMBER(FIND(",",Tabela1[[#This Row],[14]])),LEN(Tabela1[[#This Row],[14]])-LEN(SUBSTITUTE(Tabela1[[#This Row],[14]],",",""))+1,1),"")</f>
        <v/>
      </c>
      <c r="AN148">
        <f>IF(Tabela1[[#This Row],[15]]&lt;&gt;"",IF(ISNUMBER(FIND(",",Tabela1[[#This Row],[15]])),LEN(Tabela1[[#This Row],[15]])-LEN(SUBSTITUTE(Tabela1[[#This Row],[15]],",",""))+1,1),"")</f>
        <v>1</v>
      </c>
      <c r="AO148" t="str">
        <f>IF(Tabela1[[#This Row],[16]]&lt;&gt;"",IF(ISNUMBER(FIND(",",Tabela1[[#This Row],[16]])),LEN(Tabela1[[#This Row],[16]])-LEN(SUBSTITUTE(Tabela1[[#This Row],[16]],",",""))+1,1),"")</f>
        <v/>
      </c>
      <c r="AP148" t="str">
        <f>IF(Tabela1[[#This Row],[17]]&lt;&gt;"",IF(ISNUMBER(FIND(",",Tabela1[[#This Row],[17]])),LEN(Tabela1[[#This Row],[17]])-LEN(SUBSTITUTE(Tabela1[[#This Row],[17]],",",""))+1,1),"")</f>
        <v/>
      </c>
      <c r="AQ148" t="str">
        <f>IF(Tabela1[[#This Row],[18]]&lt;&gt;"",IF(ISNUMBER(FIND(",",Tabela1[[#This Row],[18]])),LEN(Tabela1[[#This Row],[18]])-LEN(SUBSTITUTE(Tabela1[[#This Row],[18]],",",""))+1,1),"")</f>
        <v/>
      </c>
      <c r="AR148" s="13" t="str">
        <f>IF(Tabela1[[#This Row],[19_LENGTH]]&lt;&gt;"",IF(ISNUMBER(FIND(",",Tabela1[[#This Row],[19_LENGTH]])),LEN(Tabela1[[#This Row],[19_LENGTH]])-LEN(SUBSTITUTE(Tabela1[[#This Row],[19_LENGTH]],",",""))+1,1),"")</f>
        <v/>
      </c>
      <c r="AS148" s="21">
        <f>SUM(Tabela1[[#This Row],[1_]:[19_]])</f>
        <v>4</v>
      </c>
    </row>
    <row r="149" spans="1:45" x14ac:dyDescent="0.25">
      <c r="A149" s="27" t="s">
        <v>1319</v>
      </c>
      <c r="B149" s="19" t="s">
        <v>722</v>
      </c>
      <c r="C149" s="19">
        <v>202</v>
      </c>
      <c r="D149" s="19" t="s">
        <v>1294</v>
      </c>
      <c r="E149" s="20">
        <v>43453</v>
      </c>
      <c r="F149" s="19"/>
      <c r="G149" s="19"/>
      <c r="H149" s="19"/>
      <c r="I149" s="19"/>
      <c r="J149" s="19"/>
      <c r="K149" s="19"/>
      <c r="L149" s="19"/>
      <c r="M149" s="19"/>
      <c r="N149" s="19"/>
      <c r="O149" s="19"/>
      <c r="P149" s="19"/>
      <c r="Q149" s="19"/>
      <c r="R149" s="19"/>
      <c r="S149" s="19"/>
      <c r="T149" s="19"/>
      <c r="U149" s="19">
        <v>136</v>
      </c>
      <c r="V149" s="19"/>
      <c r="W149" s="19"/>
      <c r="X149" s="19"/>
      <c r="Y149" s="19"/>
      <c r="Z149" t="str">
        <f>IF(Tabela1[[#This Row],[1]]&lt;&gt;"",IF(ISNUMBER(FIND(",",Tabela1[[#This Row],[1]])),LEN(Tabela1[[#This Row],[1]])-LEN(SUBSTITUTE(Tabela1[[#This Row],[1]],",",""))+1,1),"")</f>
        <v/>
      </c>
      <c r="AA149" t="str">
        <f>IF(Tabela1[[#This Row],[2]]&lt;&gt;"",IF(ISNUMBER(FIND(",",Tabela1[[#This Row],[2]])),LEN(Tabela1[[#This Row],[2]])-LEN(SUBSTITUTE(Tabela1[[#This Row],[2]],",",""))+1,1),"")</f>
        <v/>
      </c>
      <c r="AB149" t="str">
        <f>IF(Tabela1[[#This Row],[3]]&lt;&gt;"",IF(ISNUMBER(FIND(",",Tabela1[[#This Row],[3]])),LEN(Tabela1[[#This Row],[3]])-LEN(SUBSTITUTE(Tabela1[[#This Row],[3]],",",""))+1,1),"")</f>
        <v/>
      </c>
      <c r="AC149" t="str">
        <f>IF(Tabela1[[#This Row],[4]]&lt;&gt;"",IF(ISNUMBER(FIND(",",Tabela1[[#This Row],[4]])),LEN(Tabela1[[#This Row],[4]])-LEN(SUBSTITUTE(Tabela1[[#This Row],[4]],",",""))+1,1),"")</f>
        <v/>
      </c>
      <c r="AD149" t="str">
        <f>IF(Tabela1[[#This Row],[5]]&lt;&gt;"",IF(ISNUMBER(FIND(",",Tabela1[[#This Row],[5]])),LEN(Tabela1[[#This Row],[5]])-LEN(SUBSTITUTE(Tabela1[[#This Row],[5]],",",""))+1,1),"")</f>
        <v/>
      </c>
      <c r="AE149" t="str">
        <f>IF(Tabela1[[#This Row],[6]]&lt;&gt;"",IF(ISNUMBER(FIND(",",Tabela1[[#This Row],[6]])),LEN(Tabela1[[#This Row],[6]])-LEN(SUBSTITUTE(Tabela1[[#This Row],[6]],",",""))+1,1),"")</f>
        <v/>
      </c>
      <c r="AF149" t="str">
        <f>IF(Tabela1[[#This Row],[7]]&lt;&gt;"",IF(ISNUMBER(FIND(",",Tabela1[[#This Row],[7]])),LEN(Tabela1[[#This Row],[7]])-LEN(SUBSTITUTE(Tabela1[[#This Row],[7]],",",""))+1,1),"")</f>
        <v/>
      </c>
      <c r="AG149" t="str">
        <f>IF(Tabela1[[#This Row],[8]]&lt;&gt;"",IF(ISNUMBER(FIND(",",Tabela1[[#This Row],[8]])),LEN(Tabela1[[#This Row],[8]])-LEN(SUBSTITUTE(Tabela1[[#This Row],[8]],",",""))+1,1),"")</f>
        <v/>
      </c>
      <c r="AH149" t="str">
        <f>IF(Tabela1[[#This Row],[9]]&lt;&gt;"",IF(ISNUMBER(FIND(",",Tabela1[[#This Row],[9]])),LEN(Tabela1[[#This Row],[9]])-LEN(SUBSTITUTE(Tabela1[[#This Row],[9]],",",""))+1,1),"")</f>
        <v/>
      </c>
      <c r="AI149" t="str">
        <f>IF(Tabela1[[#This Row],[10]]&lt;&gt;"",IF(ISNUMBER(FIND(",",Tabela1[[#This Row],[10]])),LEN(Tabela1[[#This Row],[10]])-LEN(SUBSTITUTE(Tabela1[[#This Row],[10]],",",""))+1,1),"")</f>
        <v/>
      </c>
      <c r="AJ149" t="str">
        <f>IF(Tabela1[[#This Row],[11]]&lt;&gt;"",IF(ISNUMBER(FIND(",",Tabela1[[#This Row],[11]])),LEN(Tabela1[[#This Row],[11]])-LEN(SUBSTITUTE(Tabela1[[#This Row],[11]],",",""))+1,1),"")</f>
        <v/>
      </c>
      <c r="AK149" t="str">
        <f>IF(Tabela1[[#This Row],[12]]&lt;&gt;"",IF(ISNUMBER(FIND(",",Tabela1[[#This Row],[12]])),LEN(Tabela1[[#This Row],[12]])-LEN(SUBSTITUTE(Tabela1[[#This Row],[12]],",",""))+1,1),"")</f>
        <v/>
      </c>
      <c r="AL149" t="str">
        <f>IF(Tabela1[[#This Row],[13]]&lt;&gt;"",IF(ISNUMBER(FIND(",",Tabela1[[#This Row],[13]])),LEN(Tabela1[[#This Row],[13]])-LEN(SUBSTITUTE(Tabela1[[#This Row],[13]],",",""))+1,1),"")</f>
        <v/>
      </c>
      <c r="AM149" t="str">
        <f>IF(Tabela1[[#This Row],[14]]&lt;&gt;"",IF(ISNUMBER(FIND(",",Tabela1[[#This Row],[14]])),LEN(Tabela1[[#This Row],[14]])-LEN(SUBSTITUTE(Tabela1[[#This Row],[14]],",",""))+1,1),"")</f>
        <v/>
      </c>
      <c r="AN149" t="str">
        <f>IF(Tabela1[[#This Row],[15]]&lt;&gt;"",IF(ISNUMBER(FIND(",",Tabela1[[#This Row],[15]])),LEN(Tabela1[[#This Row],[15]])-LEN(SUBSTITUTE(Tabela1[[#This Row],[15]],",",""))+1,1),"")</f>
        <v/>
      </c>
      <c r="AO149">
        <f>IF(Tabela1[[#This Row],[16]]&lt;&gt;"",IF(ISNUMBER(FIND(",",Tabela1[[#This Row],[16]])),LEN(Tabela1[[#This Row],[16]])-LEN(SUBSTITUTE(Tabela1[[#This Row],[16]],",",""))+1,1),"")</f>
        <v>1</v>
      </c>
      <c r="AP149" t="str">
        <f>IF(Tabela1[[#This Row],[17]]&lt;&gt;"",IF(ISNUMBER(FIND(",",Tabela1[[#This Row],[17]])),LEN(Tabela1[[#This Row],[17]])-LEN(SUBSTITUTE(Tabela1[[#This Row],[17]],",",""))+1,1),"")</f>
        <v/>
      </c>
      <c r="AQ149" t="str">
        <f>IF(Tabela1[[#This Row],[18]]&lt;&gt;"",IF(ISNUMBER(FIND(",",Tabela1[[#This Row],[18]])),LEN(Tabela1[[#This Row],[18]])-LEN(SUBSTITUTE(Tabela1[[#This Row],[18]],",",""))+1,1),"")</f>
        <v/>
      </c>
      <c r="AR149" s="13" t="str">
        <f>IF(Tabela1[[#This Row],[19_LENGTH]]&lt;&gt;"",IF(ISNUMBER(FIND(",",Tabela1[[#This Row],[19_LENGTH]])),LEN(Tabela1[[#This Row],[19_LENGTH]])-LEN(SUBSTITUTE(Tabela1[[#This Row],[19_LENGTH]],",",""))+1,1),"")</f>
        <v/>
      </c>
      <c r="AS149" s="21">
        <f>SUM(Tabela1[[#This Row],[1_]:[19_]])</f>
        <v>1</v>
      </c>
    </row>
    <row r="150" spans="1:45" x14ac:dyDescent="0.25">
      <c r="A150" s="27" t="s">
        <v>1319</v>
      </c>
      <c r="B150" s="19" t="s">
        <v>723</v>
      </c>
      <c r="C150" s="19">
        <v>202</v>
      </c>
      <c r="D150" s="19" t="s">
        <v>1294</v>
      </c>
      <c r="E150" s="20">
        <v>43453</v>
      </c>
      <c r="F150" s="19"/>
      <c r="G150" s="19">
        <v>170</v>
      </c>
      <c r="H150" s="19"/>
      <c r="I150" s="19"/>
      <c r="J150" s="19"/>
      <c r="K150" s="19"/>
      <c r="L150" s="19"/>
      <c r="M150" s="19"/>
      <c r="N150" s="19"/>
      <c r="O150" s="19"/>
      <c r="P150" s="19"/>
      <c r="Q150" s="19"/>
      <c r="R150" s="19"/>
      <c r="S150" s="19"/>
      <c r="T150" s="19"/>
      <c r="U150" s="19"/>
      <c r="V150" s="19"/>
      <c r="W150" s="19"/>
      <c r="X150" s="19"/>
      <c r="Y150" s="19"/>
      <c r="Z150" t="str">
        <f>IF(Tabela1[[#This Row],[1]]&lt;&gt;"",IF(ISNUMBER(FIND(",",Tabela1[[#This Row],[1]])),LEN(Tabela1[[#This Row],[1]])-LEN(SUBSTITUTE(Tabela1[[#This Row],[1]],",",""))+1,1),"")</f>
        <v/>
      </c>
      <c r="AA150">
        <f>IF(Tabela1[[#This Row],[2]]&lt;&gt;"",IF(ISNUMBER(FIND(",",Tabela1[[#This Row],[2]])),LEN(Tabela1[[#This Row],[2]])-LEN(SUBSTITUTE(Tabela1[[#This Row],[2]],",",""))+1,1),"")</f>
        <v>1</v>
      </c>
      <c r="AB150" t="str">
        <f>IF(Tabela1[[#This Row],[3]]&lt;&gt;"",IF(ISNUMBER(FIND(",",Tabela1[[#This Row],[3]])),LEN(Tabela1[[#This Row],[3]])-LEN(SUBSTITUTE(Tabela1[[#This Row],[3]],",",""))+1,1),"")</f>
        <v/>
      </c>
      <c r="AC150" t="str">
        <f>IF(Tabela1[[#This Row],[4]]&lt;&gt;"",IF(ISNUMBER(FIND(",",Tabela1[[#This Row],[4]])),LEN(Tabela1[[#This Row],[4]])-LEN(SUBSTITUTE(Tabela1[[#This Row],[4]],",",""))+1,1),"")</f>
        <v/>
      </c>
      <c r="AD150" t="str">
        <f>IF(Tabela1[[#This Row],[5]]&lt;&gt;"",IF(ISNUMBER(FIND(",",Tabela1[[#This Row],[5]])),LEN(Tabela1[[#This Row],[5]])-LEN(SUBSTITUTE(Tabela1[[#This Row],[5]],",",""))+1,1),"")</f>
        <v/>
      </c>
      <c r="AE150" t="str">
        <f>IF(Tabela1[[#This Row],[6]]&lt;&gt;"",IF(ISNUMBER(FIND(",",Tabela1[[#This Row],[6]])),LEN(Tabela1[[#This Row],[6]])-LEN(SUBSTITUTE(Tabela1[[#This Row],[6]],",",""))+1,1),"")</f>
        <v/>
      </c>
      <c r="AF150" t="str">
        <f>IF(Tabela1[[#This Row],[7]]&lt;&gt;"",IF(ISNUMBER(FIND(",",Tabela1[[#This Row],[7]])),LEN(Tabela1[[#This Row],[7]])-LEN(SUBSTITUTE(Tabela1[[#This Row],[7]],",",""))+1,1),"")</f>
        <v/>
      </c>
      <c r="AG150" t="str">
        <f>IF(Tabela1[[#This Row],[8]]&lt;&gt;"",IF(ISNUMBER(FIND(",",Tabela1[[#This Row],[8]])),LEN(Tabela1[[#This Row],[8]])-LEN(SUBSTITUTE(Tabela1[[#This Row],[8]],",",""))+1,1),"")</f>
        <v/>
      </c>
      <c r="AH150" t="str">
        <f>IF(Tabela1[[#This Row],[9]]&lt;&gt;"",IF(ISNUMBER(FIND(",",Tabela1[[#This Row],[9]])),LEN(Tabela1[[#This Row],[9]])-LEN(SUBSTITUTE(Tabela1[[#This Row],[9]],",",""))+1,1),"")</f>
        <v/>
      </c>
      <c r="AI150" t="str">
        <f>IF(Tabela1[[#This Row],[10]]&lt;&gt;"",IF(ISNUMBER(FIND(",",Tabela1[[#This Row],[10]])),LEN(Tabela1[[#This Row],[10]])-LEN(SUBSTITUTE(Tabela1[[#This Row],[10]],",",""))+1,1),"")</f>
        <v/>
      </c>
      <c r="AJ150" t="str">
        <f>IF(Tabela1[[#This Row],[11]]&lt;&gt;"",IF(ISNUMBER(FIND(",",Tabela1[[#This Row],[11]])),LEN(Tabela1[[#This Row],[11]])-LEN(SUBSTITUTE(Tabela1[[#This Row],[11]],",",""))+1,1),"")</f>
        <v/>
      </c>
      <c r="AK150" t="str">
        <f>IF(Tabela1[[#This Row],[12]]&lt;&gt;"",IF(ISNUMBER(FIND(",",Tabela1[[#This Row],[12]])),LEN(Tabela1[[#This Row],[12]])-LEN(SUBSTITUTE(Tabela1[[#This Row],[12]],",",""))+1,1),"")</f>
        <v/>
      </c>
      <c r="AL150" t="str">
        <f>IF(Tabela1[[#This Row],[13]]&lt;&gt;"",IF(ISNUMBER(FIND(",",Tabela1[[#This Row],[13]])),LEN(Tabela1[[#This Row],[13]])-LEN(SUBSTITUTE(Tabela1[[#This Row],[13]],",",""))+1,1),"")</f>
        <v/>
      </c>
      <c r="AM150" t="str">
        <f>IF(Tabela1[[#This Row],[14]]&lt;&gt;"",IF(ISNUMBER(FIND(",",Tabela1[[#This Row],[14]])),LEN(Tabela1[[#This Row],[14]])-LEN(SUBSTITUTE(Tabela1[[#This Row],[14]],",",""))+1,1),"")</f>
        <v/>
      </c>
      <c r="AN150" t="str">
        <f>IF(Tabela1[[#This Row],[15]]&lt;&gt;"",IF(ISNUMBER(FIND(",",Tabela1[[#This Row],[15]])),LEN(Tabela1[[#This Row],[15]])-LEN(SUBSTITUTE(Tabela1[[#This Row],[15]],",",""))+1,1),"")</f>
        <v/>
      </c>
      <c r="AO150" t="str">
        <f>IF(Tabela1[[#This Row],[16]]&lt;&gt;"",IF(ISNUMBER(FIND(",",Tabela1[[#This Row],[16]])),LEN(Tabela1[[#This Row],[16]])-LEN(SUBSTITUTE(Tabela1[[#This Row],[16]],",",""))+1,1),"")</f>
        <v/>
      </c>
      <c r="AP150" t="str">
        <f>IF(Tabela1[[#This Row],[17]]&lt;&gt;"",IF(ISNUMBER(FIND(",",Tabela1[[#This Row],[17]])),LEN(Tabela1[[#This Row],[17]])-LEN(SUBSTITUTE(Tabela1[[#This Row],[17]],",",""))+1,1),"")</f>
        <v/>
      </c>
      <c r="AQ150" t="str">
        <f>IF(Tabela1[[#This Row],[18]]&lt;&gt;"",IF(ISNUMBER(FIND(",",Tabela1[[#This Row],[18]])),LEN(Tabela1[[#This Row],[18]])-LEN(SUBSTITUTE(Tabela1[[#This Row],[18]],",",""))+1,1),"")</f>
        <v/>
      </c>
      <c r="AR150" s="13" t="str">
        <f>IF(Tabela1[[#This Row],[19_LENGTH]]&lt;&gt;"",IF(ISNUMBER(FIND(",",Tabela1[[#This Row],[19_LENGTH]])),LEN(Tabela1[[#This Row],[19_LENGTH]])-LEN(SUBSTITUTE(Tabela1[[#This Row],[19_LENGTH]],",",""))+1,1),"")</f>
        <v/>
      </c>
      <c r="AS150" s="21">
        <f>SUM(Tabela1[[#This Row],[1_]:[19_]])</f>
        <v>1</v>
      </c>
    </row>
    <row r="151" spans="1:45" x14ac:dyDescent="0.25">
      <c r="A151" s="27" t="s">
        <v>1319</v>
      </c>
      <c r="B151" s="19" t="s">
        <v>370</v>
      </c>
      <c r="C151" s="19">
        <v>202</v>
      </c>
      <c r="D151" s="19" t="s">
        <v>1297</v>
      </c>
      <c r="E151" s="20">
        <v>43453</v>
      </c>
      <c r="F151" s="19"/>
      <c r="G151" s="19"/>
      <c r="H151" s="19"/>
      <c r="I151" s="19">
        <v>132</v>
      </c>
      <c r="J151" s="19">
        <v>118</v>
      </c>
      <c r="K151" s="19"/>
      <c r="L151" s="19"/>
      <c r="M151" s="19"/>
      <c r="N151" s="19"/>
      <c r="O151" s="19"/>
      <c r="P151" s="19"/>
      <c r="Q151" s="19"/>
      <c r="R151" s="19"/>
      <c r="S151" s="19"/>
      <c r="T151" s="19"/>
      <c r="U151" s="19"/>
      <c r="V151" s="19"/>
      <c r="W151" s="19"/>
      <c r="X151" s="19"/>
      <c r="Y151" s="19"/>
      <c r="Z151" t="str">
        <f>IF(Tabela1[[#This Row],[1]]&lt;&gt;"",IF(ISNUMBER(FIND(",",Tabela1[[#This Row],[1]])),LEN(Tabela1[[#This Row],[1]])-LEN(SUBSTITUTE(Tabela1[[#This Row],[1]],",",""))+1,1),"")</f>
        <v/>
      </c>
      <c r="AA151" t="str">
        <f>IF(Tabela1[[#This Row],[2]]&lt;&gt;"",IF(ISNUMBER(FIND(",",Tabela1[[#This Row],[2]])),LEN(Tabela1[[#This Row],[2]])-LEN(SUBSTITUTE(Tabela1[[#This Row],[2]],",",""))+1,1),"")</f>
        <v/>
      </c>
      <c r="AB151" t="str">
        <f>IF(Tabela1[[#This Row],[3]]&lt;&gt;"",IF(ISNUMBER(FIND(",",Tabela1[[#This Row],[3]])),LEN(Tabela1[[#This Row],[3]])-LEN(SUBSTITUTE(Tabela1[[#This Row],[3]],",",""))+1,1),"")</f>
        <v/>
      </c>
      <c r="AC151">
        <f>IF(Tabela1[[#This Row],[4]]&lt;&gt;"",IF(ISNUMBER(FIND(",",Tabela1[[#This Row],[4]])),LEN(Tabela1[[#This Row],[4]])-LEN(SUBSTITUTE(Tabela1[[#This Row],[4]],",",""))+1,1),"")</f>
        <v>1</v>
      </c>
      <c r="AD151">
        <f>IF(Tabela1[[#This Row],[5]]&lt;&gt;"",IF(ISNUMBER(FIND(",",Tabela1[[#This Row],[5]])),LEN(Tabela1[[#This Row],[5]])-LEN(SUBSTITUTE(Tabela1[[#This Row],[5]],",",""))+1,1),"")</f>
        <v>1</v>
      </c>
      <c r="AE151" t="str">
        <f>IF(Tabela1[[#This Row],[6]]&lt;&gt;"",IF(ISNUMBER(FIND(",",Tabela1[[#This Row],[6]])),LEN(Tabela1[[#This Row],[6]])-LEN(SUBSTITUTE(Tabela1[[#This Row],[6]],",",""))+1,1),"")</f>
        <v/>
      </c>
      <c r="AF151" t="str">
        <f>IF(Tabela1[[#This Row],[7]]&lt;&gt;"",IF(ISNUMBER(FIND(",",Tabela1[[#This Row],[7]])),LEN(Tabela1[[#This Row],[7]])-LEN(SUBSTITUTE(Tabela1[[#This Row],[7]],",",""))+1,1),"")</f>
        <v/>
      </c>
      <c r="AG151" t="str">
        <f>IF(Tabela1[[#This Row],[8]]&lt;&gt;"",IF(ISNUMBER(FIND(",",Tabela1[[#This Row],[8]])),LEN(Tabela1[[#This Row],[8]])-LEN(SUBSTITUTE(Tabela1[[#This Row],[8]],",",""))+1,1),"")</f>
        <v/>
      </c>
      <c r="AH151" t="str">
        <f>IF(Tabela1[[#This Row],[9]]&lt;&gt;"",IF(ISNUMBER(FIND(",",Tabela1[[#This Row],[9]])),LEN(Tabela1[[#This Row],[9]])-LEN(SUBSTITUTE(Tabela1[[#This Row],[9]],",",""))+1,1),"")</f>
        <v/>
      </c>
      <c r="AI151" t="str">
        <f>IF(Tabela1[[#This Row],[10]]&lt;&gt;"",IF(ISNUMBER(FIND(",",Tabela1[[#This Row],[10]])),LEN(Tabela1[[#This Row],[10]])-LEN(SUBSTITUTE(Tabela1[[#This Row],[10]],",",""))+1,1),"")</f>
        <v/>
      </c>
      <c r="AJ151" t="str">
        <f>IF(Tabela1[[#This Row],[11]]&lt;&gt;"",IF(ISNUMBER(FIND(",",Tabela1[[#This Row],[11]])),LEN(Tabela1[[#This Row],[11]])-LEN(SUBSTITUTE(Tabela1[[#This Row],[11]],",",""))+1,1),"")</f>
        <v/>
      </c>
      <c r="AK151" t="str">
        <f>IF(Tabela1[[#This Row],[12]]&lt;&gt;"",IF(ISNUMBER(FIND(",",Tabela1[[#This Row],[12]])),LEN(Tabela1[[#This Row],[12]])-LEN(SUBSTITUTE(Tabela1[[#This Row],[12]],",",""))+1,1),"")</f>
        <v/>
      </c>
      <c r="AL151" t="str">
        <f>IF(Tabela1[[#This Row],[13]]&lt;&gt;"",IF(ISNUMBER(FIND(",",Tabela1[[#This Row],[13]])),LEN(Tabela1[[#This Row],[13]])-LEN(SUBSTITUTE(Tabela1[[#This Row],[13]],",",""))+1,1),"")</f>
        <v/>
      </c>
      <c r="AM151" t="str">
        <f>IF(Tabela1[[#This Row],[14]]&lt;&gt;"",IF(ISNUMBER(FIND(",",Tabela1[[#This Row],[14]])),LEN(Tabela1[[#This Row],[14]])-LEN(SUBSTITUTE(Tabela1[[#This Row],[14]],",",""))+1,1),"")</f>
        <v/>
      </c>
      <c r="AN151" t="str">
        <f>IF(Tabela1[[#This Row],[15]]&lt;&gt;"",IF(ISNUMBER(FIND(",",Tabela1[[#This Row],[15]])),LEN(Tabela1[[#This Row],[15]])-LEN(SUBSTITUTE(Tabela1[[#This Row],[15]],",",""))+1,1),"")</f>
        <v/>
      </c>
      <c r="AO151" t="str">
        <f>IF(Tabela1[[#This Row],[16]]&lt;&gt;"",IF(ISNUMBER(FIND(",",Tabela1[[#This Row],[16]])),LEN(Tabela1[[#This Row],[16]])-LEN(SUBSTITUTE(Tabela1[[#This Row],[16]],",",""))+1,1),"")</f>
        <v/>
      </c>
      <c r="AP151" t="str">
        <f>IF(Tabela1[[#This Row],[17]]&lt;&gt;"",IF(ISNUMBER(FIND(",",Tabela1[[#This Row],[17]])),LEN(Tabela1[[#This Row],[17]])-LEN(SUBSTITUTE(Tabela1[[#This Row],[17]],",",""))+1,1),"")</f>
        <v/>
      </c>
      <c r="AQ151" t="str">
        <f>IF(Tabela1[[#This Row],[18]]&lt;&gt;"",IF(ISNUMBER(FIND(",",Tabela1[[#This Row],[18]])),LEN(Tabela1[[#This Row],[18]])-LEN(SUBSTITUTE(Tabela1[[#This Row],[18]],",",""))+1,1),"")</f>
        <v/>
      </c>
      <c r="AR151" s="13" t="str">
        <f>IF(Tabela1[[#This Row],[19_LENGTH]]&lt;&gt;"",IF(ISNUMBER(FIND(",",Tabela1[[#This Row],[19_LENGTH]])),LEN(Tabela1[[#This Row],[19_LENGTH]])-LEN(SUBSTITUTE(Tabela1[[#This Row],[19_LENGTH]],",",""))+1,1),"")</f>
        <v/>
      </c>
      <c r="AS151" s="21">
        <f>SUM(Tabela1[[#This Row],[1_]:[19_]])</f>
        <v>2</v>
      </c>
    </row>
    <row r="152" spans="1:45" x14ac:dyDescent="0.25">
      <c r="A152" s="27" t="s">
        <v>1319</v>
      </c>
      <c r="B152" s="19" t="s">
        <v>371</v>
      </c>
      <c r="C152" s="19">
        <v>202</v>
      </c>
      <c r="D152" s="19" t="s">
        <v>1297</v>
      </c>
      <c r="E152" s="20">
        <v>43453</v>
      </c>
      <c r="F152" s="19"/>
      <c r="G152" s="19">
        <v>65</v>
      </c>
      <c r="H152" s="19"/>
      <c r="I152" s="19">
        <v>65</v>
      </c>
      <c r="J152" s="19"/>
      <c r="K152" s="19"/>
      <c r="L152" s="19"/>
      <c r="M152" s="19"/>
      <c r="N152" s="19"/>
      <c r="O152" s="19"/>
      <c r="P152" s="19"/>
      <c r="Q152" s="19"/>
      <c r="R152" s="19"/>
      <c r="S152" s="19"/>
      <c r="T152" s="19"/>
      <c r="U152" s="19"/>
      <c r="V152" s="19"/>
      <c r="W152" s="19"/>
      <c r="X152" s="19"/>
      <c r="Y152" s="19"/>
      <c r="Z152" t="str">
        <f>IF(Tabela1[[#This Row],[1]]&lt;&gt;"",IF(ISNUMBER(FIND(",",Tabela1[[#This Row],[1]])),LEN(Tabela1[[#This Row],[1]])-LEN(SUBSTITUTE(Tabela1[[#This Row],[1]],",",""))+1,1),"")</f>
        <v/>
      </c>
      <c r="AA152">
        <f>IF(Tabela1[[#This Row],[2]]&lt;&gt;"",IF(ISNUMBER(FIND(",",Tabela1[[#This Row],[2]])),LEN(Tabela1[[#This Row],[2]])-LEN(SUBSTITUTE(Tabela1[[#This Row],[2]],",",""))+1,1),"")</f>
        <v>1</v>
      </c>
      <c r="AB152" t="str">
        <f>IF(Tabela1[[#This Row],[3]]&lt;&gt;"",IF(ISNUMBER(FIND(",",Tabela1[[#This Row],[3]])),LEN(Tabela1[[#This Row],[3]])-LEN(SUBSTITUTE(Tabela1[[#This Row],[3]],",",""))+1,1),"")</f>
        <v/>
      </c>
      <c r="AC152">
        <f>IF(Tabela1[[#This Row],[4]]&lt;&gt;"",IF(ISNUMBER(FIND(",",Tabela1[[#This Row],[4]])),LEN(Tabela1[[#This Row],[4]])-LEN(SUBSTITUTE(Tabela1[[#This Row],[4]],",",""))+1,1),"")</f>
        <v>1</v>
      </c>
      <c r="AD152" t="str">
        <f>IF(Tabela1[[#This Row],[5]]&lt;&gt;"",IF(ISNUMBER(FIND(",",Tabela1[[#This Row],[5]])),LEN(Tabela1[[#This Row],[5]])-LEN(SUBSTITUTE(Tabela1[[#This Row],[5]],",",""))+1,1),"")</f>
        <v/>
      </c>
      <c r="AE152" t="str">
        <f>IF(Tabela1[[#This Row],[6]]&lt;&gt;"",IF(ISNUMBER(FIND(",",Tabela1[[#This Row],[6]])),LEN(Tabela1[[#This Row],[6]])-LEN(SUBSTITUTE(Tabela1[[#This Row],[6]],",",""))+1,1),"")</f>
        <v/>
      </c>
      <c r="AF152" t="str">
        <f>IF(Tabela1[[#This Row],[7]]&lt;&gt;"",IF(ISNUMBER(FIND(",",Tabela1[[#This Row],[7]])),LEN(Tabela1[[#This Row],[7]])-LEN(SUBSTITUTE(Tabela1[[#This Row],[7]],",",""))+1,1),"")</f>
        <v/>
      </c>
      <c r="AG152" t="str">
        <f>IF(Tabela1[[#This Row],[8]]&lt;&gt;"",IF(ISNUMBER(FIND(",",Tabela1[[#This Row],[8]])),LEN(Tabela1[[#This Row],[8]])-LEN(SUBSTITUTE(Tabela1[[#This Row],[8]],",",""))+1,1),"")</f>
        <v/>
      </c>
      <c r="AH152" t="str">
        <f>IF(Tabela1[[#This Row],[9]]&lt;&gt;"",IF(ISNUMBER(FIND(",",Tabela1[[#This Row],[9]])),LEN(Tabela1[[#This Row],[9]])-LEN(SUBSTITUTE(Tabela1[[#This Row],[9]],",",""))+1,1),"")</f>
        <v/>
      </c>
      <c r="AI152" t="str">
        <f>IF(Tabela1[[#This Row],[10]]&lt;&gt;"",IF(ISNUMBER(FIND(",",Tabela1[[#This Row],[10]])),LEN(Tabela1[[#This Row],[10]])-LEN(SUBSTITUTE(Tabela1[[#This Row],[10]],",",""))+1,1),"")</f>
        <v/>
      </c>
      <c r="AJ152" t="str">
        <f>IF(Tabela1[[#This Row],[11]]&lt;&gt;"",IF(ISNUMBER(FIND(",",Tabela1[[#This Row],[11]])),LEN(Tabela1[[#This Row],[11]])-LEN(SUBSTITUTE(Tabela1[[#This Row],[11]],",",""))+1,1),"")</f>
        <v/>
      </c>
      <c r="AK152" t="str">
        <f>IF(Tabela1[[#This Row],[12]]&lt;&gt;"",IF(ISNUMBER(FIND(",",Tabela1[[#This Row],[12]])),LEN(Tabela1[[#This Row],[12]])-LEN(SUBSTITUTE(Tabela1[[#This Row],[12]],",",""))+1,1),"")</f>
        <v/>
      </c>
      <c r="AL152" t="str">
        <f>IF(Tabela1[[#This Row],[13]]&lt;&gt;"",IF(ISNUMBER(FIND(",",Tabela1[[#This Row],[13]])),LEN(Tabela1[[#This Row],[13]])-LEN(SUBSTITUTE(Tabela1[[#This Row],[13]],",",""))+1,1),"")</f>
        <v/>
      </c>
      <c r="AM152" t="str">
        <f>IF(Tabela1[[#This Row],[14]]&lt;&gt;"",IF(ISNUMBER(FIND(",",Tabela1[[#This Row],[14]])),LEN(Tabela1[[#This Row],[14]])-LEN(SUBSTITUTE(Tabela1[[#This Row],[14]],",",""))+1,1),"")</f>
        <v/>
      </c>
      <c r="AN152" t="str">
        <f>IF(Tabela1[[#This Row],[15]]&lt;&gt;"",IF(ISNUMBER(FIND(",",Tabela1[[#This Row],[15]])),LEN(Tabela1[[#This Row],[15]])-LEN(SUBSTITUTE(Tabela1[[#This Row],[15]],",",""))+1,1),"")</f>
        <v/>
      </c>
      <c r="AO152" t="str">
        <f>IF(Tabela1[[#This Row],[16]]&lt;&gt;"",IF(ISNUMBER(FIND(",",Tabela1[[#This Row],[16]])),LEN(Tabela1[[#This Row],[16]])-LEN(SUBSTITUTE(Tabela1[[#This Row],[16]],",",""))+1,1),"")</f>
        <v/>
      </c>
      <c r="AP152" t="str">
        <f>IF(Tabela1[[#This Row],[17]]&lt;&gt;"",IF(ISNUMBER(FIND(",",Tabela1[[#This Row],[17]])),LEN(Tabela1[[#This Row],[17]])-LEN(SUBSTITUTE(Tabela1[[#This Row],[17]],",",""))+1,1),"")</f>
        <v/>
      </c>
      <c r="AQ152" t="str">
        <f>IF(Tabela1[[#This Row],[18]]&lt;&gt;"",IF(ISNUMBER(FIND(",",Tabela1[[#This Row],[18]])),LEN(Tabela1[[#This Row],[18]])-LEN(SUBSTITUTE(Tabela1[[#This Row],[18]],",",""))+1,1),"")</f>
        <v/>
      </c>
      <c r="AR152" s="13" t="str">
        <f>IF(Tabela1[[#This Row],[19_LENGTH]]&lt;&gt;"",IF(ISNUMBER(FIND(",",Tabela1[[#This Row],[19_LENGTH]])),LEN(Tabela1[[#This Row],[19_LENGTH]])-LEN(SUBSTITUTE(Tabela1[[#This Row],[19_LENGTH]],",",""))+1,1),"")</f>
        <v/>
      </c>
      <c r="AS152" s="21">
        <f>SUM(Tabela1[[#This Row],[1_]:[19_]])</f>
        <v>2</v>
      </c>
    </row>
    <row r="153" spans="1:45" x14ac:dyDescent="0.25">
      <c r="A153" s="27" t="s">
        <v>1319</v>
      </c>
      <c r="B153" s="19" t="s">
        <v>724</v>
      </c>
      <c r="C153" s="19">
        <v>202</v>
      </c>
      <c r="D153" s="19" t="s">
        <v>1299</v>
      </c>
      <c r="E153" s="20">
        <v>43453</v>
      </c>
      <c r="F153" s="19"/>
      <c r="G153" s="19"/>
      <c r="H153" s="19"/>
      <c r="I153" s="19"/>
      <c r="J153" s="19"/>
      <c r="K153" s="19"/>
      <c r="L153" s="19"/>
      <c r="M153" s="19"/>
      <c r="N153" s="19"/>
      <c r="O153" s="19"/>
      <c r="P153" s="19"/>
      <c r="Q153" s="19"/>
      <c r="R153" s="19"/>
      <c r="S153" s="19"/>
      <c r="T153" s="19"/>
      <c r="U153" s="19">
        <v>140</v>
      </c>
      <c r="V153" s="19"/>
      <c r="W153" s="19"/>
      <c r="X153" s="19"/>
      <c r="Y153" s="19"/>
      <c r="Z153" t="str">
        <f>IF(Tabela1[[#This Row],[1]]&lt;&gt;"",IF(ISNUMBER(FIND(",",Tabela1[[#This Row],[1]])),LEN(Tabela1[[#This Row],[1]])-LEN(SUBSTITUTE(Tabela1[[#This Row],[1]],",",""))+1,1),"")</f>
        <v/>
      </c>
      <c r="AA153" t="str">
        <f>IF(Tabela1[[#This Row],[2]]&lt;&gt;"",IF(ISNUMBER(FIND(",",Tabela1[[#This Row],[2]])),LEN(Tabela1[[#This Row],[2]])-LEN(SUBSTITUTE(Tabela1[[#This Row],[2]],",",""))+1,1),"")</f>
        <v/>
      </c>
      <c r="AB153" t="str">
        <f>IF(Tabela1[[#This Row],[3]]&lt;&gt;"",IF(ISNUMBER(FIND(",",Tabela1[[#This Row],[3]])),LEN(Tabela1[[#This Row],[3]])-LEN(SUBSTITUTE(Tabela1[[#This Row],[3]],",",""))+1,1),"")</f>
        <v/>
      </c>
      <c r="AC153" t="str">
        <f>IF(Tabela1[[#This Row],[4]]&lt;&gt;"",IF(ISNUMBER(FIND(",",Tabela1[[#This Row],[4]])),LEN(Tabela1[[#This Row],[4]])-LEN(SUBSTITUTE(Tabela1[[#This Row],[4]],",",""))+1,1),"")</f>
        <v/>
      </c>
      <c r="AD153" t="str">
        <f>IF(Tabela1[[#This Row],[5]]&lt;&gt;"",IF(ISNUMBER(FIND(",",Tabela1[[#This Row],[5]])),LEN(Tabela1[[#This Row],[5]])-LEN(SUBSTITUTE(Tabela1[[#This Row],[5]],",",""))+1,1),"")</f>
        <v/>
      </c>
      <c r="AE153" t="str">
        <f>IF(Tabela1[[#This Row],[6]]&lt;&gt;"",IF(ISNUMBER(FIND(",",Tabela1[[#This Row],[6]])),LEN(Tabela1[[#This Row],[6]])-LEN(SUBSTITUTE(Tabela1[[#This Row],[6]],",",""))+1,1),"")</f>
        <v/>
      </c>
      <c r="AF153" t="str">
        <f>IF(Tabela1[[#This Row],[7]]&lt;&gt;"",IF(ISNUMBER(FIND(",",Tabela1[[#This Row],[7]])),LEN(Tabela1[[#This Row],[7]])-LEN(SUBSTITUTE(Tabela1[[#This Row],[7]],",",""))+1,1),"")</f>
        <v/>
      </c>
      <c r="AG153" t="str">
        <f>IF(Tabela1[[#This Row],[8]]&lt;&gt;"",IF(ISNUMBER(FIND(",",Tabela1[[#This Row],[8]])),LEN(Tabela1[[#This Row],[8]])-LEN(SUBSTITUTE(Tabela1[[#This Row],[8]],",",""))+1,1),"")</f>
        <v/>
      </c>
      <c r="AH153" t="str">
        <f>IF(Tabela1[[#This Row],[9]]&lt;&gt;"",IF(ISNUMBER(FIND(",",Tabela1[[#This Row],[9]])),LEN(Tabela1[[#This Row],[9]])-LEN(SUBSTITUTE(Tabela1[[#This Row],[9]],",",""))+1,1),"")</f>
        <v/>
      </c>
      <c r="AI153" t="str">
        <f>IF(Tabela1[[#This Row],[10]]&lt;&gt;"",IF(ISNUMBER(FIND(",",Tabela1[[#This Row],[10]])),LEN(Tabela1[[#This Row],[10]])-LEN(SUBSTITUTE(Tabela1[[#This Row],[10]],",",""))+1,1),"")</f>
        <v/>
      </c>
      <c r="AJ153" t="str">
        <f>IF(Tabela1[[#This Row],[11]]&lt;&gt;"",IF(ISNUMBER(FIND(",",Tabela1[[#This Row],[11]])),LEN(Tabela1[[#This Row],[11]])-LEN(SUBSTITUTE(Tabela1[[#This Row],[11]],",",""))+1,1),"")</f>
        <v/>
      </c>
      <c r="AK153" t="str">
        <f>IF(Tabela1[[#This Row],[12]]&lt;&gt;"",IF(ISNUMBER(FIND(",",Tabela1[[#This Row],[12]])),LEN(Tabela1[[#This Row],[12]])-LEN(SUBSTITUTE(Tabela1[[#This Row],[12]],",",""))+1,1),"")</f>
        <v/>
      </c>
      <c r="AL153" t="str">
        <f>IF(Tabela1[[#This Row],[13]]&lt;&gt;"",IF(ISNUMBER(FIND(",",Tabela1[[#This Row],[13]])),LEN(Tabela1[[#This Row],[13]])-LEN(SUBSTITUTE(Tabela1[[#This Row],[13]],",",""))+1,1),"")</f>
        <v/>
      </c>
      <c r="AM153" t="str">
        <f>IF(Tabela1[[#This Row],[14]]&lt;&gt;"",IF(ISNUMBER(FIND(",",Tabela1[[#This Row],[14]])),LEN(Tabela1[[#This Row],[14]])-LEN(SUBSTITUTE(Tabela1[[#This Row],[14]],",",""))+1,1),"")</f>
        <v/>
      </c>
      <c r="AN153" t="str">
        <f>IF(Tabela1[[#This Row],[15]]&lt;&gt;"",IF(ISNUMBER(FIND(",",Tabela1[[#This Row],[15]])),LEN(Tabela1[[#This Row],[15]])-LEN(SUBSTITUTE(Tabela1[[#This Row],[15]],",",""))+1,1),"")</f>
        <v/>
      </c>
      <c r="AO153">
        <f>IF(Tabela1[[#This Row],[16]]&lt;&gt;"",IF(ISNUMBER(FIND(",",Tabela1[[#This Row],[16]])),LEN(Tabela1[[#This Row],[16]])-LEN(SUBSTITUTE(Tabela1[[#This Row],[16]],",",""))+1,1),"")</f>
        <v>1</v>
      </c>
      <c r="AP153" t="str">
        <f>IF(Tabela1[[#This Row],[17]]&lt;&gt;"",IF(ISNUMBER(FIND(",",Tabela1[[#This Row],[17]])),LEN(Tabela1[[#This Row],[17]])-LEN(SUBSTITUTE(Tabela1[[#This Row],[17]],",",""))+1,1),"")</f>
        <v/>
      </c>
      <c r="AQ153" t="str">
        <f>IF(Tabela1[[#This Row],[18]]&lt;&gt;"",IF(ISNUMBER(FIND(",",Tabela1[[#This Row],[18]])),LEN(Tabela1[[#This Row],[18]])-LEN(SUBSTITUTE(Tabela1[[#This Row],[18]],",",""))+1,1),"")</f>
        <v/>
      </c>
      <c r="AR153" s="13" t="str">
        <f>IF(Tabela1[[#This Row],[19_LENGTH]]&lt;&gt;"",IF(ISNUMBER(FIND(",",Tabela1[[#This Row],[19_LENGTH]])),LEN(Tabela1[[#This Row],[19_LENGTH]])-LEN(SUBSTITUTE(Tabela1[[#This Row],[19_LENGTH]],",",""))+1,1),"")</f>
        <v/>
      </c>
      <c r="AS153" s="21">
        <f>SUM(Tabela1[[#This Row],[1_]:[19_]])</f>
        <v>1</v>
      </c>
    </row>
    <row r="154" spans="1:45" x14ac:dyDescent="0.25">
      <c r="A154" s="27" t="s">
        <v>1319</v>
      </c>
      <c r="B154" s="19" t="s">
        <v>372</v>
      </c>
      <c r="C154" s="19">
        <v>202</v>
      </c>
      <c r="D154" s="19" t="s">
        <v>1297</v>
      </c>
      <c r="E154" s="20">
        <v>43453</v>
      </c>
      <c r="F154" s="19"/>
      <c r="G154" s="19"/>
      <c r="H154" s="19"/>
      <c r="I154" s="19">
        <v>10</v>
      </c>
      <c r="J154" s="19"/>
      <c r="K154" s="19"/>
      <c r="L154" s="19"/>
      <c r="M154" s="19"/>
      <c r="N154" s="19"/>
      <c r="O154" s="19"/>
      <c r="P154" s="19"/>
      <c r="Q154" s="19"/>
      <c r="R154" s="19"/>
      <c r="S154" s="19"/>
      <c r="T154" s="19"/>
      <c r="U154" s="19"/>
      <c r="V154" s="19"/>
      <c r="W154" s="19"/>
      <c r="X154" s="19"/>
      <c r="Y154" s="19"/>
      <c r="Z154" t="str">
        <f>IF(Tabela1[[#This Row],[1]]&lt;&gt;"",IF(ISNUMBER(FIND(",",Tabela1[[#This Row],[1]])),LEN(Tabela1[[#This Row],[1]])-LEN(SUBSTITUTE(Tabela1[[#This Row],[1]],",",""))+1,1),"")</f>
        <v/>
      </c>
      <c r="AA154" t="str">
        <f>IF(Tabela1[[#This Row],[2]]&lt;&gt;"",IF(ISNUMBER(FIND(",",Tabela1[[#This Row],[2]])),LEN(Tabela1[[#This Row],[2]])-LEN(SUBSTITUTE(Tabela1[[#This Row],[2]],",",""))+1,1),"")</f>
        <v/>
      </c>
      <c r="AB154" t="str">
        <f>IF(Tabela1[[#This Row],[3]]&lt;&gt;"",IF(ISNUMBER(FIND(",",Tabela1[[#This Row],[3]])),LEN(Tabela1[[#This Row],[3]])-LEN(SUBSTITUTE(Tabela1[[#This Row],[3]],",",""))+1,1),"")</f>
        <v/>
      </c>
      <c r="AC154">
        <f>IF(Tabela1[[#This Row],[4]]&lt;&gt;"",IF(ISNUMBER(FIND(",",Tabela1[[#This Row],[4]])),LEN(Tabela1[[#This Row],[4]])-LEN(SUBSTITUTE(Tabela1[[#This Row],[4]],",",""))+1,1),"")</f>
        <v>1</v>
      </c>
      <c r="AD154" t="str">
        <f>IF(Tabela1[[#This Row],[5]]&lt;&gt;"",IF(ISNUMBER(FIND(",",Tabela1[[#This Row],[5]])),LEN(Tabela1[[#This Row],[5]])-LEN(SUBSTITUTE(Tabela1[[#This Row],[5]],",",""))+1,1),"")</f>
        <v/>
      </c>
      <c r="AE154" t="str">
        <f>IF(Tabela1[[#This Row],[6]]&lt;&gt;"",IF(ISNUMBER(FIND(",",Tabela1[[#This Row],[6]])),LEN(Tabela1[[#This Row],[6]])-LEN(SUBSTITUTE(Tabela1[[#This Row],[6]],",",""))+1,1),"")</f>
        <v/>
      </c>
      <c r="AF154" t="str">
        <f>IF(Tabela1[[#This Row],[7]]&lt;&gt;"",IF(ISNUMBER(FIND(",",Tabela1[[#This Row],[7]])),LEN(Tabela1[[#This Row],[7]])-LEN(SUBSTITUTE(Tabela1[[#This Row],[7]],",",""))+1,1),"")</f>
        <v/>
      </c>
      <c r="AG154" t="str">
        <f>IF(Tabela1[[#This Row],[8]]&lt;&gt;"",IF(ISNUMBER(FIND(",",Tabela1[[#This Row],[8]])),LEN(Tabela1[[#This Row],[8]])-LEN(SUBSTITUTE(Tabela1[[#This Row],[8]],",",""))+1,1),"")</f>
        <v/>
      </c>
      <c r="AH154" t="str">
        <f>IF(Tabela1[[#This Row],[9]]&lt;&gt;"",IF(ISNUMBER(FIND(",",Tabela1[[#This Row],[9]])),LEN(Tabela1[[#This Row],[9]])-LEN(SUBSTITUTE(Tabela1[[#This Row],[9]],",",""))+1,1),"")</f>
        <v/>
      </c>
      <c r="AI154" t="str">
        <f>IF(Tabela1[[#This Row],[10]]&lt;&gt;"",IF(ISNUMBER(FIND(",",Tabela1[[#This Row],[10]])),LEN(Tabela1[[#This Row],[10]])-LEN(SUBSTITUTE(Tabela1[[#This Row],[10]],",",""))+1,1),"")</f>
        <v/>
      </c>
      <c r="AJ154" t="str">
        <f>IF(Tabela1[[#This Row],[11]]&lt;&gt;"",IF(ISNUMBER(FIND(",",Tabela1[[#This Row],[11]])),LEN(Tabela1[[#This Row],[11]])-LEN(SUBSTITUTE(Tabela1[[#This Row],[11]],",",""))+1,1),"")</f>
        <v/>
      </c>
      <c r="AK154" t="str">
        <f>IF(Tabela1[[#This Row],[12]]&lt;&gt;"",IF(ISNUMBER(FIND(",",Tabela1[[#This Row],[12]])),LEN(Tabela1[[#This Row],[12]])-LEN(SUBSTITUTE(Tabela1[[#This Row],[12]],",",""))+1,1),"")</f>
        <v/>
      </c>
      <c r="AL154" t="str">
        <f>IF(Tabela1[[#This Row],[13]]&lt;&gt;"",IF(ISNUMBER(FIND(",",Tabela1[[#This Row],[13]])),LEN(Tabela1[[#This Row],[13]])-LEN(SUBSTITUTE(Tabela1[[#This Row],[13]],",",""))+1,1),"")</f>
        <v/>
      </c>
      <c r="AM154" t="str">
        <f>IF(Tabela1[[#This Row],[14]]&lt;&gt;"",IF(ISNUMBER(FIND(",",Tabela1[[#This Row],[14]])),LEN(Tabela1[[#This Row],[14]])-LEN(SUBSTITUTE(Tabela1[[#This Row],[14]],",",""))+1,1),"")</f>
        <v/>
      </c>
      <c r="AN154" t="str">
        <f>IF(Tabela1[[#This Row],[15]]&lt;&gt;"",IF(ISNUMBER(FIND(",",Tabela1[[#This Row],[15]])),LEN(Tabela1[[#This Row],[15]])-LEN(SUBSTITUTE(Tabela1[[#This Row],[15]],",",""))+1,1),"")</f>
        <v/>
      </c>
      <c r="AO154" t="str">
        <f>IF(Tabela1[[#This Row],[16]]&lt;&gt;"",IF(ISNUMBER(FIND(",",Tabela1[[#This Row],[16]])),LEN(Tabela1[[#This Row],[16]])-LEN(SUBSTITUTE(Tabela1[[#This Row],[16]],",",""))+1,1),"")</f>
        <v/>
      </c>
      <c r="AP154" t="str">
        <f>IF(Tabela1[[#This Row],[17]]&lt;&gt;"",IF(ISNUMBER(FIND(",",Tabela1[[#This Row],[17]])),LEN(Tabela1[[#This Row],[17]])-LEN(SUBSTITUTE(Tabela1[[#This Row],[17]],",",""))+1,1),"")</f>
        <v/>
      </c>
      <c r="AQ154" t="str">
        <f>IF(Tabela1[[#This Row],[18]]&lt;&gt;"",IF(ISNUMBER(FIND(",",Tabela1[[#This Row],[18]])),LEN(Tabela1[[#This Row],[18]])-LEN(SUBSTITUTE(Tabela1[[#This Row],[18]],",",""))+1,1),"")</f>
        <v/>
      </c>
      <c r="AR154" s="13" t="str">
        <f>IF(Tabela1[[#This Row],[19_LENGTH]]&lt;&gt;"",IF(ISNUMBER(FIND(",",Tabela1[[#This Row],[19_LENGTH]])),LEN(Tabela1[[#This Row],[19_LENGTH]])-LEN(SUBSTITUTE(Tabela1[[#This Row],[19_LENGTH]],",",""))+1,1),"")</f>
        <v/>
      </c>
      <c r="AS154" s="21">
        <f>SUM(Tabela1[[#This Row],[1_]:[19_]])</f>
        <v>1</v>
      </c>
    </row>
    <row r="155" spans="1:45" x14ac:dyDescent="0.25">
      <c r="A155" s="27" t="s">
        <v>1319</v>
      </c>
      <c r="B155" s="19" t="s">
        <v>725</v>
      </c>
      <c r="C155" s="19">
        <v>194</v>
      </c>
      <c r="D155" s="19" t="s">
        <v>1301</v>
      </c>
      <c r="E155" s="20">
        <v>43453</v>
      </c>
      <c r="F155" s="19"/>
      <c r="G155" s="19"/>
      <c r="H155" s="19"/>
      <c r="I155" s="19" t="s">
        <v>61</v>
      </c>
      <c r="J155" s="19"/>
      <c r="K155" s="19">
        <v>30</v>
      </c>
      <c r="L155" s="19"/>
      <c r="M155" s="19"/>
      <c r="N155" s="19"/>
      <c r="O155" s="19"/>
      <c r="P155" s="19"/>
      <c r="Q155" s="19"/>
      <c r="R155" s="19"/>
      <c r="S155" s="19"/>
      <c r="T155" s="19"/>
      <c r="U155" s="19"/>
      <c r="V155" s="19"/>
      <c r="W155" s="19"/>
      <c r="X155" s="19"/>
      <c r="Y155" s="19"/>
      <c r="Z155" t="str">
        <f>IF(Tabela1[[#This Row],[1]]&lt;&gt;"",IF(ISNUMBER(FIND(",",Tabela1[[#This Row],[1]])),LEN(Tabela1[[#This Row],[1]])-LEN(SUBSTITUTE(Tabela1[[#This Row],[1]],",",""))+1,1),"")</f>
        <v/>
      </c>
      <c r="AA155" t="str">
        <f>IF(Tabela1[[#This Row],[2]]&lt;&gt;"",IF(ISNUMBER(FIND(",",Tabela1[[#This Row],[2]])),LEN(Tabela1[[#This Row],[2]])-LEN(SUBSTITUTE(Tabela1[[#This Row],[2]],",",""))+1,1),"")</f>
        <v/>
      </c>
      <c r="AB155" t="str">
        <f>IF(Tabela1[[#This Row],[3]]&lt;&gt;"",IF(ISNUMBER(FIND(",",Tabela1[[#This Row],[3]])),LEN(Tabela1[[#This Row],[3]])-LEN(SUBSTITUTE(Tabela1[[#This Row],[3]],",",""))+1,1),"")</f>
        <v/>
      </c>
      <c r="AC155">
        <f>IF(Tabela1[[#This Row],[4]]&lt;&gt;"",IF(ISNUMBER(FIND(",",Tabela1[[#This Row],[4]])),LEN(Tabela1[[#This Row],[4]])-LEN(SUBSTITUTE(Tabela1[[#This Row],[4]],",",""))+1,1),"")</f>
        <v>3</v>
      </c>
      <c r="AD155" t="str">
        <f>IF(Tabela1[[#This Row],[5]]&lt;&gt;"",IF(ISNUMBER(FIND(",",Tabela1[[#This Row],[5]])),LEN(Tabela1[[#This Row],[5]])-LEN(SUBSTITUTE(Tabela1[[#This Row],[5]],",",""))+1,1),"")</f>
        <v/>
      </c>
      <c r="AE155">
        <f>IF(Tabela1[[#This Row],[6]]&lt;&gt;"",IF(ISNUMBER(FIND(",",Tabela1[[#This Row],[6]])),LEN(Tabela1[[#This Row],[6]])-LEN(SUBSTITUTE(Tabela1[[#This Row],[6]],",",""))+1,1),"")</f>
        <v>1</v>
      </c>
      <c r="AF155" t="str">
        <f>IF(Tabela1[[#This Row],[7]]&lt;&gt;"",IF(ISNUMBER(FIND(",",Tabela1[[#This Row],[7]])),LEN(Tabela1[[#This Row],[7]])-LEN(SUBSTITUTE(Tabela1[[#This Row],[7]],",",""))+1,1),"")</f>
        <v/>
      </c>
      <c r="AG155" t="str">
        <f>IF(Tabela1[[#This Row],[8]]&lt;&gt;"",IF(ISNUMBER(FIND(",",Tabela1[[#This Row],[8]])),LEN(Tabela1[[#This Row],[8]])-LEN(SUBSTITUTE(Tabela1[[#This Row],[8]],",",""))+1,1),"")</f>
        <v/>
      </c>
      <c r="AH155" t="str">
        <f>IF(Tabela1[[#This Row],[9]]&lt;&gt;"",IF(ISNUMBER(FIND(",",Tabela1[[#This Row],[9]])),LEN(Tabela1[[#This Row],[9]])-LEN(SUBSTITUTE(Tabela1[[#This Row],[9]],",",""))+1,1),"")</f>
        <v/>
      </c>
      <c r="AI155" t="str">
        <f>IF(Tabela1[[#This Row],[10]]&lt;&gt;"",IF(ISNUMBER(FIND(",",Tabela1[[#This Row],[10]])),LEN(Tabela1[[#This Row],[10]])-LEN(SUBSTITUTE(Tabela1[[#This Row],[10]],",",""))+1,1),"")</f>
        <v/>
      </c>
      <c r="AJ155" t="str">
        <f>IF(Tabela1[[#This Row],[11]]&lt;&gt;"",IF(ISNUMBER(FIND(",",Tabela1[[#This Row],[11]])),LEN(Tabela1[[#This Row],[11]])-LEN(SUBSTITUTE(Tabela1[[#This Row],[11]],",",""))+1,1),"")</f>
        <v/>
      </c>
      <c r="AK155" t="str">
        <f>IF(Tabela1[[#This Row],[12]]&lt;&gt;"",IF(ISNUMBER(FIND(",",Tabela1[[#This Row],[12]])),LEN(Tabela1[[#This Row],[12]])-LEN(SUBSTITUTE(Tabela1[[#This Row],[12]],",",""))+1,1),"")</f>
        <v/>
      </c>
      <c r="AL155" t="str">
        <f>IF(Tabela1[[#This Row],[13]]&lt;&gt;"",IF(ISNUMBER(FIND(",",Tabela1[[#This Row],[13]])),LEN(Tabela1[[#This Row],[13]])-LEN(SUBSTITUTE(Tabela1[[#This Row],[13]],",",""))+1,1),"")</f>
        <v/>
      </c>
      <c r="AM155" t="str">
        <f>IF(Tabela1[[#This Row],[14]]&lt;&gt;"",IF(ISNUMBER(FIND(",",Tabela1[[#This Row],[14]])),LEN(Tabela1[[#This Row],[14]])-LEN(SUBSTITUTE(Tabela1[[#This Row],[14]],",",""))+1,1),"")</f>
        <v/>
      </c>
      <c r="AN155" t="str">
        <f>IF(Tabela1[[#This Row],[15]]&lt;&gt;"",IF(ISNUMBER(FIND(",",Tabela1[[#This Row],[15]])),LEN(Tabela1[[#This Row],[15]])-LEN(SUBSTITUTE(Tabela1[[#This Row],[15]],",",""))+1,1),"")</f>
        <v/>
      </c>
      <c r="AO155" t="str">
        <f>IF(Tabela1[[#This Row],[16]]&lt;&gt;"",IF(ISNUMBER(FIND(",",Tabela1[[#This Row],[16]])),LEN(Tabela1[[#This Row],[16]])-LEN(SUBSTITUTE(Tabela1[[#This Row],[16]],",",""))+1,1),"")</f>
        <v/>
      </c>
      <c r="AP155" t="str">
        <f>IF(Tabela1[[#This Row],[17]]&lt;&gt;"",IF(ISNUMBER(FIND(",",Tabela1[[#This Row],[17]])),LEN(Tabela1[[#This Row],[17]])-LEN(SUBSTITUTE(Tabela1[[#This Row],[17]],",",""))+1,1),"")</f>
        <v/>
      </c>
      <c r="AQ155" t="str">
        <f>IF(Tabela1[[#This Row],[18]]&lt;&gt;"",IF(ISNUMBER(FIND(",",Tabela1[[#This Row],[18]])),LEN(Tabela1[[#This Row],[18]])-LEN(SUBSTITUTE(Tabela1[[#This Row],[18]],",",""))+1,1),"")</f>
        <v/>
      </c>
      <c r="AR155" s="13" t="str">
        <f>IF(Tabela1[[#This Row],[19_LENGTH]]&lt;&gt;"",IF(ISNUMBER(FIND(",",Tabela1[[#This Row],[19_LENGTH]])),LEN(Tabela1[[#This Row],[19_LENGTH]])-LEN(SUBSTITUTE(Tabela1[[#This Row],[19_LENGTH]],",",""))+1,1),"")</f>
        <v/>
      </c>
      <c r="AS155" s="21">
        <f>SUM(Tabela1[[#This Row],[1_]:[19_]])</f>
        <v>4</v>
      </c>
    </row>
    <row r="156" spans="1:45" x14ac:dyDescent="0.25">
      <c r="A156" s="27" t="s">
        <v>1319</v>
      </c>
      <c r="B156" s="19" t="s">
        <v>726</v>
      </c>
      <c r="C156" s="19">
        <v>202</v>
      </c>
      <c r="D156" s="19" t="s">
        <v>1301</v>
      </c>
      <c r="E156" s="20">
        <v>43453</v>
      </c>
      <c r="F156" s="19"/>
      <c r="G156" s="19"/>
      <c r="H156" s="19"/>
      <c r="I156" s="19">
        <v>182</v>
      </c>
      <c r="J156" s="19"/>
      <c r="K156" s="19"/>
      <c r="L156" s="19"/>
      <c r="M156" s="19"/>
      <c r="N156" s="19"/>
      <c r="O156" s="19"/>
      <c r="P156" s="19"/>
      <c r="Q156" s="19"/>
      <c r="R156" s="19"/>
      <c r="S156" s="19"/>
      <c r="T156" s="19"/>
      <c r="U156" s="19">
        <v>113</v>
      </c>
      <c r="V156" s="19">
        <v>72</v>
      </c>
      <c r="W156" s="19"/>
      <c r="X156" s="19"/>
      <c r="Y156" s="19"/>
      <c r="Z156" t="str">
        <f>IF(Tabela1[[#This Row],[1]]&lt;&gt;"",IF(ISNUMBER(FIND(",",Tabela1[[#This Row],[1]])),LEN(Tabela1[[#This Row],[1]])-LEN(SUBSTITUTE(Tabela1[[#This Row],[1]],",",""))+1,1),"")</f>
        <v/>
      </c>
      <c r="AA156" t="str">
        <f>IF(Tabela1[[#This Row],[2]]&lt;&gt;"",IF(ISNUMBER(FIND(",",Tabela1[[#This Row],[2]])),LEN(Tabela1[[#This Row],[2]])-LEN(SUBSTITUTE(Tabela1[[#This Row],[2]],",",""))+1,1),"")</f>
        <v/>
      </c>
      <c r="AB156" t="str">
        <f>IF(Tabela1[[#This Row],[3]]&lt;&gt;"",IF(ISNUMBER(FIND(",",Tabela1[[#This Row],[3]])),LEN(Tabela1[[#This Row],[3]])-LEN(SUBSTITUTE(Tabela1[[#This Row],[3]],",",""))+1,1),"")</f>
        <v/>
      </c>
      <c r="AC156">
        <f>IF(Tabela1[[#This Row],[4]]&lt;&gt;"",IF(ISNUMBER(FIND(",",Tabela1[[#This Row],[4]])),LEN(Tabela1[[#This Row],[4]])-LEN(SUBSTITUTE(Tabela1[[#This Row],[4]],",",""))+1,1),"")</f>
        <v>1</v>
      </c>
      <c r="AD156" t="str">
        <f>IF(Tabela1[[#This Row],[5]]&lt;&gt;"",IF(ISNUMBER(FIND(",",Tabela1[[#This Row],[5]])),LEN(Tabela1[[#This Row],[5]])-LEN(SUBSTITUTE(Tabela1[[#This Row],[5]],",",""))+1,1),"")</f>
        <v/>
      </c>
      <c r="AE156" t="str">
        <f>IF(Tabela1[[#This Row],[6]]&lt;&gt;"",IF(ISNUMBER(FIND(",",Tabela1[[#This Row],[6]])),LEN(Tabela1[[#This Row],[6]])-LEN(SUBSTITUTE(Tabela1[[#This Row],[6]],",",""))+1,1),"")</f>
        <v/>
      </c>
      <c r="AF156" t="str">
        <f>IF(Tabela1[[#This Row],[7]]&lt;&gt;"",IF(ISNUMBER(FIND(",",Tabela1[[#This Row],[7]])),LEN(Tabela1[[#This Row],[7]])-LEN(SUBSTITUTE(Tabela1[[#This Row],[7]],",",""))+1,1),"")</f>
        <v/>
      </c>
      <c r="AG156" t="str">
        <f>IF(Tabela1[[#This Row],[8]]&lt;&gt;"",IF(ISNUMBER(FIND(",",Tabela1[[#This Row],[8]])),LEN(Tabela1[[#This Row],[8]])-LEN(SUBSTITUTE(Tabela1[[#This Row],[8]],",",""))+1,1),"")</f>
        <v/>
      </c>
      <c r="AH156" t="str">
        <f>IF(Tabela1[[#This Row],[9]]&lt;&gt;"",IF(ISNUMBER(FIND(",",Tabela1[[#This Row],[9]])),LEN(Tabela1[[#This Row],[9]])-LEN(SUBSTITUTE(Tabela1[[#This Row],[9]],",",""))+1,1),"")</f>
        <v/>
      </c>
      <c r="AI156" t="str">
        <f>IF(Tabela1[[#This Row],[10]]&lt;&gt;"",IF(ISNUMBER(FIND(",",Tabela1[[#This Row],[10]])),LEN(Tabela1[[#This Row],[10]])-LEN(SUBSTITUTE(Tabela1[[#This Row],[10]],",",""))+1,1),"")</f>
        <v/>
      </c>
      <c r="AJ156" t="str">
        <f>IF(Tabela1[[#This Row],[11]]&lt;&gt;"",IF(ISNUMBER(FIND(",",Tabela1[[#This Row],[11]])),LEN(Tabela1[[#This Row],[11]])-LEN(SUBSTITUTE(Tabela1[[#This Row],[11]],",",""))+1,1),"")</f>
        <v/>
      </c>
      <c r="AK156" t="str">
        <f>IF(Tabela1[[#This Row],[12]]&lt;&gt;"",IF(ISNUMBER(FIND(",",Tabela1[[#This Row],[12]])),LEN(Tabela1[[#This Row],[12]])-LEN(SUBSTITUTE(Tabela1[[#This Row],[12]],",",""))+1,1),"")</f>
        <v/>
      </c>
      <c r="AL156" t="str">
        <f>IF(Tabela1[[#This Row],[13]]&lt;&gt;"",IF(ISNUMBER(FIND(",",Tabela1[[#This Row],[13]])),LEN(Tabela1[[#This Row],[13]])-LEN(SUBSTITUTE(Tabela1[[#This Row],[13]],",",""))+1,1),"")</f>
        <v/>
      </c>
      <c r="AM156" t="str">
        <f>IF(Tabela1[[#This Row],[14]]&lt;&gt;"",IF(ISNUMBER(FIND(",",Tabela1[[#This Row],[14]])),LEN(Tabela1[[#This Row],[14]])-LEN(SUBSTITUTE(Tabela1[[#This Row],[14]],",",""))+1,1),"")</f>
        <v/>
      </c>
      <c r="AN156" t="str">
        <f>IF(Tabela1[[#This Row],[15]]&lt;&gt;"",IF(ISNUMBER(FIND(",",Tabela1[[#This Row],[15]])),LEN(Tabela1[[#This Row],[15]])-LEN(SUBSTITUTE(Tabela1[[#This Row],[15]],",",""))+1,1),"")</f>
        <v/>
      </c>
      <c r="AO156">
        <f>IF(Tabela1[[#This Row],[16]]&lt;&gt;"",IF(ISNUMBER(FIND(",",Tabela1[[#This Row],[16]])),LEN(Tabela1[[#This Row],[16]])-LEN(SUBSTITUTE(Tabela1[[#This Row],[16]],",",""))+1,1),"")</f>
        <v>1</v>
      </c>
      <c r="AP156">
        <f>IF(Tabela1[[#This Row],[17]]&lt;&gt;"",IF(ISNUMBER(FIND(",",Tabela1[[#This Row],[17]])),LEN(Tabela1[[#This Row],[17]])-LEN(SUBSTITUTE(Tabela1[[#This Row],[17]],",",""))+1,1),"")</f>
        <v>1</v>
      </c>
      <c r="AQ156" t="str">
        <f>IF(Tabela1[[#This Row],[18]]&lt;&gt;"",IF(ISNUMBER(FIND(",",Tabela1[[#This Row],[18]])),LEN(Tabela1[[#This Row],[18]])-LEN(SUBSTITUTE(Tabela1[[#This Row],[18]],",",""))+1,1),"")</f>
        <v/>
      </c>
      <c r="AR156" s="13" t="str">
        <f>IF(Tabela1[[#This Row],[19_LENGTH]]&lt;&gt;"",IF(ISNUMBER(FIND(",",Tabela1[[#This Row],[19_LENGTH]])),LEN(Tabela1[[#This Row],[19_LENGTH]])-LEN(SUBSTITUTE(Tabela1[[#This Row],[19_LENGTH]],",",""))+1,1),"")</f>
        <v/>
      </c>
      <c r="AS156" s="21">
        <f>SUM(Tabela1[[#This Row],[1_]:[19_]])</f>
        <v>3</v>
      </c>
    </row>
    <row r="157" spans="1:45" x14ac:dyDescent="0.25">
      <c r="A157" s="27" t="s">
        <v>1319</v>
      </c>
      <c r="B157" s="19" t="s">
        <v>727</v>
      </c>
      <c r="C157" s="19">
        <v>202</v>
      </c>
      <c r="D157" s="19" t="s">
        <v>1301</v>
      </c>
      <c r="E157" s="20">
        <v>43453</v>
      </c>
      <c r="F157" s="19"/>
      <c r="G157" s="19"/>
      <c r="H157" s="19">
        <v>129</v>
      </c>
      <c r="I157" s="19">
        <v>92</v>
      </c>
      <c r="J157" s="19"/>
      <c r="K157" s="19"/>
      <c r="L157" s="19"/>
      <c r="M157" s="19"/>
      <c r="N157" s="19"/>
      <c r="O157" s="19"/>
      <c r="P157" s="19"/>
      <c r="Q157" s="19"/>
      <c r="R157" s="19"/>
      <c r="S157" s="19"/>
      <c r="T157" s="19"/>
      <c r="U157" s="19"/>
      <c r="V157" s="19"/>
      <c r="W157" s="19"/>
      <c r="X157" s="19"/>
      <c r="Y157" s="19"/>
      <c r="Z157" t="str">
        <f>IF(Tabela1[[#This Row],[1]]&lt;&gt;"",IF(ISNUMBER(FIND(",",Tabela1[[#This Row],[1]])),LEN(Tabela1[[#This Row],[1]])-LEN(SUBSTITUTE(Tabela1[[#This Row],[1]],",",""))+1,1),"")</f>
        <v/>
      </c>
      <c r="AA157" t="str">
        <f>IF(Tabela1[[#This Row],[2]]&lt;&gt;"",IF(ISNUMBER(FIND(",",Tabela1[[#This Row],[2]])),LEN(Tabela1[[#This Row],[2]])-LEN(SUBSTITUTE(Tabela1[[#This Row],[2]],",",""))+1,1),"")</f>
        <v/>
      </c>
      <c r="AB157">
        <f>IF(Tabela1[[#This Row],[3]]&lt;&gt;"",IF(ISNUMBER(FIND(",",Tabela1[[#This Row],[3]])),LEN(Tabela1[[#This Row],[3]])-LEN(SUBSTITUTE(Tabela1[[#This Row],[3]],",",""))+1,1),"")</f>
        <v>1</v>
      </c>
      <c r="AC157">
        <f>IF(Tabela1[[#This Row],[4]]&lt;&gt;"",IF(ISNUMBER(FIND(",",Tabela1[[#This Row],[4]])),LEN(Tabela1[[#This Row],[4]])-LEN(SUBSTITUTE(Tabela1[[#This Row],[4]],",",""))+1,1),"")</f>
        <v>1</v>
      </c>
      <c r="AD157" t="str">
        <f>IF(Tabela1[[#This Row],[5]]&lt;&gt;"",IF(ISNUMBER(FIND(",",Tabela1[[#This Row],[5]])),LEN(Tabela1[[#This Row],[5]])-LEN(SUBSTITUTE(Tabela1[[#This Row],[5]],",",""))+1,1),"")</f>
        <v/>
      </c>
      <c r="AE157" t="str">
        <f>IF(Tabela1[[#This Row],[6]]&lt;&gt;"",IF(ISNUMBER(FIND(",",Tabela1[[#This Row],[6]])),LEN(Tabela1[[#This Row],[6]])-LEN(SUBSTITUTE(Tabela1[[#This Row],[6]],",",""))+1,1),"")</f>
        <v/>
      </c>
      <c r="AF157" t="str">
        <f>IF(Tabela1[[#This Row],[7]]&lt;&gt;"",IF(ISNUMBER(FIND(",",Tabela1[[#This Row],[7]])),LEN(Tabela1[[#This Row],[7]])-LEN(SUBSTITUTE(Tabela1[[#This Row],[7]],",",""))+1,1),"")</f>
        <v/>
      </c>
      <c r="AG157" t="str">
        <f>IF(Tabela1[[#This Row],[8]]&lt;&gt;"",IF(ISNUMBER(FIND(",",Tabela1[[#This Row],[8]])),LEN(Tabela1[[#This Row],[8]])-LEN(SUBSTITUTE(Tabela1[[#This Row],[8]],",",""))+1,1),"")</f>
        <v/>
      </c>
      <c r="AH157" t="str">
        <f>IF(Tabela1[[#This Row],[9]]&lt;&gt;"",IF(ISNUMBER(FIND(",",Tabela1[[#This Row],[9]])),LEN(Tabela1[[#This Row],[9]])-LEN(SUBSTITUTE(Tabela1[[#This Row],[9]],",",""))+1,1),"")</f>
        <v/>
      </c>
      <c r="AI157" t="str">
        <f>IF(Tabela1[[#This Row],[10]]&lt;&gt;"",IF(ISNUMBER(FIND(",",Tabela1[[#This Row],[10]])),LEN(Tabela1[[#This Row],[10]])-LEN(SUBSTITUTE(Tabela1[[#This Row],[10]],",",""))+1,1),"")</f>
        <v/>
      </c>
      <c r="AJ157" t="str">
        <f>IF(Tabela1[[#This Row],[11]]&lt;&gt;"",IF(ISNUMBER(FIND(",",Tabela1[[#This Row],[11]])),LEN(Tabela1[[#This Row],[11]])-LEN(SUBSTITUTE(Tabela1[[#This Row],[11]],",",""))+1,1),"")</f>
        <v/>
      </c>
      <c r="AK157" t="str">
        <f>IF(Tabela1[[#This Row],[12]]&lt;&gt;"",IF(ISNUMBER(FIND(",",Tabela1[[#This Row],[12]])),LEN(Tabela1[[#This Row],[12]])-LEN(SUBSTITUTE(Tabela1[[#This Row],[12]],",",""))+1,1),"")</f>
        <v/>
      </c>
      <c r="AL157" t="str">
        <f>IF(Tabela1[[#This Row],[13]]&lt;&gt;"",IF(ISNUMBER(FIND(",",Tabela1[[#This Row],[13]])),LEN(Tabela1[[#This Row],[13]])-LEN(SUBSTITUTE(Tabela1[[#This Row],[13]],",",""))+1,1),"")</f>
        <v/>
      </c>
      <c r="AM157" t="str">
        <f>IF(Tabela1[[#This Row],[14]]&lt;&gt;"",IF(ISNUMBER(FIND(",",Tabela1[[#This Row],[14]])),LEN(Tabela1[[#This Row],[14]])-LEN(SUBSTITUTE(Tabela1[[#This Row],[14]],",",""))+1,1),"")</f>
        <v/>
      </c>
      <c r="AN157" t="str">
        <f>IF(Tabela1[[#This Row],[15]]&lt;&gt;"",IF(ISNUMBER(FIND(",",Tabela1[[#This Row],[15]])),LEN(Tabela1[[#This Row],[15]])-LEN(SUBSTITUTE(Tabela1[[#This Row],[15]],",",""))+1,1),"")</f>
        <v/>
      </c>
      <c r="AO157" t="str">
        <f>IF(Tabela1[[#This Row],[16]]&lt;&gt;"",IF(ISNUMBER(FIND(",",Tabela1[[#This Row],[16]])),LEN(Tabela1[[#This Row],[16]])-LEN(SUBSTITUTE(Tabela1[[#This Row],[16]],",",""))+1,1),"")</f>
        <v/>
      </c>
      <c r="AP157" t="str">
        <f>IF(Tabela1[[#This Row],[17]]&lt;&gt;"",IF(ISNUMBER(FIND(",",Tabela1[[#This Row],[17]])),LEN(Tabela1[[#This Row],[17]])-LEN(SUBSTITUTE(Tabela1[[#This Row],[17]],",",""))+1,1),"")</f>
        <v/>
      </c>
      <c r="AQ157" t="str">
        <f>IF(Tabela1[[#This Row],[18]]&lt;&gt;"",IF(ISNUMBER(FIND(",",Tabela1[[#This Row],[18]])),LEN(Tabela1[[#This Row],[18]])-LEN(SUBSTITUTE(Tabela1[[#This Row],[18]],",",""))+1,1),"")</f>
        <v/>
      </c>
      <c r="AR157" s="13" t="str">
        <f>IF(Tabela1[[#This Row],[19_LENGTH]]&lt;&gt;"",IF(ISNUMBER(FIND(",",Tabela1[[#This Row],[19_LENGTH]])),LEN(Tabela1[[#This Row],[19_LENGTH]])-LEN(SUBSTITUTE(Tabela1[[#This Row],[19_LENGTH]],",",""))+1,1),"")</f>
        <v/>
      </c>
      <c r="AS157" s="21">
        <f>SUM(Tabela1[[#This Row],[1_]:[19_]])</f>
        <v>2</v>
      </c>
    </row>
    <row r="158" spans="1:45" x14ac:dyDescent="0.25">
      <c r="A158" s="27" t="s">
        <v>1316</v>
      </c>
      <c r="B158" s="19" t="s">
        <v>728</v>
      </c>
      <c r="C158" s="19">
        <v>196</v>
      </c>
      <c r="D158" s="19" t="s">
        <v>1296</v>
      </c>
      <c r="E158" s="20">
        <v>43453</v>
      </c>
      <c r="F158" s="19"/>
      <c r="G158" s="19"/>
      <c r="H158" s="19"/>
      <c r="I158" s="19">
        <v>93</v>
      </c>
      <c r="J158" s="19"/>
      <c r="K158" s="19"/>
      <c r="L158" s="19"/>
      <c r="M158" s="19"/>
      <c r="N158" s="19"/>
      <c r="O158" s="19"/>
      <c r="P158" s="19"/>
      <c r="Q158" s="19"/>
      <c r="R158" s="19"/>
      <c r="S158" s="19"/>
      <c r="T158" s="19"/>
      <c r="U158" s="19"/>
      <c r="V158" s="19"/>
      <c r="W158" s="19"/>
      <c r="X158" s="19"/>
      <c r="Y158" s="19"/>
      <c r="Z158" t="str">
        <f>IF(Tabela1[[#This Row],[1]]&lt;&gt;"",IF(ISNUMBER(FIND(",",Tabela1[[#This Row],[1]])),LEN(Tabela1[[#This Row],[1]])-LEN(SUBSTITUTE(Tabela1[[#This Row],[1]],",",""))+1,1),"")</f>
        <v/>
      </c>
      <c r="AA158" t="str">
        <f>IF(Tabela1[[#This Row],[2]]&lt;&gt;"",IF(ISNUMBER(FIND(",",Tabela1[[#This Row],[2]])),LEN(Tabela1[[#This Row],[2]])-LEN(SUBSTITUTE(Tabela1[[#This Row],[2]],",",""))+1,1),"")</f>
        <v/>
      </c>
      <c r="AB158" t="str">
        <f>IF(Tabela1[[#This Row],[3]]&lt;&gt;"",IF(ISNUMBER(FIND(",",Tabela1[[#This Row],[3]])),LEN(Tabela1[[#This Row],[3]])-LEN(SUBSTITUTE(Tabela1[[#This Row],[3]],",",""))+1,1),"")</f>
        <v/>
      </c>
      <c r="AC158">
        <f>IF(Tabela1[[#This Row],[4]]&lt;&gt;"",IF(ISNUMBER(FIND(",",Tabela1[[#This Row],[4]])),LEN(Tabela1[[#This Row],[4]])-LEN(SUBSTITUTE(Tabela1[[#This Row],[4]],",",""))+1,1),"")</f>
        <v>1</v>
      </c>
      <c r="AD158" t="str">
        <f>IF(Tabela1[[#This Row],[5]]&lt;&gt;"",IF(ISNUMBER(FIND(",",Tabela1[[#This Row],[5]])),LEN(Tabela1[[#This Row],[5]])-LEN(SUBSTITUTE(Tabela1[[#This Row],[5]],",",""))+1,1),"")</f>
        <v/>
      </c>
      <c r="AE158" t="str">
        <f>IF(Tabela1[[#This Row],[6]]&lt;&gt;"",IF(ISNUMBER(FIND(",",Tabela1[[#This Row],[6]])),LEN(Tabela1[[#This Row],[6]])-LEN(SUBSTITUTE(Tabela1[[#This Row],[6]],",",""))+1,1),"")</f>
        <v/>
      </c>
      <c r="AF158" t="str">
        <f>IF(Tabela1[[#This Row],[7]]&lt;&gt;"",IF(ISNUMBER(FIND(",",Tabela1[[#This Row],[7]])),LEN(Tabela1[[#This Row],[7]])-LEN(SUBSTITUTE(Tabela1[[#This Row],[7]],",",""))+1,1),"")</f>
        <v/>
      </c>
      <c r="AG158" t="str">
        <f>IF(Tabela1[[#This Row],[8]]&lt;&gt;"",IF(ISNUMBER(FIND(",",Tabela1[[#This Row],[8]])),LEN(Tabela1[[#This Row],[8]])-LEN(SUBSTITUTE(Tabela1[[#This Row],[8]],",",""))+1,1),"")</f>
        <v/>
      </c>
      <c r="AH158" t="str">
        <f>IF(Tabela1[[#This Row],[9]]&lt;&gt;"",IF(ISNUMBER(FIND(",",Tabela1[[#This Row],[9]])),LEN(Tabela1[[#This Row],[9]])-LEN(SUBSTITUTE(Tabela1[[#This Row],[9]],",",""))+1,1),"")</f>
        <v/>
      </c>
      <c r="AI158" t="str">
        <f>IF(Tabela1[[#This Row],[10]]&lt;&gt;"",IF(ISNUMBER(FIND(",",Tabela1[[#This Row],[10]])),LEN(Tabela1[[#This Row],[10]])-LEN(SUBSTITUTE(Tabela1[[#This Row],[10]],",",""))+1,1),"")</f>
        <v/>
      </c>
      <c r="AJ158" t="str">
        <f>IF(Tabela1[[#This Row],[11]]&lt;&gt;"",IF(ISNUMBER(FIND(",",Tabela1[[#This Row],[11]])),LEN(Tabela1[[#This Row],[11]])-LEN(SUBSTITUTE(Tabela1[[#This Row],[11]],",",""))+1,1),"")</f>
        <v/>
      </c>
      <c r="AK158" t="str">
        <f>IF(Tabela1[[#This Row],[12]]&lt;&gt;"",IF(ISNUMBER(FIND(",",Tabela1[[#This Row],[12]])),LEN(Tabela1[[#This Row],[12]])-LEN(SUBSTITUTE(Tabela1[[#This Row],[12]],",",""))+1,1),"")</f>
        <v/>
      </c>
      <c r="AL158" t="str">
        <f>IF(Tabela1[[#This Row],[13]]&lt;&gt;"",IF(ISNUMBER(FIND(",",Tabela1[[#This Row],[13]])),LEN(Tabela1[[#This Row],[13]])-LEN(SUBSTITUTE(Tabela1[[#This Row],[13]],",",""))+1,1),"")</f>
        <v/>
      </c>
      <c r="AM158" t="str">
        <f>IF(Tabela1[[#This Row],[14]]&lt;&gt;"",IF(ISNUMBER(FIND(",",Tabela1[[#This Row],[14]])),LEN(Tabela1[[#This Row],[14]])-LEN(SUBSTITUTE(Tabela1[[#This Row],[14]],",",""))+1,1),"")</f>
        <v/>
      </c>
      <c r="AN158" t="str">
        <f>IF(Tabela1[[#This Row],[15]]&lt;&gt;"",IF(ISNUMBER(FIND(",",Tabela1[[#This Row],[15]])),LEN(Tabela1[[#This Row],[15]])-LEN(SUBSTITUTE(Tabela1[[#This Row],[15]],",",""))+1,1),"")</f>
        <v/>
      </c>
      <c r="AO158" t="str">
        <f>IF(Tabela1[[#This Row],[16]]&lt;&gt;"",IF(ISNUMBER(FIND(",",Tabela1[[#This Row],[16]])),LEN(Tabela1[[#This Row],[16]])-LEN(SUBSTITUTE(Tabela1[[#This Row],[16]],",",""))+1,1),"")</f>
        <v/>
      </c>
      <c r="AP158" t="str">
        <f>IF(Tabela1[[#This Row],[17]]&lt;&gt;"",IF(ISNUMBER(FIND(",",Tabela1[[#This Row],[17]])),LEN(Tabela1[[#This Row],[17]])-LEN(SUBSTITUTE(Tabela1[[#This Row],[17]],",",""))+1,1),"")</f>
        <v/>
      </c>
      <c r="AQ158" t="str">
        <f>IF(Tabela1[[#This Row],[18]]&lt;&gt;"",IF(ISNUMBER(FIND(",",Tabela1[[#This Row],[18]])),LEN(Tabela1[[#This Row],[18]])-LEN(SUBSTITUTE(Tabela1[[#This Row],[18]],",",""))+1,1),"")</f>
        <v/>
      </c>
      <c r="AR158" s="13" t="str">
        <f>IF(Tabela1[[#This Row],[19_LENGTH]]&lt;&gt;"",IF(ISNUMBER(FIND(",",Tabela1[[#This Row],[19_LENGTH]])),LEN(Tabela1[[#This Row],[19_LENGTH]])-LEN(SUBSTITUTE(Tabela1[[#This Row],[19_LENGTH]],",",""))+1,1),"")</f>
        <v/>
      </c>
      <c r="AS158" s="21">
        <f>SUM(Tabela1[[#This Row],[1_]:[19_]])</f>
        <v>1</v>
      </c>
    </row>
    <row r="159" spans="1:45" x14ac:dyDescent="0.25">
      <c r="A159" s="27" t="s">
        <v>1319</v>
      </c>
      <c r="B159" s="19" t="s">
        <v>373</v>
      </c>
      <c r="C159" s="19">
        <v>164</v>
      </c>
      <c r="D159" s="19" t="s">
        <v>1292</v>
      </c>
      <c r="E159" s="20">
        <v>43453</v>
      </c>
      <c r="F159" s="19"/>
      <c r="G159" s="19">
        <v>26</v>
      </c>
      <c r="H159" s="19"/>
      <c r="I159" s="19"/>
      <c r="J159" s="19"/>
      <c r="K159" s="19"/>
      <c r="L159" s="19"/>
      <c r="M159" s="19"/>
      <c r="N159" s="19"/>
      <c r="O159" s="19"/>
      <c r="P159" s="19"/>
      <c r="Q159" s="19"/>
      <c r="R159" s="19"/>
      <c r="S159" s="19"/>
      <c r="T159" s="19"/>
      <c r="U159" s="19"/>
      <c r="V159" s="19"/>
      <c r="W159" s="19"/>
      <c r="X159" s="19"/>
      <c r="Y159" s="19"/>
      <c r="Z159" t="str">
        <f>IF(Tabela1[[#This Row],[1]]&lt;&gt;"",IF(ISNUMBER(FIND(",",Tabela1[[#This Row],[1]])),LEN(Tabela1[[#This Row],[1]])-LEN(SUBSTITUTE(Tabela1[[#This Row],[1]],",",""))+1,1),"")</f>
        <v/>
      </c>
      <c r="AA159">
        <f>IF(Tabela1[[#This Row],[2]]&lt;&gt;"",IF(ISNUMBER(FIND(",",Tabela1[[#This Row],[2]])),LEN(Tabela1[[#This Row],[2]])-LEN(SUBSTITUTE(Tabela1[[#This Row],[2]],",",""))+1,1),"")</f>
        <v>1</v>
      </c>
      <c r="AB159" t="str">
        <f>IF(Tabela1[[#This Row],[3]]&lt;&gt;"",IF(ISNUMBER(FIND(",",Tabela1[[#This Row],[3]])),LEN(Tabela1[[#This Row],[3]])-LEN(SUBSTITUTE(Tabela1[[#This Row],[3]],",",""))+1,1),"")</f>
        <v/>
      </c>
      <c r="AC159" t="str">
        <f>IF(Tabela1[[#This Row],[4]]&lt;&gt;"",IF(ISNUMBER(FIND(",",Tabela1[[#This Row],[4]])),LEN(Tabela1[[#This Row],[4]])-LEN(SUBSTITUTE(Tabela1[[#This Row],[4]],",",""))+1,1),"")</f>
        <v/>
      </c>
      <c r="AD159" t="str">
        <f>IF(Tabela1[[#This Row],[5]]&lt;&gt;"",IF(ISNUMBER(FIND(",",Tabela1[[#This Row],[5]])),LEN(Tabela1[[#This Row],[5]])-LEN(SUBSTITUTE(Tabela1[[#This Row],[5]],",",""))+1,1),"")</f>
        <v/>
      </c>
      <c r="AE159" t="str">
        <f>IF(Tabela1[[#This Row],[6]]&lt;&gt;"",IF(ISNUMBER(FIND(",",Tabela1[[#This Row],[6]])),LEN(Tabela1[[#This Row],[6]])-LEN(SUBSTITUTE(Tabela1[[#This Row],[6]],",",""))+1,1),"")</f>
        <v/>
      </c>
      <c r="AF159" t="str">
        <f>IF(Tabela1[[#This Row],[7]]&lt;&gt;"",IF(ISNUMBER(FIND(",",Tabela1[[#This Row],[7]])),LEN(Tabela1[[#This Row],[7]])-LEN(SUBSTITUTE(Tabela1[[#This Row],[7]],",",""))+1,1),"")</f>
        <v/>
      </c>
      <c r="AG159" t="str">
        <f>IF(Tabela1[[#This Row],[8]]&lt;&gt;"",IF(ISNUMBER(FIND(",",Tabela1[[#This Row],[8]])),LEN(Tabela1[[#This Row],[8]])-LEN(SUBSTITUTE(Tabela1[[#This Row],[8]],",",""))+1,1),"")</f>
        <v/>
      </c>
      <c r="AH159" t="str">
        <f>IF(Tabela1[[#This Row],[9]]&lt;&gt;"",IF(ISNUMBER(FIND(",",Tabela1[[#This Row],[9]])),LEN(Tabela1[[#This Row],[9]])-LEN(SUBSTITUTE(Tabela1[[#This Row],[9]],",",""))+1,1),"")</f>
        <v/>
      </c>
      <c r="AI159" t="str">
        <f>IF(Tabela1[[#This Row],[10]]&lt;&gt;"",IF(ISNUMBER(FIND(",",Tabela1[[#This Row],[10]])),LEN(Tabela1[[#This Row],[10]])-LEN(SUBSTITUTE(Tabela1[[#This Row],[10]],",",""))+1,1),"")</f>
        <v/>
      </c>
      <c r="AJ159" t="str">
        <f>IF(Tabela1[[#This Row],[11]]&lt;&gt;"",IF(ISNUMBER(FIND(",",Tabela1[[#This Row],[11]])),LEN(Tabela1[[#This Row],[11]])-LEN(SUBSTITUTE(Tabela1[[#This Row],[11]],",",""))+1,1),"")</f>
        <v/>
      </c>
      <c r="AK159" t="str">
        <f>IF(Tabela1[[#This Row],[12]]&lt;&gt;"",IF(ISNUMBER(FIND(",",Tabela1[[#This Row],[12]])),LEN(Tabela1[[#This Row],[12]])-LEN(SUBSTITUTE(Tabela1[[#This Row],[12]],",",""))+1,1),"")</f>
        <v/>
      </c>
      <c r="AL159" t="str">
        <f>IF(Tabela1[[#This Row],[13]]&lt;&gt;"",IF(ISNUMBER(FIND(",",Tabela1[[#This Row],[13]])),LEN(Tabela1[[#This Row],[13]])-LEN(SUBSTITUTE(Tabela1[[#This Row],[13]],",",""))+1,1),"")</f>
        <v/>
      </c>
      <c r="AM159" t="str">
        <f>IF(Tabela1[[#This Row],[14]]&lt;&gt;"",IF(ISNUMBER(FIND(",",Tabela1[[#This Row],[14]])),LEN(Tabela1[[#This Row],[14]])-LEN(SUBSTITUTE(Tabela1[[#This Row],[14]],",",""))+1,1),"")</f>
        <v/>
      </c>
      <c r="AN159" t="str">
        <f>IF(Tabela1[[#This Row],[15]]&lt;&gt;"",IF(ISNUMBER(FIND(",",Tabela1[[#This Row],[15]])),LEN(Tabela1[[#This Row],[15]])-LEN(SUBSTITUTE(Tabela1[[#This Row],[15]],",",""))+1,1),"")</f>
        <v/>
      </c>
      <c r="AO159" t="str">
        <f>IF(Tabela1[[#This Row],[16]]&lt;&gt;"",IF(ISNUMBER(FIND(",",Tabela1[[#This Row],[16]])),LEN(Tabela1[[#This Row],[16]])-LEN(SUBSTITUTE(Tabela1[[#This Row],[16]],",",""))+1,1),"")</f>
        <v/>
      </c>
      <c r="AP159" t="str">
        <f>IF(Tabela1[[#This Row],[17]]&lt;&gt;"",IF(ISNUMBER(FIND(",",Tabela1[[#This Row],[17]])),LEN(Tabela1[[#This Row],[17]])-LEN(SUBSTITUTE(Tabela1[[#This Row],[17]],",",""))+1,1),"")</f>
        <v/>
      </c>
      <c r="AQ159" t="str">
        <f>IF(Tabela1[[#This Row],[18]]&lt;&gt;"",IF(ISNUMBER(FIND(",",Tabela1[[#This Row],[18]])),LEN(Tabela1[[#This Row],[18]])-LEN(SUBSTITUTE(Tabela1[[#This Row],[18]],",",""))+1,1),"")</f>
        <v/>
      </c>
      <c r="AR159" s="13" t="str">
        <f>IF(Tabela1[[#This Row],[19_LENGTH]]&lt;&gt;"",IF(ISNUMBER(FIND(",",Tabela1[[#This Row],[19_LENGTH]])),LEN(Tabela1[[#This Row],[19_LENGTH]])-LEN(SUBSTITUTE(Tabela1[[#This Row],[19_LENGTH]],",",""))+1,1),"")</f>
        <v/>
      </c>
      <c r="AS159" s="21">
        <f>SUM(Tabela1[[#This Row],[1_]:[19_]])</f>
        <v>1</v>
      </c>
    </row>
    <row r="160" spans="1:45" x14ac:dyDescent="0.25">
      <c r="A160" s="27" t="s">
        <v>1320</v>
      </c>
      <c r="B160" s="19" t="s">
        <v>374</v>
      </c>
      <c r="C160" s="19">
        <v>117</v>
      </c>
      <c r="D160" s="19" t="s">
        <v>1307</v>
      </c>
      <c r="E160" s="20">
        <v>43454</v>
      </c>
      <c r="F160" s="19"/>
      <c r="G160" s="19"/>
      <c r="H160" s="19">
        <v>75</v>
      </c>
      <c r="I160" s="19"/>
      <c r="J160" s="19"/>
      <c r="K160" s="19"/>
      <c r="L160" s="19"/>
      <c r="M160" s="19"/>
      <c r="N160" s="19"/>
      <c r="O160" s="19"/>
      <c r="P160" s="19"/>
      <c r="Q160" s="19"/>
      <c r="R160" s="19"/>
      <c r="S160" s="19"/>
      <c r="T160" s="19"/>
      <c r="U160" s="19"/>
      <c r="V160" s="19"/>
      <c r="W160" s="19"/>
      <c r="X160" s="19"/>
      <c r="Y160" s="19"/>
      <c r="Z160" t="str">
        <f>IF(Tabela1[[#This Row],[1]]&lt;&gt;"",IF(ISNUMBER(FIND(",",Tabela1[[#This Row],[1]])),LEN(Tabela1[[#This Row],[1]])-LEN(SUBSTITUTE(Tabela1[[#This Row],[1]],",",""))+1,1),"")</f>
        <v/>
      </c>
      <c r="AA160" t="str">
        <f>IF(Tabela1[[#This Row],[2]]&lt;&gt;"",IF(ISNUMBER(FIND(",",Tabela1[[#This Row],[2]])),LEN(Tabela1[[#This Row],[2]])-LEN(SUBSTITUTE(Tabela1[[#This Row],[2]],",",""))+1,1),"")</f>
        <v/>
      </c>
      <c r="AB160">
        <f>IF(Tabela1[[#This Row],[3]]&lt;&gt;"",IF(ISNUMBER(FIND(",",Tabela1[[#This Row],[3]])),LEN(Tabela1[[#This Row],[3]])-LEN(SUBSTITUTE(Tabela1[[#This Row],[3]],",",""))+1,1),"")</f>
        <v>1</v>
      </c>
      <c r="AC160" t="str">
        <f>IF(Tabela1[[#This Row],[4]]&lt;&gt;"",IF(ISNUMBER(FIND(",",Tabela1[[#This Row],[4]])),LEN(Tabela1[[#This Row],[4]])-LEN(SUBSTITUTE(Tabela1[[#This Row],[4]],",",""))+1,1),"")</f>
        <v/>
      </c>
      <c r="AD160" t="str">
        <f>IF(Tabela1[[#This Row],[5]]&lt;&gt;"",IF(ISNUMBER(FIND(",",Tabela1[[#This Row],[5]])),LEN(Tabela1[[#This Row],[5]])-LEN(SUBSTITUTE(Tabela1[[#This Row],[5]],",",""))+1,1),"")</f>
        <v/>
      </c>
      <c r="AE160" t="str">
        <f>IF(Tabela1[[#This Row],[6]]&lt;&gt;"",IF(ISNUMBER(FIND(",",Tabela1[[#This Row],[6]])),LEN(Tabela1[[#This Row],[6]])-LEN(SUBSTITUTE(Tabela1[[#This Row],[6]],",",""))+1,1),"")</f>
        <v/>
      </c>
      <c r="AF160" t="str">
        <f>IF(Tabela1[[#This Row],[7]]&lt;&gt;"",IF(ISNUMBER(FIND(",",Tabela1[[#This Row],[7]])),LEN(Tabela1[[#This Row],[7]])-LEN(SUBSTITUTE(Tabela1[[#This Row],[7]],",",""))+1,1),"")</f>
        <v/>
      </c>
      <c r="AG160" t="str">
        <f>IF(Tabela1[[#This Row],[8]]&lt;&gt;"",IF(ISNUMBER(FIND(",",Tabela1[[#This Row],[8]])),LEN(Tabela1[[#This Row],[8]])-LEN(SUBSTITUTE(Tabela1[[#This Row],[8]],",",""))+1,1),"")</f>
        <v/>
      </c>
      <c r="AH160" t="str">
        <f>IF(Tabela1[[#This Row],[9]]&lt;&gt;"",IF(ISNUMBER(FIND(",",Tabela1[[#This Row],[9]])),LEN(Tabela1[[#This Row],[9]])-LEN(SUBSTITUTE(Tabela1[[#This Row],[9]],",",""))+1,1),"")</f>
        <v/>
      </c>
      <c r="AI160" t="str">
        <f>IF(Tabela1[[#This Row],[10]]&lt;&gt;"",IF(ISNUMBER(FIND(",",Tabela1[[#This Row],[10]])),LEN(Tabela1[[#This Row],[10]])-LEN(SUBSTITUTE(Tabela1[[#This Row],[10]],",",""))+1,1),"")</f>
        <v/>
      </c>
      <c r="AJ160" t="str">
        <f>IF(Tabela1[[#This Row],[11]]&lt;&gt;"",IF(ISNUMBER(FIND(",",Tabela1[[#This Row],[11]])),LEN(Tabela1[[#This Row],[11]])-LEN(SUBSTITUTE(Tabela1[[#This Row],[11]],",",""))+1,1),"")</f>
        <v/>
      </c>
      <c r="AK160" t="str">
        <f>IF(Tabela1[[#This Row],[12]]&lt;&gt;"",IF(ISNUMBER(FIND(",",Tabela1[[#This Row],[12]])),LEN(Tabela1[[#This Row],[12]])-LEN(SUBSTITUTE(Tabela1[[#This Row],[12]],",",""))+1,1),"")</f>
        <v/>
      </c>
      <c r="AL160" t="str">
        <f>IF(Tabela1[[#This Row],[13]]&lt;&gt;"",IF(ISNUMBER(FIND(",",Tabela1[[#This Row],[13]])),LEN(Tabela1[[#This Row],[13]])-LEN(SUBSTITUTE(Tabela1[[#This Row],[13]],",",""))+1,1),"")</f>
        <v/>
      </c>
      <c r="AM160" t="str">
        <f>IF(Tabela1[[#This Row],[14]]&lt;&gt;"",IF(ISNUMBER(FIND(",",Tabela1[[#This Row],[14]])),LEN(Tabela1[[#This Row],[14]])-LEN(SUBSTITUTE(Tabela1[[#This Row],[14]],",",""))+1,1),"")</f>
        <v/>
      </c>
      <c r="AN160" t="str">
        <f>IF(Tabela1[[#This Row],[15]]&lt;&gt;"",IF(ISNUMBER(FIND(",",Tabela1[[#This Row],[15]])),LEN(Tabela1[[#This Row],[15]])-LEN(SUBSTITUTE(Tabela1[[#This Row],[15]],",",""))+1,1),"")</f>
        <v/>
      </c>
      <c r="AO160" t="str">
        <f>IF(Tabela1[[#This Row],[16]]&lt;&gt;"",IF(ISNUMBER(FIND(",",Tabela1[[#This Row],[16]])),LEN(Tabela1[[#This Row],[16]])-LEN(SUBSTITUTE(Tabela1[[#This Row],[16]],",",""))+1,1),"")</f>
        <v/>
      </c>
      <c r="AP160" t="str">
        <f>IF(Tabela1[[#This Row],[17]]&lt;&gt;"",IF(ISNUMBER(FIND(",",Tabela1[[#This Row],[17]])),LEN(Tabela1[[#This Row],[17]])-LEN(SUBSTITUTE(Tabela1[[#This Row],[17]],",",""))+1,1),"")</f>
        <v/>
      </c>
      <c r="AQ160" t="str">
        <f>IF(Tabela1[[#This Row],[18]]&lt;&gt;"",IF(ISNUMBER(FIND(",",Tabela1[[#This Row],[18]])),LEN(Tabela1[[#This Row],[18]])-LEN(SUBSTITUTE(Tabela1[[#This Row],[18]],",",""))+1,1),"")</f>
        <v/>
      </c>
      <c r="AR160" s="13" t="str">
        <f>IF(Tabela1[[#This Row],[19_LENGTH]]&lt;&gt;"",IF(ISNUMBER(FIND(",",Tabela1[[#This Row],[19_LENGTH]])),LEN(Tabela1[[#This Row],[19_LENGTH]])-LEN(SUBSTITUTE(Tabela1[[#This Row],[19_LENGTH]],",",""))+1,1),"")</f>
        <v/>
      </c>
      <c r="AS160" s="21">
        <f>SUM(Tabela1[[#This Row],[1_]:[19_]])</f>
        <v>1</v>
      </c>
    </row>
    <row r="161" spans="1:45" x14ac:dyDescent="0.25">
      <c r="A161" s="27" t="s">
        <v>1320</v>
      </c>
      <c r="B161" s="19" t="s">
        <v>375</v>
      </c>
      <c r="C161" s="19">
        <v>102</v>
      </c>
      <c r="D161" s="19" t="s">
        <v>1307</v>
      </c>
      <c r="E161" s="20">
        <v>43454</v>
      </c>
      <c r="F161" s="19"/>
      <c r="G161" s="19"/>
      <c r="H161" s="19"/>
      <c r="I161" s="19">
        <v>61</v>
      </c>
      <c r="J161" s="19"/>
      <c r="K161" s="19"/>
      <c r="L161" s="19"/>
      <c r="M161" s="19"/>
      <c r="N161" s="19"/>
      <c r="O161" s="19"/>
      <c r="P161" s="19"/>
      <c r="Q161" s="19"/>
      <c r="R161" s="19"/>
      <c r="S161" s="19"/>
      <c r="T161" s="19"/>
      <c r="U161" s="19"/>
      <c r="V161" s="19"/>
      <c r="W161" s="19"/>
      <c r="X161" s="19"/>
      <c r="Y161" s="19"/>
      <c r="Z161" t="str">
        <f>IF(Tabela1[[#This Row],[1]]&lt;&gt;"",IF(ISNUMBER(FIND(",",Tabela1[[#This Row],[1]])),LEN(Tabela1[[#This Row],[1]])-LEN(SUBSTITUTE(Tabela1[[#This Row],[1]],",",""))+1,1),"")</f>
        <v/>
      </c>
      <c r="AA161" t="str">
        <f>IF(Tabela1[[#This Row],[2]]&lt;&gt;"",IF(ISNUMBER(FIND(",",Tabela1[[#This Row],[2]])),LEN(Tabela1[[#This Row],[2]])-LEN(SUBSTITUTE(Tabela1[[#This Row],[2]],",",""))+1,1),"")</f>
        <v/>
      </c>
      <c r="AB161" t="str">
        <f>IF(Tabela1[[#This Row],[3]]&lt;&gt;"",IF(ISNUMBER(FIND(",",Tabela1[[#This Row],[3]])),LEN(Tabela1[[#This Row],[3]])-LEN(SUBSTITUTE(Tabela1[[#This Row],[3]],",",""))+1,1),"")</f>
        <v/>
      </c>
      <c r="AC161">
        <f>IF(Tabela1[[#This Row],[4]]&lt;&gt;"",IF(ISNUMBER(FIND(",",Tabela1[[#This Row],[4]])),LEN(Tabela1[[#This Row],[4]])-LEN(SUBSTITUTE(Tabela1[[#This Row],[4]],",",""))+1,1),"")</f>
        <v>1</v>
      </c>
      <c r="AD161" t="str">
        <f>IF(Tabela1[[#This Row],[5]]&lt;&gt;"",IF(ISNUMBER(FIND(",",Tabela1[[#This Row],[5]])),LEN(Tabela1[[#This Row],[5]])-LEN(SUBSTITUTE(Tabela1[[#This Row],[5]],",",""))+1,1),"")</f>
        <v/>
      </c>
      <c r="AE161" t="str">
        <f>IF(Tabela1[[#This Row],[6]]&lt;&gt;"",IF(ISNUMBER(FIND(",",Tabela1[[#This Row],[6]])),LEN(Tabela1[[#This Row],[6]])-LEN(SUBSTITUTE(Tabela1[[#This Row],[6]],",",""))+1,1),"")</f>
        <v/>
      </c>
      <c r="AF161" t="str">
        <f>IF(Tabela1[[#This Row],[7]]&lt;&gt;"",IF(ISNUMBER(FIND(",",Tabela1[[#This Row],[7]])),LEN(Tabela1[[#This Row],[7]])-LEN(SUBSTITUTE(Tabela1[[#This Row],[7]],",",""))+1,1),"")</f>
        <v/>
      </c>
      <c r="AG161" t="str">
        <f>IF(Tabela1[[#This Row],[8]]&lt;&gt;"",IF(ISNUMBER(FIND(",",Tabela1[[#This Row],[8]])),LEN(Tabela1[[#This Row],[8]])-LEN(SUBSTITUTE(Tabela1[[#This Row],[8]],",",""))+1,1),"")</f>
        <v/>
      </c>
      <c r="AH161" t="str">
        <f>IF(Tabela1[[#This Row],[9]]&lt;&gt;"",IF(ISNUMBER(FIND(",",Tabela1[[#This Row],[9]])),LEN(Tabela1[[#This Row],[9]])-LEN(SUBSTITUTE(Tabela1[[#This Row],[9]],",",""))+1,1),"")</f>
        <v/>
      </c>
      <c r="AI161" t="str">
        <f>IF(Tabela1[[#This Row],[10]]&lt;&gt;"",IF(ISNUMBER(FIND(",",Tabela1[[#This Row],[10]])),LEN(Tabela1[[#This Row],[10]])-LEN(SUBSTITUTE(Tabela1[[#This Row],[10]],",",""))+1,1),"")</f>
        <v/>
      </c>
      <c r="AJ161" t="str">
        <f>IF(Tabela1[[#This Row],[11]]&lt;&gt;"",IF(ISNUMBER(FIND(",",Tabela1[[#This Row],[11]])),LEN(Tabela1[[#This Row],[11]])-LEN(SUBSTITUTE(Tabela1[[#This Row],[11]],",",""))+1,1),"")</f>
        <v/>
      </c>
      <c r="AK161" t="str">
        <f>IF(Tabela1[[#This Row],[12]]&lt;&gt;"",IF(ISNUMBER(FIND(",",Tabela1[[#This Row],[12]])),LEN(Tabela1[[#This Row],[12]])-LEN(SUBSTITUTE(Tabela1[[#This Row],[12]],",",""))+1,1),"")</f>
        <v/>
      </c>
      <c r="AL161" t="str">
        <f>IF(Tabela1[[#This Row],[13]]&lt;&gt;"",IF(ISNUMBER(FIND(",",Tabela1[[#This Row],[13]])),LEN(Tabela1[[#This Row],[13]])-LEN(SUBSTITUTE(Tabela1[[#This Row],[13]],",",""))+1,1),"")</f>
        <v/>
      </c>
      <c r="AM161" t="str">
        <f>IF(Tabela1[[#This Row],[14]]&lt;&gt;"",IF(ISNUMBER(FIND(",",Tabela1[[#This Row],[14]])),LEN(Tabela1[[#This Row],[14]])-LEN(SUBSTITUTE(Tabela1[[#This Row],[14]],",",""))+1,1),"")</f>
        <v/>
      </c>
      <c r="AN161" t="str">
        <f>IF(Tabela1[[#This Row],[15]]&lt;&gt;"",IF(ISNUMBER(FIND(",",Tabela1[[#This Row],[15]])),LEN(Tabela1[[#This Row],[15]])-LEN(SUBSTITUTE(Tabela1[[#This Row],[15]],",",""))+1,1),"")</f>
        <v/>
      </c>
      <c r="AO161" t="str">
        <f>IF(Tabela1[[#This Row],[16]]&lt;&gt;"",IF(ISNUMBER(FIND(",",Tabela1[[#This Row],[16]])),LEN(Tabela1[[#This Row],[16]])-LEN(SUBSTITUTE(Tabela1[[#This Row],[16]],",",""))+1,1),"")</f>
        <v/>
      </c>
      <c r="AP161" t="str">
        <f>IF(Tabela1[[#This Row],[17]]&lt;&gt;"",IF(ISNUMBER(FIND(",",Tabela1[[#This Row],[17]])),LEN(Tabela1[[#This Row],[17]])-LEN(SUBSTITUTE(Tabela1[[#This Row],[17]],",",""))+1,1),"")</f>
        <v/>
      </c>
      <c r="AQ161" t="str">
        <f>IF(Tabela1[[#This Row],[18]]&lt;&gt;"",IF(ISNUMBER(FIND(",",Tabela1[[#This Row],[18]])),LEN(Tabela1[[#This Row],[18]])-LEN(SUBSTITUTE(Tabela1[[#This Row],[18]],",",""))+1,1),"")</f>
        <v/>
      </c>
      <c r="AR161" s="13" t="str">
        <f>IF(Tabela1[[#This Row],[19_LENGTH]]&lt;&gt;"",IF(ISNUMBER(FIND(",",Tabela1[[#This Row],[19_LENGTH]])),LEN(Tabela1[[#This Row],[19_LENGTH]])-LEN(SUBSTITUTE(Tabela1[[#This Row],[19_LENGTH]],",",""))+1,1),"")</f>
        <v/>
      </c>
      <c r="AS161" s="21">
        <f>SUM(Tabela1[[#This Row],[1_]:[19_]])</f>
        <v>1</v>
      </c>
    </row>
    <row r="162" spans="1:45" x14ac:dyDescent="0.25">
      <c r="A162" s="27" t="s">
        <v>1320</v>
      </c>
      <c r="B162" s="19" t="s">
        <v>376</v>
      </c>
      <c r="C162" s="19">
        <v>102</v>
      </c>
      <c r="D162" s="19" t="s">
        <v>1307</v>
      </c>
      <c r="E162" s="20">
        <v>43453</v>
      </c>
      <c r="F162" s="19"/>
      <c r="G162" s="19"/>
      <c r="H162" s="19" t="s">
        <v>62</v>
      </c>
      <c r="I162" s="19"/>
      <c r="J162" s="19">
        <v>48</v>
      </c>
      <c r="K162" s="19"/>
      <c r="L162" s="19"/>
      <c r="M162" s="19"/>
      <c r="N162" s="19"/>
      <c r="O162" s="19"/>
      <c r="P162" s="19"/>
      <c r="Q162" s="19"/>
      <c r="R162" s="19"/>
      <c r="S162" s="19"/>
      <c r="T162" s="19"/>
      <c r="U162" s="19"/>
      <c r="V162" s="19"/>
      <c r="W162" s="19">
        <v>77</v>
      </c>
      <c r="X162" s="19"/>
      <c r="Y162" s="19"/>
      <c r="Z162" t="str">
        <f>IF(Tabela1[[#This Row],[1]]&lt;&gt;"",IF(ISNUMBER(FIND(",",Tabela1[[#This Row],[1]])),LEN(Tabela1[[#This Row],[1]])-LEN(SUBSTITUTE(Tabela1[[#This Row],[1]],",",""))+1,1),"")</f>
        <v/>
      </c>
      <c r="AA162" t="str">
        <f>IF(Tabela1[[#This Row],[2]]&lt;&gt;"",IF(ISNUMBER(FIND(",",Tabela1[[#This Row],[2]])),LEN(Tabela1[[#This Row],[2]])-LEN(SUBSTITUTE(Tabela1[[#This Row],[2]],",",""))+1,1),"")</f>
        <v/>
      </c>
      <c r="AB162">
        <f>IF(Tabela1[[#This Row],[3]]&lt;&gt;"",IF(ISNUMBER(FIND(",",Tabela1[[#This Row],[3]])),LEN(Tabela1[[#This Row],[3]])-LEN(SUBSTITUTE(Tabela1[[#This Row],[3]],",",""))+1,1),"")</f>
        <v>2</v>
      </c>
      <c r="AC162" t="str">
        <f>IF(Tabela1[[#This Row],[4]]&lt;&gt;"",IF(ISNUMBER(FIND(",",Tabela1[[#This Row],[4]])),LEN(Tabela1[[#This Row],[4]])-LEN(SUBSTITUTE(Tabela1[[#This Row],[4]],",",""))+1,1),"")</f>
        <v/>
      </c>
      <c r="AD162">
        <f>IF(Tabela1[[#This Row],[5]]&lt;&gt;"",IF(ISNUMBER(FIND(",",Tabela1[[#This Row],[5]])),LEN(Tabela1[[#This Row],[5]])-LEN(SUBSTITUTE(Tabela1[[#This Row],[5]],",",""))+1,1),"")</f>
        <v>1</v>
      </c>
      <c r="AE162" t="str">
        <f>IF(Tabela1[[#This Row],[6]]&lt;&gt;"",IF(ISNUMBER(FIND(",",Tabela1[[#This Row],[6]])),LEN(Tabela1[[#This Row],[6]])-LEN(SUBSTITUTE(Tabela1[[#This Row],[6]],",",""))+1,1),"")</f>
        <v/>
      </c>
      <c r="AF162" t="str">
        <f>IF(Tabela1[[#This Row],[7]]&lt;&gt;"",IF(ISNUMBER(FIND(",",Tabela1[[#This Row],[7]])),LEN(Tabela1[[#This Row],[7]])-LEN(SUBSTITUTE(Tabela1[[#This Row],[7]],",",""))+1,1),"")</f>
        <v/>
      </c>
      <c r="AG162" t="str">
        <f>IF(Tabela1[[#This Row],[8]]&lt;&gt;"",IF(ISNUMBER(FIND(",",Tabela1[[#This Row],[8]])),LEN(Tabela1[[#This Row],[8]])-LEN(SUBSTITUTE(Tabela1[[#This Row],[8]],",",""))+1,1),"")</f>
        <v/>
      </c>
      <c r="AH162" t="str">
        <f>IF(Tabela1[[#This Row],[9]]&lt;&gt;"",IF(ISNUMBER(FIND(",",Tabela1[[#This Row],[9]])),LEN(Tabela1[[#This Row],[9]])-LEN(SUBSTITUTE(Tabela1[[#This Row],[9]],",",""))+1,1),"")</f>
        <v/>
      </c>
      <c r="AI162" t="str">
        <f>IF(Tabela1[[#This Row],[10]]&lt;&gt;"",IF(ISNUMBER(FIND(",",Tabela1[[#This Row],[10]])),LEN(Tabela1[[#This Row],[10]])-LEN(SUBSTITUTE(Tabela1[[#This Row],[10]],",",""))+1,1),"")</f>
        <v/>
      </c>
      <c r="AJ162" t="str">
        <f>IF(Tabela1[[#This Row],[11]]&lt;&gt;"",IF(ISNUMBER(FIND(",",Tabela1[[#This Row],[11]])),LEN(Tabela1[[#This Row],[11]])-LEN(SUBSTITUTE(Tabela1[[#This Row],[11]],",",""))+1,1),"")</f>
        <v/>
      </c>
      <c r="AK162" t="str">
        <f>IF(Tabela1[[#This Row],[12]]&lt;&gt;"",IF(ISNUMBER(FIND(",",Tabela1[[#This Row],[12]])),LEN(Tabela1[[#This Row],[12]])-LEN(SUBSTITUTE(Tabela1[[#This Row],[12]],",",""))+1,1),"")</f>
        <v/>
      </c>
      <c r="AL162" t="str">
        <f>IF(Tabela1[[#This Row],[13]]&lt;&gt;"",IF(ISNUMBER(FIND(",",Tabela1[[#This Row],[13]])),LEN(Tabela1[[#This Row],[13]])-LEN(SUBSTITUTE(Tabela1[[#This Row],[13]],",",""))+1,1),"")</f>
        <v/>
      </c>
      <c r="AM162" t="str">
        <f>IF(Tabela1[[#This Row],[14]]&lt;&gt;"",IF(ISNUMBER(FIND(",",Tabela1[[#This Row],[14]])),LEN(Tabela1[[#This Row],[14]])-LEN(SUBSTITUTE(Tabela1[[#This Row],[14]],",",""))+1,1),"")</f>
        <v/>
      </c>
      <c r="AN162" t="str">
        <f>IF(Tabela1[[#This Row],[15]]&lt;&gt;"",IF(ISNUMBER(FIND(",",Tabela1[[#This Row],[15]])),LEN(Tabela1[[#This Row],[15]])-LEN(SUBSTITUTE(Tabela1[[#This Row],[15]],",",""))+1,1),"")</f>
        <v/>
      </c>
      <c r="AO162" t="str">
        <f>IF(Tabela1[[#This Row],[16]]&lt;&gt;"",IF(ISNUMBER(FIND(",",Tabela1[[#This Row],[16]])),LEN(Tabela1[[#This Row],[16]])-LEN(SUBSTITUTE(Tabela1[[#This Row],[16]],",",""))+1,1),"")</f>
        <v/>
      </c>
      <c r="AP162" t="str">
        <f>IF(Tabela1[[#This Row],[17]]&lt;&gt;"",IF(ISNUMBER(FIND(",",Tabela1[[#This Row],[17]])),LEN(Tabela1[[#This Row],[17]])-LEN(SUBSTITUTE(Tabela1[[#This Row],[17]],",",""))+1,1),"")</f>
        <v/>
      </c>
      <c r="AQ162">
        <f>IF(Tabela1[[#This Row],[18]]&lt;&gt;"",IF(ISNUMBER(FIND(",",Tabela1[[#This Row],[18]])),LEN(Tabela1[[#This Row],[18]])-LEN(SUBSTITUTE(Tabela1[[#This Row],[18]],",",""))+1,1),"")</f>
        <v>1</v>
      </c>
      <c r="AR162" s="13" t="str">
        <f>IF(Tabela1[[#This Row],[19_LENGTH]]&lt;&gt;"",IF(ISNUMBER(FIND(",",Tabela1[[#This Row],[19_LENGTH]])),LEN(Tabela1[[#This Row],[19_LENGTH]])-LEN(SUBSTITUTE(Tabela1[[#This Row],[19_LENGTH]],",",""))+1,1),"")</f>
        <v/>
      </c>
      <c r="AS162" s="21">
        <f>SUM(Tabela1[[#This Row],[1_]:[19_]])</f>
        <v>4</v>
      </c>
    </row>
    <row r="163" spans="1:45" x14ac:dyDescent="0.25">
      <c r="A163" s="27" t="s">
        <v>1319</v>
      </c>
      <c r="B163" s="19" t="s">
        <v>729</v>
      </c>
      <c r="C163" s="19">
        <v>202</v>
      </c>
      <c r="D163" s="19" t="s">
        <v>1299</v>
      </c>
      <c r="E163" s="20">
        <v>43454</v>
      </c>
      <c r="F163" s="19"/>
      <c r="G163" s="19"/>
      <c r="H163" s="19"/>
      <c r="I163" s="19" t="s">
        <v>63</v>
      </c>
      <c r="J163" s="19">
        <v>143</v>
      </c>
      <c r="K163" s="19"/>
      <c r="L163" s="19"/>
      <c r="M163" s="19"/>
      <c r="N163" s="19"/>
      <c r="O163" s="19"/>
      <c r="P163" s="19"/>
      <c r="Q163" s="19"/>
      <c r="R163" s="19"/>
      <c r="S163" s="19"/>
      <c r="T163" s="19"/>
      <c r="U163" s="19"/>
      <c r="V163" s="19"/>
      <c r="W163" s="19">
        <v>63</v>
      </c>
      <c r="X163" s="19"/>
      <c r="Y163" s="19"/>
      <c r="Z163" t="str">
        <f>IF(Tabela1[[#This Row],[1]]&lt;&gt;"",IF(ISNUMBER(FIND(",",Tabela1[[#This Row],[1]])),LEN(Tabela1[[#This Row],[1]])-LEN(SUBSTITUTE(Tabela1[[#This Row],[1]],",",""))+1,1),"")</f>
        <v/>
      </c>
      <c r="AA163" t="str">
        <f>IF(Tabela1[[#This Row],[2]]&lt;&gt;"",IF(ISNUMBER(FIND(",",Tabela1[[#This Row],[2]])),LEN(Tabela1[[#This Row],[2]])-LEN(SUBSTITUTE(Tabela1[[#This Row],[2]],",",""))+1,1),"")</f>
        <v/>
      </c>
      <c r="AB163" t="str">
        <f>IF(Tabela1[[#This Row],[3]]&lt;&gt;"",IF(ISNUMBER(FIND(",",Tabela1[[#This Row],[3]])),LEN(Tabela1[[#This Row],[3]])-LEN(SUBSTITUTE(Tabela1[[#This Row],[3]],",",""))+1,1),"")</f>
        <v/>
      </c>
      <c r="AC163">
        <f>IF(Tabela1[[#This Row],[4]]&lt;&gt;"",IF(ISNUMBER(FIND(",",Tabela1[[#This Row],[4]])),LEN(Tabela1[[#This Row],[4]])-LEN(SUBSTITUTE(Tabela1[[#This Row],[4]],",",""))+1,1),"")</f>
        <v>4</v>
      </c>
      <c r="AD163">
        <f>IF(Tabela1[[#This Row],[5]]&lt;&gt;"",IF(ISNUMBER(FIND(",",Tabela1[[#This Row],[5]])),LEN(Tabela1[[#This Row],[5]])-LEN(SUBSTITUTE(Tabela1[[#This Row],[5]],",",""))+1,1),"")</f>
        <v>1</v>
      </c>
      <c r="AE163" t="str">
        <f>IF(Tabela1[[#This Row],[6]]&lt;&gt;"",IF(ISNUMBER(FIND(",",Tabela1[[#This Row],[6]])),LEN(Tabela1[[#This Row],[6]])-LEN(SUBSTITUTE(Tabela1[[#This Row],[6]],",",""))+1,1),"")</f>
        <v/>
      </c>
      <c r="AF163" t="str">
        <f>IF(Tabela1[[#This Row],[7]]&lt;&gt;"",IF(ISNUMBER(FIND(",",Tabela1[[#This Row],[7]])),LEN(Tabela1[[#This Row],[7]])-LEN(SUBSTITUTE(Tabela1[[#This Row],[7]],",",""))+1,1),"")</f>
        <v/>
      </c>
      <c r="AG163" t="str">
        <f>IF(Tabela1[[#This Row],[8]]&lt;&gt;"",IF(ISNUMBER(FIND(",",Tabela1[[#This Row],[8]])),LEN(Tabela1[[#This Row],[8]])-LEN(SUBSTITUTE(Tabela1[[#This Row],[8]],",",""))+1,1),"")</f>
        <v/>
      </c>
      <c r="AH163" t="str">
        <f>IF(Tabela1[[#This Row],[9]]&lt;&gt;"",IF(ISNUMBER(FIND(",",Tabela1[[#This Row],[9]])),LEN(Tabela1[[#This Row],[9]])-LEN(SUBSTITUTE(Tabela1[[#This Row],[9]],",",""))+1,1),"")</f>
        <v/>
      </c>
      <c r="AI163" t="str">
        <f>IF(Tabela1[[#This Row],[10]]&lt;&gt;"",IF(ISNUMBER(FIND(",",Tabela1[[#This Row],[10]])),LEN(Tabela1[[#This Row],[10]])-LEN(SUBSTITUTE(Tabela1[[#This Row],[10]],",",""))+1,1),"")</f>
        <v/>
      </c>
      <c r="AJ163" t="str">
        <f>IF(Tabela1[[#This Row],[11]]&lt;&gt;"",IF(ISNUMBER(FIND(",",Tabela1[[#This Row],[11]])),LEN(Tabela1[[#This Row],[11]])-LEN(SUBSTITUTE(Tabela1[[#This Row],[11]],",",""))+1,1),"")</f>
        <v/>
      </c>
      <c r="AK163" t="str">
        <f>IF(Tabela1[[#This Row],[12]]&lt;&gt;"",IF(ISNUMBER(FIND(",",Tabela1[[#This Row],[12]])),LEN(Tabela1[[#This Row],[12]])-LEN(SUBSTITUTE(Tabela1[[#This Row],[12]],",",""))+1,1),"")</f>
        <v/>
      </c>
      <c r="AL163" t="str">
        <f>IF(Tabela1[[#This Row],[13]]&lt;&gt;"",IF(ISNUMBER(FIND(",",Tabela1[[#This Row],[13]])),LEN(Tabela1[[#This Row],[13]])-LEN(SUBSTITUTE(Tabela1[[#This Row],[13]],",",""))+1,1),"")</f>
        <v/>
      </c>
      <c r="AM163" t="str">
        <f>IF(Tabela1[[#This Row],[14]]&lt;&gt;"",IF(ISNUMBER(FIND(",",Tabela1[[#This Row],[14]])),LEN(Tabela1[[#This Row],[14]])-LEN(SUBSTITUTE(Tabela1[[#This Row],[14]],",",""))+1,1),"")</f>
        <v/>
      </c>
      <c r="AN163" t="str">
        <f>IF(Tabela1[[#This Row],[15]]&lt;&gt;"",IF(ISNUMBER(FIND(",",Tabela1[[#This Row],[15]])),LEN(Tabela1[[#This Row],[15]])-LEN(SUBSTITUTE(Tabela1[[#This Row],[15]],",",""))+1,1),"")</f>
        <v/>
      </c>
      <c r="AO163" t="str">
        <f>IF(Tabela1[[#This Row],[16]]&lt;&gt;"",IF(ISNUMBER(FIND(",",Tabela1[[#This Row],[16]])),LEN(Tabela1[[#This Row],[16]])-LEN(SUBSTITUTE(Tabela1[[#This Row],[16]],",",""))+1,1),"")</f>
        <v/>
      </c>
      <c r="AP163" t="str">
        <f>IF(Tabela1[[#This Row],[17]]&lt;&gt;"",IF(ISNUMBER(FIND(",",Tabela1[[#This Row],[17]])),LEN(Tabela1[[#This Row],[17]])-LEN(SUBSTITUTE(Tabela1[[#This Row],[17]],",",""))+1,1),"")</f>
        <v/>
      </c>
      <c r="AQ163">
        <f>IF(Tabela1[[#This Row],[18]]&lt;&gt;"",IF(ISNUMBER(FIND(",",Tabela1[[#This Row],[18]])),LEN(Tabela1[[#This Row],[18]])-LEN(SUBSTITUTE(Tabela1[[#This Row],[18]],",",""))+1,1),"")</f>
        <v>1</v>
      </c>
      <c r="AR163" s="13" t="str">
        <f>IF(Tabela1[[#This Row],[19_LENGTH]]&lt;&gt;"",IF(ISNUMBER(FIND(",",Tabela1[[#This Row],[19_LENGTH]])),LEN(Tabela1[[#This Row],[19_LENGTH]])-LEN(SUBSTITUTE(Tabela1[[#This Row],[19_LENGTH]],",",""))+1,1),"")</f>
        <v/>
      </c>
      <c r="AS163" s="21">
        <f>SUM(Tabela1[[#This Row],[1_]:[19_]])</f>
        <v>6</v>
      </c>
    </row>
    <row r="164" spans="1:45" x14ac:dyDescent="0.25">
      <c r="A164" s="27" t="s">
        <v>1319</v>
      </c>
      <c r="B164" s="19" t="s">
        <v>730</v>
      </c>
      <c r="C164" s="19">
        <v>202</v>
      </c>
      <c r="D164" s="19" t="s">
        <v>1299</v>
      </c>
      <c r="E164" s="20">
        <v>43454</v>
      </c>
      <c r="F164" s="19"/>
      <c r="G164" s="19"/>
      <c r="H164" s="19"/>
      <c r="I164" s="19"/>
      <c r="J164" s="19">
        <v>110</v>
      </c>
      <c r="K164" s="19">
        <v>85</v>
      </c>
      <c r="L164" s="19"/>
      <c r="M164" s="19"/>
      <c r="N164" s="19"/>
      <c r="O164" s="19"/>
      <c r="P164" s="19"/>
      <c r="Q164" s="19"/>
      <c r="R164" s="19"/>
      <c r="S164" s="19"/>
      <c r="T164" s="19"/>
      <c r="U164" s="19"/>
      <c r="V164" s="19"/>
      <c r="W164" s="19"/>
      <c r="X164" s="19"/>
      <c r="Y164" s="19"/>
      <c r="Z164" t="str">
        <f>IF(Tabela1[[#This Row],[1]]&lt;&gt;"",IF(ISNUMBER(FIND(",",Tabela1[[#This Row],[1]])),LEN(Tabela1[[#This Row],[1]])-LEN(SUBSTITUTE(Tabela1[[#This Row],[1]],",",""))+1,1),"")</f>
        <v/>
      </c>
      <c r="AA164" t="str">
        <f>IF(Tabela1[[#This Row],[2]]&lt;&gt;"",IF(ISNUMBER(FIND(",",Tabela1[[#This Row],[2]])),LEN(Tabela1[[#This Row],[2]])-LEN(SUBSTITUTE(Tabela1[[#This Row],[2]],",",""))+1,1),"")</f>
        <v/>
      </c>
      <c r="AB164" t="str">
        <f>IF(Tabela1[[#This Row],[3]]&lt;&gt;"",IF(ISNUMBER(FIND(",",Tabela1[[#This Row],[3]])),LEN(Tabela1[[#This Row],[3]])-LEN(SUBSTITUTE(Tabela1[[#This Row],[3]],",",""))+1,1),"")</f>
        <v/>
      </c>
      <c r="AC164" t="str">
        <f>IF(Tabela1[[#This Row],[4]]&lt;&gt;"",IF(ISNUMBER(FIND(",",Tabela1[[#This Row],[4]])),LEN(Tabela1[[#This Row],[4]])-LEN(SUBSTITUTE(Tabela1[[#This Row],[4]],",",""))+1,1),"")</f>
        <v/>
      </c>
      <c r="AD164">
        <f>IF(Tabela1[[#This Row],[5]]&lt;&gt;"",IF(ISNUMBER(FIND(",",Tabela1[[#This Row],[5]])),LEN(Tabela1[[#This Row],[5]])-LEN(SUBSTITUTE(Tabela1[[#This Row],[5]],",",""))+1,1),"")</f>
        <v>1</v>
      </c>
      <c r="AE164">
        <f>IF(Tabela1[[#This Row],[6]]&lt;&gt;"",IF(ISNUMBER(FIND(",",Tabela1[[#This Row],[6]])),LEN(Tabela1[[#This Row],[6]])-LEN(SUBSTITUTE(Tabela1[[#This Row],[6]],",",""))+1,1),"")</f>
        <v>1</v>
      </c>
      <c r="AF164" t="str">
        <f>IF(Tabela1[[#This Row],[7]]&lt;&gt;"",IF(ISNUMBER(FIND(",",Tabela1[[#This Row],[7]])),LEN(Tabela1[[#This Row],[7]])-LEN(SUBSTITUTE(Tabela1[[#This Row],[7]],",",""))+1,1),"")</f>
        <v/>
      </c>
      <c r="AG164" t="str">
        <f>IF(Tabela1[[#This Row],[8]]&lt;&gt;"",IF(ISNUMBER(FIND(",",Tabela1[[#This Row],[8]])),LEN(Tabela1[[#This Row],[8]])-LEN(SUBSTITUTE(Tabela1[[#This Row],[8]],",",""))+1,1),"")</f>
        <v/>
      </c>
      <c r="AH164" t="str">
        <f>IF(Tabela1[[#This Row],[9]]&lt;&gt;"",IF(ISNUMBER(FIND(",",Tabela1[[#This Row],[9]])),LEN(Tabela1[[#This Row],[9]])-LEN(SUBSTITUTE(Tabela1[[#This Row],[9]],",",""))+1,1),"")</f>
        <v/>
      </c>
      <c r="AI164" t="str">
        <f>IF(Tabela1[[#This Row],[10]]&lt;&gt;"",IF(ISNUMBER(FIND(",",Tabela1[[#This Row],[10]])),LEN(Tabela1[[#This Row],[10]])-LEN(SUBSTITUTE(Tabela1[[#This Row],[10]],",",""))+1,1),"")</f>
        <v/>
      </c>
      <c r="AJ164" t="str">
        <f>IF(Tabela1[[#This Row],[11]]&lt;&gt;"",IF(ISNUMBER(FIND(",",Tabela1[[#This Row],[11]])),LEN(Tabela1[[#This Row],[11]])-LEN(SUBSTITUTE(Tabela1[[#This Row],[11]],",",""))+1,1),"")</f>
        <v/>
      </c>
      <c r="AK164" t="str">
        <f>IF(Tabela1[[#This Row],[12]]&lt;&gt;"",IF(ISNUMBER(FIND(",",Tabela1[[#This Row],[12]])),LEN(Tabela1[[#This Row],[12]])-LEN(SUBSTITUTE(Tabela1[[#This Row],[12]],",",""))+1,1),"")</f>
        <v/>
      </c>
      <c r="AL164" t="str">
        <f>IF(Tabela1[[#This Row],[13]]&lt;&gt;"",IF(ISNUMBER(FIND(",",Tabela1[[#This Row],[13]])),LEN(Tabela1[[#This Row],[13]])-LEN(SUBSTITUTE(Tabela1[[#This Row],[13]],",",""))+1,1),"")</f>
        <v/>
      </c>
      <c r="AM164" t="str">
        <f>IF(Tabela1[[#This Row],[14]]&lt;&gt;"",IF(ISNUMBER(FIND(",",Tabela1[[#This Row],[14]])),LEN(Tabela1[[#This Row],[14]])-LEN(SUBSTITUTE(Tabela1[[#This Row],[14]],",",""))+1,1),"")</f>
        <v/>
      </c>
      <c r="AN164" t="str">
        <f>IF(Tabela1[[#This Row],[15]]&lt;&gt;"",IF(ISNUMBER(FIND(",",Tabela1[[#This Row],[15]])),LEN(Tabela1[[#This Row],[15]])-LEN(SUBSTITUTE(Tabela1[[#This Row],[15]],",",""))+1,1),"")</f>
        <v/>
      </c>
      <c r="AO164" t="str">
        <f>IF(Tabela1[[#This Row],[16]]&lt;&gt;"",IF(ISNUMBER(FIND(",",Tabela1[[#This Row],[16]])),LEN(Tabela1[[#This Row],[16]])-LEN(SUBSTITUTE(Tabela1[[#This Row],[16]],",",""))+1,1),"")</f>
        <v/>
      </c>
      <c r="AP164" t="str">
        <f>IF(Tabela1[[#This Row],[17]]&lt;&gt;"",IF(ISNUMBER(FIND(",",Tabela1[[#This Row],[17]])),LEN(Tabela1[[#This Row],[17]])-LEN(SUBSTITUTE(Tabela1[[#This Row],[17]],",",""))+1,1),"")</f>
        <v/>
      </c>
      <c r="AQ164" t="str">
        <f>IF(Tabela1[[#This Row],[18]]&lt;&gt;"",IF(ISNUMBER(FIND(",",Tabela1[[#This Row],[18]])),LEN(Tabela1[[#This Row],[18]])-LEN(SUBSTITUTE(Tabela1[[#This Row],[18]],",",""))+1,1),"")</f>
        <v/>
      </c>
      <c r="AR164" s="13" t="str">
        <f>IF(Tabela1[[#This Row],[19_LENGTH]]&lt;&gt;"",IF(ISNUMBER(FIND(",",Tabela1[[#This Row],[19_LENGTH]])),LEN(Tabela1[[#This Row],[19_LENGTH]])-LEN(SUBSTITUTE(Tabela1[[#This Row],[19_LENGTH]],",",""))+1,1),"")</f>
        <v/>
      </c>
      <c r="AS164" s="21">
        <f>SUM(Tabela1[[#This Row],[1_]:[19_]])</f>
        <v>2</v>
      </c>
    </row>
    <row r="165" spans="1:45" x14ac:dyDescent="0.25">
      <c r="A165" s="27" t="s">
        <v>1320</v>
      </c>
      <c r="B165" s="19" t="s">
        <v>377</v>
      </c>
      <c r="C165" s="19">
        <v>102</v>
      </c>
      <c r="D165" s="19" t="s">
        <v>1313</v>
      </c>
      <c r="E165" s="20">
        <v>43454</v>
      </c>
      <c r="F165" s="19"/>
      <c r="G165" s="19"/>
      <c r="H165" s="19"/>
      <c r="I165" s="19"/>
      <c r="J165" s="19">
        <v>6</v>
      </c>
      <c r="K165" s="19" t="s">
        <v>64</v>
      </c>
      <c r="L165" s="19"/>
      <c r="M165" s="19"/>
      <c r="N165" s="19"/>
      <c r="O165" s="19"/>
      <c r="P165" s="19"/>
      <c r="Q165" s="19"/>
      <c r="R165" s="19"/>
      <c r="S165" s="19"/>
      <c r="T165" s="19"/>
      <c r="U165" s="19"/>
      <c r="V165" s="19"/>
      <c r="W165" s="19"/>
      <c r="X165" s="19"/>
      <c r="Y165" s="19"/>
      <c r="Z165" t="str">
        <f>IF(Tabela1[[#This Row],[1]]&lt;&gt;"",IF(ISNUMBER(FIND(",",Tabela1[[#This Row],[1]])),LEN(Tabela1[[#This Row],[1]])-LEN(SUBSTITUTE(Tabela1[[#This Row],[1]],",",""))+1,1),"")</f>
        <v/>
      </c>
      <c r="AA165" t="str">
        <f>IF(Tabela1[[#This Row],[2]]&lt;&gt;"",IF(ISNUMBER(FIND(",",Tabela1[[#This Row],[2]])),LEN(Tabela1[[#This Row],[2]])-LEN(SUBSTITUTE(Tabela1[[#This Row],[2]],",",""))+1,1),"")</f>
        <v/>
      </c>
      <c r="AB165" t="str">
        <f>IF(Tabela1[[#This Row],[3]]&lt;&gt;"",IF(ISNUMBER(FIND(",",Tabela1[[#This Row],[3]])),LEN(Tabela1[[#This Row],[3]])-LEN(SUBSTITUTE(Tabela1[[#This Row],[3]],",",""))+1,1),"")</f>
        <v/>
      </c>
      <c r="AC165" t="str">
        <f>IF(Tabela1[[#This Row],[4]]&lt;&gt;"",IF(ISNUMBER(FIND(",",Tabela1[[#This Row],[4]])),LEN(Tabela1[[#This Row],[4]])-LEN(SUBSTITUTE(Tabela1[[#This Row],[4]],",",""))+1,1),"")</f>
        <v/>
      </c>
      <c r="AD165">
        <f>IF(Tabela1[[#This Row],[5]]&lt;&gt;"",IF(ISNUMBER(FIND(",",Tabela1[[#This Row],[5]])),LEN(Tabela1[[#This Row],[5]])-LEN(SUBSTITUTE(Tabela1[[#This Row],[5]],",",""))+1,1),"")</f>
        <v>1</v>
      </c>
      <c r="AE165">
        <f>IF(Tabela1[[#This Row],[6]]&lt;&gt;"",IF(ISNUMBER(FIND(",",Tabela1[[#This Row],[6]])),LEN(Tabela1[[#This Row],[6]])-LEN(SUBSTITUTE(Tabela1[[#This Row],[6]],",",""))+1,1),"")</f>
        <v>3</v>
      </c>
      <c r="AF165" t="str">
        <f>IF(Tabela1[[#This Row],[7]]&lt;&gt;"",IF(ISNUMBER(FIND(",",Tabela1[[#This Row],[7]])),LEN(Tabela1[[#This Row],[7]])-LEN(SUBSTITUTE(Tabela1[[#This Row],[7]],",",""))+1,1),"")</f>
        <v/>
      </c>
      <c r="AG165" t="str">
        <f>IF(Tabela1[[#This Row],[8]]&lt;&gt;"",IF(ISNUMBER(FIND(",",Tabela1[[#This Row],[8]])),LEN(Tabela1[[#This Row],[8]])-LEN(SUBSTITUTE(Tabela1[[#This Row],[8]],",",""))+1,1),"")</f>
        <v/>
      </c>
      <c r="AH165" t="str">
        <f>IF(Tabela1[[#This Row],[9]]&lt;&gt;"",IF(ISNUMBER(FIND(",",Tabela1[[#This Row],[9]])),LEN(Tabela1[[#This Row],[9]])-LEN(SUBSTITUTE(Tabela1[[#This Row],[9]],",",""))+1,1),"")</f>
        <v/>
      </c>
      <c r="AI165" t="str">
        <f>IF(Tabela1[[#This Row],[10]]&lt;&gt;"",IF(ISNUMBER(FIND(",",Tabela1[[#This Row],[10]])),LEN(Tabela1[[#This Row],[10]])-LEN(SUBSTITUTE(Tabela1[[#This Row],[10]],",",""))+1,1),"")</f>
        <v/>
      </c>
      <c r="AJ165" t="str">
        <f>IF(Tabela1[[#This Row],[11]]&lt;&gt;"",IF(ISNUMBER(FIND(",",Tabela1[[#This Row],[11]])),LEN(Tabela1[[#This Row],[11]])-LEN(SUBSTITUTE(Tabela1[[#This Row],[11]],",",""))+1,1),"")</f>
        <v/>
      </c>
      <c r="AK165" t="str">
        <f>IF(Tabela1[[#This Row],[12]]&lt;&gt;"",IF(ISNUMBER(FIND(",",Tabela1[[#This Row],[12]])),LEN(Tabela1[[#This Row],[12]])-LEN(SUBSTITUTE(Tabela1[[#This Row],[12]],",",""))+1,1),"")</f>
        <v/>
      </c>
      <c r="AL165" t="str">
        <f>IF(Tabela1[[#This Row],[13]]&lt;&gt;"",IF(ISNUMBER(FIND(",",Tabela1[[#This Row],[13]])),LEN(Tabela1[[#This Row],[13]])-LEN(SUBSTITUTE(Tabela1[[#This Row],[13]],",",""))+1,1),"")</f>
        <v/>
      </c>
      <c r="AM165" t="str">
        <f>IF(Tabela1[[#This Row],[14]]&lt;&gt;"",IF(ISNUMBER(FIND(",",Tabela1[[#This Row],[14]])),LEN(Tabela1[[#This Row],[14]])-LEN(SUBSTITUTE(Tabela1[[#This Row],[14]],",",""))+1,1),"")</f>
        <v/>
      </c>
      <c r="AN165" t="str">
        <f>IF(Tabela1[[#This Row],[15]]&lt;&gt;"",IF(ISNUMBER(FIND(",",Tabela1[[#This Row],[15]])),LEN(Tabela1[[#This Row],[15]])-LEN(SUBSTITUTE(Tabela1[[#This Row],[15]],",",""))+1,1),"")</f>
        <v/>
      </c>
      <c r="AO165" t="str">
        <f>IF(Tabela1[[#This Row],[16]]&lt;&gt;"",IF(ISNUMBER(FIND(",",Tabela1[[#This Row],[16]])),LEN(Tabela1[[#This Row],[16]])-LEN(SUBSTITUTE(Tabela1[[#This Row],[16]],",",""))+1,1),"")</f>
        <v/>
      </c>
      <c r="AP165" t="str">
        <f>IF(Tabela1[[#This Row],[17]]&lt;&gt;"",IF(ISNUMBER(FIND(",",Tabela1[[#This Row],[17]])),LEN(Tabela1[[#This Row],[17]])-LEN(SUBSTITUTE(Tabela1[[#This Row],[17]],",",""))+1,1),"")</f>
        <v/>
      </c>
      <c r="AQ165" t="str">
        <f>IF(Tabela1[[#This Row],[18]]&lt;&gt;"",IF(ISNUMBER(FIND(",",Tabela1[[#This Row],[18]])),LEN(Tabela1[[#This Row],[18]])-LEN(SUBSTITUTE(Tabela1[[#This Row],[18]],",",""))+1,1),"")</f>
        <v/>
      </c>
      <c r="AR165" s="13" t="str">
        <f>IF(Tabela1[[#This Row],[19_LENGTH]]&lt;&gt;"",IF(ISNUMBER(FIND(",",Tabela1[[#This Row],[19_LENGTH]])),LEN(Tabela1[[#This Row],[19_LENGTH]])-LEN(SUBSTITUTE(Tabela1[[#This Row],[19_LENGTH]],",",""))+1,1),"")</f>
        <v/>
      </c>
      <c r="AS165" s="21">
        <f>SUM(Tabela1[[#This Row],[1_]:[19_]])</f>
        <v>4</v>
      </c>
    </row>
    <row r="166" spans="1:45" x14ac:dyDescent="0.25">
      <c r="A166" s="27" t="s">
        <v>1320</v>
      </c>
      <c r="B166" s="19" t="s">
        <v>378</v>
      </c>
      <c r="C166" s="19">
        <v>102</v>
      </c>
      <c r="D166" s="19" t="s">
        <v>1313</v>
      </c>
      <c r="E166" s="20">
        <v>43454</v>
      </c>
      <c r="F166" s="19"/>
      <c r="G166" s="19"/>
      <c r="H166" s="19"/>
      <c r="I166" s="19"/>
      <c r="J166" s="19">
        <v>16</v>
      </c>
      <c r="K166" s="19"/>
      <c r="L166" s="19"/>
      <c r="M166" s="19"/>
      <c r="N166" s="19"/>
      <c r="O166" s="19"/>
      <c r="P166" s="19"/>
      <c r="Q166" s="19"/>
      <c r="R166" s="19"/>
      <c r="S166" s="19"/>
      <c r="T166" s="19"/>
      <c r="U166" s="19"/>
      <c r="V166" s="19"/>
      <c r="W166" s="19"/>
      <c r="X166" s="19"/>
      <c r="Y166" s="19"/>
      <c r="Z166" t="str">
        <f>IF(Tabela1[[#This Row],[1]]&lt;&gt;"",IF(ISNUMBER(FIND(",",Tabela1[[#This Row],[1]])),LEN(Tabela1[[#This Row],[1]])-LEN(SUBSTITUTE(Tabela1[[#This Row],[1]],",",""))+1,1),"")</f>
        <v/>
      </c>
      <c r="AA166" t="str">
        <f>IF(Tabela1[[#This Row],[2]]&lt;&gt;"",IF(ISNUMBER(FIND(",",Tabela1[[#This Row],[2]])),LEN(Tabela1[[#This Row],[2]])-LEN(SUBSTITUTE(Tabela1[[#This Row],[2]],",",""))+1,1),"")</f>
        <v/>
      </c>
      <c r="AB166" t="str">
        <f>IF(Tabela1[[#This Row],[3]]&lt;&gt;"",IF(ISNUMBER(FIND(",",Tabela1[[#This Row],[3]])),LEN(Tabela1[[#This Row],[3]])-LEN(SUBSTITUTE(Tabela1[[#This Row],[3]],",",""))+1,1),"")</f>
        <v/>
      </c>
      <c r="AC166" t="str">
        <f>IF(Tabela1[[#This Row],[4]]&lt;&gt;"",IF(ISNUMBER(FIND(",",Tabela1[[#This Row],[4]])),LEN(Tabela1[[#This Row],[4]])-LEN(SUBSTITUTE(Tabela1[[#This Row],[4]],",",""))+1,1),"")</f>
        <v/>
      </c>
      <c r="AD166">
        <f>IF(Tabela1[[#This Row],[5]]&lt;&gt;"",IF(ISNUMBER(FIND(",",Tabela1[[#This Row],[5]])),LEN(Tabela1[[#This Row],[5]])-LEN(SUBSTITUTE(Tabela1[[#This Row],[5]],",",""))+1,1),"")</f>
        <v>1</v>
      </c>
      <c r="AE166" t="str">
        <f>IF(Tabela1[[#This Row],[6]]&lt;&gt;"",IF(ISNUMBER(FIND(",",Tabela1[[#This Row],[6]])),LEN(Tabela1[[#This Row],[6]])-LEN(SUBSTITUTE(Tabela1[[#This Row],[6]],",",""))+1,1),"")</f>
        <v/>
      </c>
      <c r="AF166" t="str">
        <f>IF(Tabela1[[#This Row],[7]]&lt;&gt;"",IF(ISNUMBER(FIND(",",Tabela1[[#This Row],[7]])),LEN(Tabela1[[#This Row],[7]])-LEN(SUBSTITUTE(Tabela1[[#This Row],[7]],",",""))+1,1),"")</f>
        <v/>
      </c>
      <c r="AG166" t="str">
        <f>IF(Tabela1[[#This Row],[8]]&lt;&gt;"",IF(ISNUMBER(FIND(",",Tabela1[[#This Row],[8]])),LEN(Tabela1[[#This Row],[8]])-LEN(SUBSTITUTE(Tabela1[[#This Row],[8]],",",""))+1,1),"")</f>
        <v/>
      </c>
      <c r="AH166" t="str">
        <f>IF(Tabela1[[#This Row],[9]]&lt;&gt;"",IF(ISNUMBER(FIND(",",Tabela1[[#This Row],[9]])),LEN(Tabela1[[#This Row],[9]])-LEN(SUBSTITUTE(Tabela1[[#This Row],[9]],",",""))+1,1),"")</f>
        <v/>
      </c>
      <c r="AI166" t="str">
        <f>IF(Tabela1[[#This Row],[10]]&lt;&gt;"",IF(ISNUMBER(FIND(",",Tabela1[[#This Row],[10]])),LEN(Tabela1[[#This Row],[10]])-LEN(SUBSTITUTE(Tabela1[[#This Row],[10]],",",""))+1,1),"")</f>
        <v/>
      </c>
      <c r="AJ166" t="str">
        <f>IF(Tabela1[[#This Row],[11]]&lt;&gt;"",IF(ISNUMBER(FIND(",",Tabela1[[#This Row],[11]])),LEN(Tabela1[[#This Row],[11]])-LEN(SUBSTITUTE(Tabela1[[#This Row],[11]],",",""))+1,1),"")</f>
        <v/>
      </c>
      <c r="AK166" t="str">
        <f>IF(Tabela1[[#This Row],[12]]&lt;&gt;"",IF(ISNUMBER(FIND(",",Tabela1[[#This Row],[12]])),LEN(Tabela1[[#This Row],[12]])-LEN(SUBSTITUTE(Tabela1[[#This Row],[12]],",",""))+1,1),"")</f>
        <v/>
      </c>
      <c r="AL166" t="str">
        <f>IF(Tabela1[[#This Row],[13]]&lt;&gt;"",IF(ISNUMBER(FIND(",",Tabela1[[#This Row],[13]])),LEN(Tabela1[[#This Row],[13]])-LEN(SUBSTITUTE(Tabela1[[#This Row],[13]],",",""))+1,1),"")</f>
        <v/>
      </c>
      <c r="AM166" t="str">
        <f>IF(Tabela1[[#This Row],[14]]&lt;&gt;"",IF(ISNUMBER(FIND(",",Tabela1[[#This Row],[14]])),LEN(Tabela1[[#This Row],[14]])-LEN(SUBSTITUTE(Tabela1[[#This Row],[14]],",",""))+1,1),"")</f>
        <v/>
      </c>
      <c r="AN166" t="str">
        <f>IF(Tabela1[[#This Row],[15]]&lt;&gt;"",IF(ISNUMBER(FIND(",",Tabela1[[#This Row],[15]])),LEN(Tabela1[[#This Row],[15]])-LEN(SUBSTITUTE(Tabela1[[#This Row],[15]],",",""))+1,1),"")</f>
        <v/>
      </c>
      <c r="AO166" t="str">
        <f>IF(Tabela1[[#This Row],[16]]&lt;&gt;"",IF(ISNUMBER(FIND(",",Tabela1[[#This Row],[16]])),LEN(Tabela1[[#This Row],[16]])-LEN(SUBSTITUTE(Tabela1[[#This Row],[16]],",",""))+1,1),"")</f>
        <v/>
      </c>
      <c r="AP166" t="str">
        <f>IF(Tabela1[[#This Row],[17]]&lt;&gt;"",IF(ISNUMBER(FIND(",",Tabela1[[#This Row],[17]])),LEN(Tabela1[[#This Row],[17]])-LEN(SUBSTITUTE(Tabela1[[#This Row],[17]],",",""))+1,1),"")</f>
        <v/>
      </c>
      <c r="AQ166" t="str">
        <f>IF(Tabela1[[#This Row],[18]]&lt;&gt;"",IF(ISNUMBER(FIND(",",Tabela1[[#This Row],[18]])),LEN(Tabela1[[#This Row],[18]])-LEN(SUBSTITUTE(Tabela1[[#This Row],[18]],",",""))+1,1),"")</f>
        <v/>
      </c>
      <c r="AR166" s="13" t="str">
        <f>IF(Tabela1[[#This Row],[19_LENGTH]]&lt;&gt;"",IF(ISNUMBER(FIND(",",Tabela1[[#This Row],[19_LENGTH]])),LEN(Tabela1[[#This Row],[19_LENGTH]])-LEN(SUBSTITUTE(Tabela1[[#This Row],[19_LENGTH]],",",""))+1,1),"")</f>
        <v/>
      </c>
      <c r="AS166" s="21">
        <f>SUM(Tabela1[[#This Row],[1_]:[19_]])</f>
        <v>1</v>
      </c>
    </row>
    <row r="167" spans="1:45" x14ac:dyDescent="0.25">
      <c r="A167" s="27" t="s">
        <v>1320</v>
      </c>
      <c r="B167" s="19" t="s">
        <v>379</v>
      </c>
      <c r="C167" s="19">
        <v>102</v>
      </c>
      <c r="D167" s="19" t="s">
        <v>1313</v>
      </c>
      <c r="E167" s="20">
        <v>43454</v>
      </c>
      <c r="F167" s="19"/>
      <c r="G167" s="19"/>
      <c r="H167" s="19"/>
      <c r="I167" s="19">
        <v>76</v>
      </c>
      <c r="J167" s="19"/>
      <c r="K167" s="19">
        <v>79</v>
      </c>
      <c r="L167" s="19"/>
      <c r="M167" s="19">
        <v>76</v>
      </c>
      <c r="N167" s="19"/>
      <c r="O167" s="19"/>
      <c r="P167" s="19"/>
      <c r="Q167" s="19"/>
      <c r="R167" s="19"/>
      <c r="S167" s="19"/>
      <c r="T167" s="19"/>
      <c r="U167" s="19"/>
      <c r="V167" s="19"/>
      <c r="W167" s="19"/>
      <c r="X167" s="19"/>
      <c r="Y167" s="19"/>
      <c r="Z167" t="str">
        <f>IF(Tabela1[[#This Row],[1]]&lt;&gt;"",IF(ISNUMBER(FIND(",",Tabela1[[#This Row],[1]])),LEN(Tabela1[[#This Row],[1]])-LEN(SUBSTITUTE(Tabela1[[#This Row],[1]],",",""))+1,1),"")</f>
        <v/>
      </c>
      <c r="AA167" t="str">
        <f>IF(Tabela1[[#This Row],[2]]&lt;&gt;"",IF(ISNUMBER(FIND(",",Tabela1[[#This Row],[2]])),LEN(Tabela1[[#This Row],[2]])-LEN(SUBSTITUTE(Tabela1[[#This Row],[2]],",",""))+1,1),"")</f>
        <v/>
      </c>
      <c r="AB167" t="str">
        <f>IF(Tabela1[[#This Row],[3]]&lt;&gt;"",IF(ISNUMBER(FIND(",",Tabela1[[#This Row],[3]])),LEN(Tabela1[[#This Row],[3]])-LEN(SUBSTITUTE(Tabela1[[#This Row],[3]],",",""))+1,1),"")</f>
        <v/>
      </c>
      <c r="AC167">
        <f>IF(Tabela1[[#This Row],[4]]&lt;&gt;"",IF(ISNUMBER(FIND(",",Tabela1[[#This Row],[4]])),LEN(Tabela1[[#This Row],[4]])-LEN(SUBSTITUTE(Tabela1[[#This Row],[4]],",",""))+1,1),"")</f>
        <v>1</v>
      </c>
      <c r="AD167" t="str">
        <f>IF(Tabela1[[#This Row],[5]]&lt;&gt;"",IF(ISNUMBER(FIND(",",Tabela1[[#This Row],[5]])),LEN(Tabela1[[#This Row],[5]])-LEN(SUBSTITUTE(Tabela1[[#This Row],[5]],",",""))+1,1),"")</f>
        <v/>
      </c>
      <c r="AE167">
        <f>IF(Tabela1[[#This Row],[6]]&lt;&gt;"",IF(ISNUMBER(FIND(",",Tabela1[[#This Row],[6]])),LEN(Tabela1[[#This Row],[6]])-LEN(SUBSTITUTE(Tabela1[[#This Row],[6]],",",""))+1,1),"")</f>
        <v>1</v>
      </c>
      <c r="AF167" t="str">
        <f>IF(Tabela1[[#This Row],[7]]&lt;&gt;"",IF(ISNUMBER(FIND(",",Tabela1[[#This Row],[7]])),LEN(Tabela1[[#This Row],[7]])-LEN(SUBSTITUTE(Tabela1[[#This Row],[7]],",",""))+1,1),"")</f>
        <v/>
      </c>
      <c r="AG167">
        <f>IF(Tabela1[[#This Row],[8]]&lt;&gt;"",IF(ISNUMBER(FIND(",",Tabela1[[#This Row],[8]])),LEN(Tabela1[[#This Row],[8]])-LEN(SUBSTITUTE(Tabela1[[#This Row],[8]],",",""))+1,1),"")</f>
        <v>1</v>
      </c>
      <c r="AH167" t="str">
        <f>IF(Tabela1[[#This Row],[9]]&lt;&gt;"",IF(ISNUMBER(FIND(",",Tabela1[[#This Row],[9]])),LEN(Tabela1[[#This Row],[9]])-LEN(SUBSTITUTE(Tabela1[[#This Row],[9]],",",""))+1,1),"")</f>
        <v/>
      </c>
      <c r="AI167" t="str">
        <f>IF(Tabela1[[#This Row],[10]]&lt;&gt;"",IF(ISNUMBER(FIND(",",Tabela1[[#This Row],[10]])),LEN(Tabela1[[#This Row],[10]])-LEN(SUBSTITUTE(Tabela1[[#This Row],[10]],",",""))+1,1),"")</f>
        <v/>
      </c>
      <c r="AJ167" t="str">
        <f>IF(Tabela1[[#This Row],[11]]&lt;&gt;"",IF(ISNUMBER(FIND(",",Tabela1[[#This Row],[11]])),LEN(Tabela1[[#This Row],[11]])-LEN(SUBSTITUTE(Tabela1[[#This Row],[11]],",",""))+1,1),"")</f>
        <v/>
      </c>
      <c r="AK167" t="str">
        <f>IF(Tabela1[[#This Row],[12]]&lt;&gt;"",IF(ISNUMBER(FIND(",",Tabela1[[#This Row],[12]])),LEN(Tabela1[[#This Row],[12]])-LEN(SUBSTITUTE(Tabela1[[#This Row],[12]],",",""))+1,1),"")</f>
        <v/>
      </c>
      <c r="AL167" t="str">
        <f>IF(Tabela1[[#This Row],[13]]&lt;&gt;"",IF(ISNUMBER(FIND(",",Tabela1[[#This Row],[13]])),LEN(Tabela1[[#This Row],[13]])-LEN(SUBSTITUTE(Tabela1[[#This Row],[13]],",",""))+1,1),"")</f>
        <v/>
      </c>
      <c r="AM167" t="str">
        <f>IF(Tabela1[[#This Row],[14]]&lt;&gt;"",IF(ISNUMBER(FIND(",",Tabela1[[#This Row],[14]])),LEN(Tabela1[[#This Row],[14]])-LEN(SUBSTITUTE(Tabela1[[#This Row],[14]],",",""))+1,1),"")</f>
        <v/>
      </c>
      <c r="AN167" t="str">
        <f>IF(Tabela1[[#This Row],[15]]&lt;&gt;"",IF(ISNUMBER(FIND(",",Tabela1[[#This Row],[15]])),LEN(Tabela1[[#This Row],[15]])-LEN(SUBSTITUTE(Tabela1[[#This Row],[15]],",",""))+1,1),"")</f>
        <v/>
      </c>
      <c r="AO167" t="str">
        <f>IF(Tabela1[[#This Row],[16]]&lt;&gt;"",IF(ISNUMBER(FIND(",",Tabela1[[#This Row],[16]])),LEN(Tabela1[[#This Row],[16]])-LEN(SUBSTITUTE(Tabela1[[#This Row],[16]],",",""))+1,1),"")</f>
        <v/>
      </c>
      <c r="AP167" t="str">
        <f>IF(Tabela1[[#This Row],[17]]&lt;&gt;"",IF(ISNUMBER(FIND(",",Tabela1[[#This Row],[17]])),LEN(Tabela1[[#This Row],[17]])-LEN(SUBSTITUTE(Tabela1[[#This Row],[17]],",",""))+1,1),"")</f>
        <v/>
      </c>
      <c r="AQ167" t="str">
        <f>IF(Tabela1[[#This Row],[18]]&lt;&gt;"",IF(ISNUMBER(FIND(",",Tabela1[[#This Row],[18]])),LEN(Tabela1[[#This Row],[18]])-LEN(SUBSTITUTE(Tabela1[[#This Row],[18]],",",""))+1,1),"")</f>
        <v/>
      </c>
      <c r="AR167" s="13" t="str">
        <f>IF(Tabela1[[#This Row],[19_LENGTH]]&lt;&gt;"",IF(ISNUMBER(FIND(",",Tabela1[[#This Row],[19_LENGTH]])),LEN(Tabela1[[#This Row],[19_LENGTH]])-LEN(SUBSTITUTE(Tabela1[[#This Row],[19_LENGTH]],",",""))+1,1),"")</f>
        <v/>
      </c>
      <c r="AS167" s="21">
        <f>SUM(Tabela1[[#This Row],[1_]:[19_]])</f>
        <v>3</v>
      </c>
    </row>
    <row r="168" spans="1:45" x14ac:dyDescent="0.25">
      <c r="A168" s="27" t="s">
        <v>1320</v>
      </c>
      <c r="B168" s="19" t="s">
        <v>380</v>
      </c>
      <c r="C168" s="19">
        <v>102</v>
      </c>
      <c r="D168" s="19" t="s">
        <v>1313</v>
      </c>
      <c r="E168" s="20">
        <v>43454</v>
      </c>
      <c r="F168" s="19"/>
      <c r="G168" s="19"/>
      <c r="H168" s="19"/>
      <c r="I168" s="19" t="s">
        <v>65</v>
      </c>
      <c r="J168" s="19"/>
      <c r="K168" s="19"/>
      <c r="L168" s="19"/>
      <c r="M168" s="19"/>
      <c r="N168" s="19"/>
      <c r="O168" s="19"/>
      <c r="P168" s="19"/>
      <c r="Q168" s="19"/>
      <c r="R168" s="19"/>
      <c r="S168" s="19"/>
      <c r="T168" s="19"/>
      <c r="U168" s="19"/>
      <c r="V168" s="19"/>
      <c r="W168" s="19"/>
      <c r="X168" s="19"/>
      <c r="Y168" s="19"/>
      <c r="Z168" t="str">
        <f>IF(Tabela1[[#This Row],[1]]&lt;&gt;"",IF(ISNUMBER(FIND(",",Tabela1[[#This Row],[1]])),LEN(Tabela1[[#This Row],[1]])-LEN(SUBSTITUTE(Tabela1[[#This Row],[1]],",",""))+1,1),"")</f>
        <v/>
      </c>
      <c r="AA168" t="str">
        <f>IF(Tabela1[[#This Row],[2]]&lt;&gt;"",IF(ISNUMBER(FIND(",",Tabela1[[#This Row],[2]])),LEN(Tabela1[[#This Row],[2]])-LEN(SUBSTITUTE(Tabela1[[#This Row],[2]],",",""))+1,1),"")</f>
        <v/>
      </c>
      <c r="AB168" t="str">
        <f>IF(Tabela1[[#This Row],[3]]&lt;&gt;"",IF(ISNUMBER(FIND(",",Tabela1[[#This Row],[3]])),LEN(Tabela1[[#This Row],[3]])-LEN(SUBSTITUTE(Tabela1[[#This Row],[3]],",",""))+1,1),"")</f>
        <v/>
      </c>
      <c r="AC168">
        <f>IF(Tabela1[[#This Row],[4]]&lt;&gt;"",IF(ISNUMBER(FIND(",",Tabela1[[#This Row],[4]])),LEN(Tabela1[[#This Row],[4]])-LEN(SUBSTITUTE(Tabela1[[#This Row],[4]],",",""))+1,1),"")</f>
        <v>2</v>
      </c>
      <c r="AD168" t="str">
        <f>IF(Tabela1[[#This Row],[5]]&lt;&gt;"",IF(ISNUMBER(FIND(",",Tabela1[[#This Row],[5]])),LEN(Tabela1[[#This Row],[5]])-LEN(SUBSTITUTE(Tabela1[[#This Row],[5]],",",""))+1,1),"")</f>
        <v/>
      </c>
      <c r="AE168" t="str">
        <f>IF(Tabela1[[#This Row],[6]]&lt;&gt;"",IF(ISNUMBER(FIND(",",Tabela1[[#This Row],[6]])),LEN(Tabela1[[#This Row],[6]])-LEN(SUBSTITUTE(Tabela1[[#This Row],[6]],",",""))+1,1),"")</f>
        <v/>
      </c>
      <c r="AF168" t="str">
        <f>IF(Tabela1[[#This Row],[7]]&lt;&gt;"",IF(ISNUMBER(FIND(",",Tabela1[[#This Row],[7]])),LEN(Tabela1[[#This Row],[7]])-LEN(SUBSTITUTE(Tabela1[[#This Row],[7]],",",""))+1,1),"")</f>
        <v/>
      </c>
      <c r="AG168" t="str">
        <f>IF(Tabela1[[#This Row],[8]]&lt;&gt;"",IF(ISNUMBER(FIND(",",Tabela1[[#This Row],[8]])),LEN(Tabela1[[#This Row],[8]])-LEN(SUBSTITUTE(Tabela1[[#This Row],[8]],",",""))+1,1),"")</f>
        <v/>
      </c>
      <c r="AH168" t="str">
        <f>IF(Tabela1[[#This Row],[9]]&lt;&gt;"",IF(ISNUMBER(FIND(",",Tabela1[[#This Row],[9]])),LEN(Tabela1[[#This Row],[9]])-LEN(SUBSTITUTE(Tabela1[[#This Row],[9]],",",""))+1,1),"")</f>
        <v/>
      </c>
      <c r="AI168" t="str">
        <f>IF(Tabela1[[#This Row],[10]]&lt;&gt;"",IF(ISNUMBER(FIND(",",Tabela1[[#This Row],[10]])),LEN(Tabela1[[#This Row],[10]])-LEN(SUBSTITUTE(Tabela1[[#This Row],[10]],",",""))+1,1),"")</f>
        <v/>
      </c>
      <c r="AJ168" t="str">
        <f>IF(Tabela1[[#This Row],[11]]&lt;&gt;"",IF(ISNUMBER(FIND(",",Tabela1[[#This Row],[11]])),LEN(Tabela1[[#This Row],[11]])-LEN(SUBSTITUTE(Tabela1[[#This Row],[11]],",",""))+1,1),"")</f>
        <v/>
      </c>
      <c r="AK168" t="str">
        <f>IF(Tabela1[[#This Row],[12]]&lt;&gt;"",IF(ISNUMBER(FIND(",",Tabela1[[#This Row],[12]])),LEN(Tabela1[[#This Row],[12]])-LEN(SUBSTITUTE(Tabela1[[#This Row],[12]],",",""))+1,1),"")</f>
        <v/>
      </c>
      <c r="AL168" t="str">
        <f>IF(Tabela1[[#This Row],[13]]&lt;&gt;"",IF(ISNUMBER(FIND(",",Tabela1[[#This Row],[13]])),LEN(Tabela1[[#This Row],[13]])-LEN(SUBSTITUTE(Tabela1[[#This Row],[13]],",",""))+1,1),"")</f>
        <v/>
      </c>
      <c r="AM168" t="str">
        <f>IF(Tabela1[[#This Row],[14]]&lt;&gt;"",IF(ISNUMBER(FIND(",",Tabela1[[#This Row],[14]])),LEN(Tabela1[[#This Row],[14]])-LEN(SUBSTITUTE(Tabela1[[#This Row],[14]],",",""))+1,1),"")</f>
        <v/>
      </c>
      <c r="AN168" t="str">
        <f>IF(Tabela1[[#This Row],[15]]&lt;&gt;"",IF(ISNUMBER(FIND(",",Tabela1[[#This Row],[15]])),LEN(Tabela1[[#This Row],[15]])-LEN(SUBSTITUTE(Tabela1[[#This Row],[15]],",",""))+1,1),"")</f>
        <v/>
      </c>
      <c r="AO168" t="str">
        <f>IF(Tabela1[[#This Row],[16]]&lt;&gt;"",IF(ISNUMBER(FIND(",",Tabela1[[#This Row],[16]])),LEN(Tabela1[[#This Row],[16]])-LEN(SUBSTITUTE(Tabela1[[#This Row],[16]],",",""))+1,1),"")</f>
        <v/>
      </c>
      <c r="AP168" t="str">
        <f>IF(Tabela1[[#This Row],[17]]&lt;&gt;"",IF(ISNUMBER(FIND(",",Tabela1[[#This Row],[17]])),LEN(Tabela1[[#This Row],[17]])-LEN(SUBSTITUTE(Tabela1[[#This Row],[17]],",",""))+1,1),"")</f>
        <v/>
      </c>
      <c r="AQ168" t="str">
        <f>IF(Tabela1[[#This Row],[18]]&lt;&gt;"",IF(ISNUMBER(FIND(",",Tabela1[[#This Row],[18]])),LEN(Tabela1[[#This Row],[18]])-LEN(SUBSTITUTE(Tabela1[[#This Row],[18]],",",""))+1,1),"")</f>
        <v/>
      </c>
      <c r="AR168" s="13" t="str">
        <f>IF(Tabela1[[#This Row],[19_LENGTH]]&lt;&gt;"",IF(ISNUMBER(FIND(",",Tabela1[[#This Row],[19_LENGTH]])),LEN(Tabela1[[#This Row],[19_LENGTH]])-LEN(SUBSTITUTE(Tabela1[[#This Row],[19_LENGTH]],",",""))+1,1),"")</f>
        <v/>
      </c>
      <c r="AS168" s="21">
        <f>SUM(Tabela1[[#This Row],[1_]:[19_]])</f>
        <v>2</v>
      </c>
    </row>
    <row r="169" spans="1:45" x14ac:dyDescent="0.25">
      <c r="A169" s="27" t="s">
        <v>1320</v>
      </c>
      <c r="B169" s="19" t="s">
        <v>381</v>
      </c>
      <c r="C169" s="19">
        <v>102</v>
      </c>
      <c r="D169" s="19" t="s">
        <v>1313</v>
      </c>
      <c r="E169" s="20">
        <v>43454</v>
      </c>
      <c r="F169" s="19"/>
      <c r="G169" s="19"/>
      <c r="H169" s="19"/>
      <c r="I169" s="19">
        <v>57</v>
      </c>
      <c r="J169" s="19"/>
      <c r="K169" s="19"/>
      <c r="L169" s="19"/>
      <c r="M169" s="19">
        <v>21</v>
      </c>
      <c r="N169" s="19"/>
      <c r="O169" s="19"/>
      <c r="P169" s="19"/>
      <c r="Q169" s="19"/>
      <c r="R169" s="19"/>
      <c r="S169" s="19"/>
      <c r="T169" s="19"/>
      <c r="U169" s="19"/>
      <c r="V169" s="19"/>
      <c r="W169" s="19"/>
      <c r="X169" s="19"/>
      <c r="Y169" s="19"/>
      <c r="Z169" t="str">
        <f>IF(Tabela1[[#This Row],[1]]&lt;&gt;"",IF(ISNUMBER(FIND(",",Tabela1[[#This Row],[1]])),LEN(Tabela1[[#This Row],[1]])-LEN(SUBSTITUTE(Tabela1[[#This Row],[1]],",",""))+1,1),"")</f>
        <v/>
      </c>
      <c r="AA169" t="str">
        <f>IF(Tabela1[[#This Row],[2]]&lt;&gt;"",IF(ISNUMBER(FIND(",",Tabela1[[#This Row],[2]])),LEN(Tabela1[[#This Row],[2]])-LEN(SUBSTITUTE(Tabela1[[#This Row],[2]],",",""))+1,1),"")</f>
        <v/>
      </c>
      <c r="AB169" t="str">
        <f>IF(Tabela1[[#This Row],[3]]&lt;&gt;"",IF(ISNUMBER(FIND(",",Tabela1[[#This Row],[3]])),LEN(Tabela1[[#This Row],[3]])-LEN(SUBSTITUTE(Tabela1[[#This Row],[3]],",",""))+1,1),"")</f>
        <v/>
      </c>
      <c r="AC169">
        <f>IF(Tabela1[[#This Row],[4]]&lt;&gt;"",IF(ISNUMBER(FIND(",",Tabela1[[#This Row],[4]])),LEN(Tabela1[[#This Row],[4]])-LEN(SUBSTITUTE(Tabela1[[#This Row],[4]],",",""))+1,1),"")</f>
        <v>1</v>
      </c>
      <c r="AD169" t="str">
        <f>IF(Tabela1[[#This Row],[5]]&lt;&gt;"",IF(ISNUMBER(FIND(",",Tabela1[[#This Row],[5]])),LEN(Tabela1[[#This Row],[5]])-LEN(SUBSTITUTE(Tabela1[[#This Row],[5]],",",""))+1,1),"")</f>
        <v/>
      </c>
      <c r="AE169" t="str">
        <f>IF(Tabela1[[#This Row],[6]]&lt;&gt;"",IF(ISNUMBER(FIND(",",Tabela1[[#This Row],[6]])),LEN(Tabela1[[#This Row],[6]])-LEN(SUBSTITUTE(Tabela1[[#This Row],[6]],",",""))+1,1),"")</f>
        <v/>
      </c>
      <c r="AF169" t="str">
        <f>IF(Tabela1[[#This Row],[7]]&lt;&gt;"",IF(ISNUMBER(FIND(",",Tabela1[[#This Row],[7]])),LEN(Tabela1[[#This Row],[7]])-LEN(SUBSTITUTE(Tabela1[[#This Row],[7]],",",""))+1,1),"")</f>
        <v/>
      </c>
      <c r="AG169">
        <f>IF(Tabela1[[#This Row],[8]]&lt;&gt;"",IF(ISNUMBER(FIND(",",Tabela1[[#This Row],[8]])),LEN(Tabela1[[#This Row],[8]])-LEN(SUBSTITUTE(Tabela1[[#This Row],[8]],",",""))+1,1),"")</f>
        <v>1</v>
      </c>
      <c r="AH169" t="str">
        <f>IF(Tabela1[[#This Row],[9]]&lt;&gt;"",IF(ISNUMBER(FIND(",",Tabela1[[#This Row],[9]])),LEN(Tabela1[[#This Row],[9]])-LEN(SUBSTITUTE(Tabela1[[#This Row],[9]],",",""))+1,1),"")</f>
        <v/>
      </c>
      <c r="AI169" t="str">
        <f>IF(Tabela1[[#This Row],[10]]&lt;&gt;"",IF(ISNUMBER(FIND(",",Tabela1[[#This Row],[10]])),LEN(Tabela1[[#This Row],[10]])-LEN(SUBSTITUTE(Tabela1[[#This Row],[10]],",",""))+1,1),"")</f>
        <v/>
      </c>
      <c r="AJ169" t="str">
        <f>IF(Tabela1[[#This Row],[11]]&lt;&gt;"",IF(ISNUMBER(FIND(",",Tabela1[[#This Row],[11]])),LEN(Tabela1[[#This Row],[11]])-LEN(SUBSTITUTE(Tabela1[[#This Row],[11]],",",""))+1,1),"")</f>
        <v/>
      </c>
      <c r="AK169" t="str">
        <f>IF(Tabela1[[#This Row],[12]]&lt;&gt;"",IF(ISNUMBER(FIND(",",Tabela1[[#This Row],[12]])),LEN(Tabela1[[#This Row],[12]])-LEN(SUBSTITUTE(Tabela1[[#This Row],[12]],",",""))+1,1),"")</f>
        <v/>
      </c>
      <c r="AL169" t="str">
        <f>IF(Tabela1[[#This Row],[13]]&lt;&gt;"",IF(ISNUMBER(FIND(",",Tabela1[[#This Row],[13]])),LEN(Tabela1[[#This Row],[13]])-LEN(SUBSTITUTE(Tabela1[[#This Row],[13]],",",""))+1,1),"")</f>
        <v/>
      </c>
      <c r="AM169" t="str">
        <f>IF(Tabela1[[#This Row],[14]]&lt;&gt;"",IF(ISNUMBER(FIND(",",Tabela1[[#This Row],[14]])),LEN(Tabela1[[#This Row],[14]])-LEN(SUBSTITUTE(Tabela1[[#This Row],[14]],",",""))+1,1),"")</f>
        <v/>
      </c>
      <c r="AN169" t="str">
        <f>IF(Tabela1[[#This Row],[15]]&lt;&gt;"",IF(ISNUMBER(FIND(",",Tabela1[[#This Row],[15]])),LEN(Tabela1[[#This Row],[15]])-LEN(SUBSTITUTE(Tabela1[[#This Row],[15]],",",""))+1,1),"")</f>
        <v/>
      </c>
      <c r="AO169" t="str">
        <f>IF(Tabela1[[#This Row],[16]]&lt;&gt;"",IF(ISNUMBER(FIND(",",Tabela1[[#This Row],[16]])),LEN(Tabela1[[#This Row],[16]])-LEN(SUBSTITUTE(Tabela1[[#This Row],[16]],",",""))+1,1),"")</f>
        <v/>
      </c>
      <c r="AP169" t="str">
        <f>IF(Tabela1[[#This Row],[17]]&lt;&gt;"",IF(ISNUMBER(FIND(",",Tabela1[[#This Row],[17]])),LEN(Tabela1[[#This Row],[17]])-LEN(SUBSTITUTE(Tabela1[[#This Row],[17]],",",""))+1,1),"")</f>
        <v/>
      </c>
      <c r="AQ169" t="str">
        <f>IF(Tabela1[[#This Row],[18]]&lt;&gt;"",IF(ISNUMBER(FIND(",",Tabela1[[#This Row],[18]])),LEN(Tabela1[[#This Row],[18]])-LEN(SUBSTITUTE(Tabela1[[#This Row],[18]],",",""))+1,1),"")</f>
        <v/>
      </c>
      <c r="AR169" s="13" t="str">
        <f>IF(Tabela1[[#This Row],[19_LENGTH]]&lt;&gt;"",IF(ISNUMBER(FIND(",",Tabela1[[#This Row],[19_LENGTH]])),LEN(Tabela1[[#This Row],[19_LENGTH]])-LEN(SUBSTITUTE(Tabela1[[#This Row],[19_LENGTH]],",",""))+1,1),"")</f>
        <v/>
      </c>
      <c r="AS169" s="21">
        <f>SUM(Tabela1[[#This Row],[1_]:[19_]])</f>
        <v>2</v>
      </c>
    </row>
    <row r="170" spans="1:45" x14ac:dyDescent="0.25">
      <c r="A170" s="27" t="s">
        <v>1320</v>
      </c>
      <c r="B170" s="19" t="s">
        <v>382</v>
      </c>
      <c r="C170" s="19">
        <v>102</v>
      </c>
      <c r="D170" s="19" t="s">
        <v>1313</v>
      </c>
      <c r="E170" s="20">
        <v>43454</v>
      </c>
      <c r="F170" s="19"/>
      <c r="G170" s="19"/>
      <c r="H170" s="19"/>
      <c r="I170" s="19" t="s">
        <v>66</v>
      </c>
      <c r="J170" s="19"/>
      <c r="K170" s="19"/>
      <c r="L170" s="19"/>
      <c r="M170" s="19"/>
      <c r="N170" s="19"/>
      <c r="O170" s="19"/>
      <c r="P170" s="19"/>
      <c r="Q170" s="19"/>
      <c r="R170" s="19"/>
      <c r="S170" s="19"/>
      <c r="T170" s="19"/>
      <c r="U170" s="19"/>
      <c r="V170" s="19"/>
      <c r="W170" s="19"/>
      <c r="X170" s="19"/>
      <c r="Y170" s="19"/>
      <c r="Z170" t="str">
        <f>IF(Tabela1[[#This Row],[1]]&lt;&gt;"",IF(ISNUMBER(FIND(",",Tabela1[[#This Row],[1]])),LEN(Tabela1[[#This Row],[1]])-LEN(SUBSTITUTE(Tabela1[[#This Row],[1]],",",""))+1,1),"")</f>
        <v/>
      </c>
      <c r="AA170" t="str">
        <f>IF(Tabela1[[#This Row],[2]]&lt;&gt;"",IF(ISNUMBER(FIND(",",Tabela1[[#This Row],[2]])),LEN(Tabela1[[#This Row],[2]])-LEN(SUBSTITUTE(Tabela1[[#This Row],[2]],",",""))+1,1),"")</f>
        <v/>
      </c>
      <c r="AB170" t="str">
        <f>IF(Tabela1[[#This Row],[3]]&lt;&gt;"",IF(ISNUMBER(FIND(",",Tabela1[[#This Row],[3]])),LEN(Tabela1[[#This Row],[3]])-LEN(SUBSTITUTE(Tabela1[[#This Row],[3]],",",""))+1,1),"")</f>
        <v/>
      </c>
      <c r="AC170">
        <f>IF(Tabela1[[#This Row],[4]]&lt;&gt;"",IF(ISNUMBER(FIND(",",Tabela1[[#This Row],[4]])),LEN(Tabela1[[#This Row],[4]])-LEN(SUBSTITUTE(Tabela1[[#This Row],[4]],",",""))+1,1),"")</f>
        <v>3</v>
      </c>
      <c r="AD170" t="str">
        <f>IF(Tabela1[[#This Row],[5]]&lt;&gt;"",IF(ISNUMBER(FIND(",",Tabela1[[#This Row],[5]])),LEN(Tabela1[[#This Row],[5]])-LEN(SUBSTITUTE(Tabela1[[#This Row],[5]],",",""))+1,1),"")</f>
        <v/>
      </c>
      <c r="AE170" t="str">
        <f>IF(Tabela1[[#This Row],[6]]&lt;&gt;"",IF(ISNUMBER(FIND(",",Tabela1[[#This Row],[6]])),LEN(Tabela1[[#This Row],[6]])-LEN(SUBSTITUTE(Tabela1[[#This Row],[6]],",",""))+1,1),"")</f>
        <v/>
      </c>
      <c r="AF170" t="str">
        <f>IF(Tabela1[[#This Row],[7]]&lt;&gt;"",IF(ISNUMBER(FIND(",",Tabela1[[#This Row],[7]])),LEN(Tabela1[[#This Row],[7]])-LEN(SUBSTITUTE(Tabela1[[#This Row],[7]],",",""))+1,1),"")</f>
        <v/>
      </c>
      <c r="AG170" t="str">
        <f>IF(Tabela1[[#This Row],[8]]&lt;&gt;"",IF(ISNUMBER(FIND(",",Tabela1[[#This Row],[8]])),LEN(Tabela1[[#This Row],[8]])-LEN(SUBSTITUTE(Tabela1[[#This Row],[8]],",",""))+1,1),"")</f>
        <v/>
      </c>
      <c r="AH170" t="str">
        <f>IF(Tabela1[[#This Row],[9]]&lt;&gt;"",IF(ISNUMBER(FIND(",",Tabela1[[#This Row],[9]])),LEN(Tabela1[[#This Row],[9]])-LEN(SUBSTITUTE(Tabela1[[#This Row],[9]],",",""))+1,1),"")</f>
        <v/>
      </c>
      <c r="AI170" t="str">
        <f>IF(Tabela1[[#This Row],[10]]&lt;&gt;"",IF(ISNUMBER(FIND(",",Tabela1[[#This Row],[10]])),LEN(Tabela1[[#This Row],[10]])-LEN(SUBSTITUTE(Tabela1[[#This Row],[10]],",",""))+1,1),"")</f>
        <v/>
      </c>
      <c r="AJ170" t="str">
        <f>IF(Tabela1[[#This Row],[11]]&lt;&gt;"",IF(ISNUMBER(FIND(",",Tabela1[[#This Row],[11]])),LEN(Tabela1[[#This Row],[11]])-LEN(SUBSTITUTE(Tabela1[[#This Row],[11]],",",""))+1,1),"")</f>
        <v/>
      </c>
      <c r="AK170" t="str">
        <f>IF(Tabela1[[#This Row],[12]]&lt;&gt;"",IF(ISNUMBER(FIND(",",Tabela1[[#This Row],[12]])),LEN(Tabela1[[#This Row],[12]])-LEN(SUBSTITUTE(Tabela1[[#This Row],[12]],",",""))+1,1),"")</f>
        <v/>
      </c>
      <c r="AL170" t="str">
        <f>IF(Tabela1[[#This Row],[13]]&lt;&gt;"",IF(ISNUMBER(FIND(",",Tabela1[[#This Row],[13]])),LEN(Tabela1[[#This Row],[13]])-LEN(SUBSTITUTE(Tabela1[[#This Row],[13]],",",""))+1,1),"")</f>
        <v/>
      </c>
      <c r="AM170" t="str">
        <f>IF(Tabela1[[#This Row],[14]]&lt;&gt;"",IF(ISNUMBER(FIND(",",Tabela1[[#This Row],[14]])),LEN(Tabela1[[#This Row],[14]])-LEN(SUBSTITUTE(Tabela1[[#This Row],[14]],",",""))+1,1),"")</f>
        <v/>
      </c>
      <c r="AN170" t="str">
        <f>IF(Tabela1[[#This Row],[15]]&lt;&gt;"",IF(ISNUMBER(FIND(",",Tabela1[[#This Row],[15]])),LEN(Tabela1[[#This Row],[15]])-LEN(SUBSTITUTE(Tabela1[[#This Row],[15]],",",""))+1,1),"")</f>
        <v/>
      </c>
      <c r="AO170" t="str">
        <f>IF(Tabela1[[#This Row],[16]]&lt;&gt;"",IF(ISNUMBER(FIND(",",Tabela1[[#This Row],[16]])),LEN(Tabela1[[#This Row],[16]])-LEN(SUBSTITUTE(Tabela1[[#This Row],[16]],",",""))+1,1),"")</f>
        <v/>
      </c>
      <c r="AP170" t="str">
        <f>IF(Tabela1[[#This Row],[17]]&lt;&gt;"",IF(ISNUMBER(FIND(",",Tabela1[[#This Row],[17]])),LEN(Tabela1[[#This Row],[17]])-LEN(SUBSTITUTE(Tabela1[[#This Row],[17]],",",""))+1,1),"")</f>
        <v/>
      </c>
      <c r="AQ170" t="str">
        <f>IF(Tabela1[[#This Row],[18]]&lt;&gt;"",IF(ISNUMBER(FIND(",",Tabela1[[#This Row],[18]])),LEN(Tabela1[[#This Row],[18]])-LEN(SUBSTITUTE(Tabela1[[#This Row],[18]],",",""))+1,1),"")</f>
        <v/>
      </c>
      <c r="AR170" s="13" t="str">
        <f>IF(Tabela1[[#This Row],[19_LENGTH]]&lt;&gt;"",IF(ISNUMBER(FIND(",",Tabela1[[#This Row],[19_LENGTH]])),LEN(Tabela1[[#This Row],[19_LENGTH]])-LEN(SUBSTITUTE(Tabela1[[#This Row],[19_LENGTH]],",",""))+1,1),"")</f>
        <v/>
      </c>
      <c r="AS170" s="21">
        <f>SUM(Tabela1[[#This Row],[1_]:[19_]])</f>
        <v>3</v>
      </c>
    </row>
    <row r="171" spans="1:45" x14ac:dyDescent="0.25">
      <c r="A171" s="27" t="s">
        <v>1319</v>
      </c>
      <c r="B171" s="19" t="s">
        <v>383</v>
      </c>
      <c r="C171" s="19">
        <v>202</v>
      </c>
      <c r="D171" s="19" t="s">
        <v>1299</v>
      </c>
      <c r="E171" s="20">
        <v>43454</v>
      </c>
      <c r="F171" s="19"/>
      <c r="G171" s="19"/>
      <c r="H171" s="19">
        <v>64</v>
      </c>
      <c r="I171" s="19"/>
      <c r="J171" s="19"/>
      <c r="K171" s="19"/>
      <c r="L171" s="19"/>
      <c r="M171" s="19"/>
      <c r="N171" s="19"/>
      <c r="O171" s="19"/>
      <c r="P171" s="19"/>
      <c r="Q171" s="19"/>
      <c r="R171" s="19"/>
      <c r="S171" s="19"/>
      <c r="T171" s="19"/>
      <c r="U171" s="19">
        <v>200</v>
      </c>
      <c r="V171" s="19"/>
      <c r="W171" s="19"/>
      <c r="X171" s="19"/>
      <c r="Y171" s="19"/>
      <c r="Z171" t="str">
        <f>IF(Tabela1[[#This Row],[1]]&lt;&gt;"",IF(ISNUMBER(FIND(",",Tabela1[[#This Row],[1]])),LEN(Tabela1[[#This Row],[1]])-LEN(SUBSTITUTE(Tabela1[[#This Row],[1]],",",""))+1,1),"")</f>
        <v/>
      </c>
      <c r="AA171" t="str">
        <f>IF(Tabela1[[#This Row],[2]]&lt;&gt;"",IF(ISNUMBER(FIND(",",Tabela1[[#This Row],[2]])),LEN(Tabela1[[#This Row],[2]])-LEN(SUBSTITUTE(Tabela1[[#This Row],[2]],",",""))+1,1),"")</f>
        <v/>
      </c>
      <c r="AB171">
        <f>IF(Tabela1[[#This Row],[3]]&lt;&gt;"",IF(ISNUMBER(FIND(",",Tabela1[[#This Row],[3]])),LEN(Tabela1[[#This Row],[3]])-LEN(SUBSTITUTE(Tabela1[[#This Row],[3]],",",""))+1,1),"")</f>
        <v>1</v>
      </c>
      <c r="AC171" t="str">
        <f>IF(Tabela1[[#This Row],[4]]&lt;&gt;"",IF(ISNUMBER(FIND(",",Tabela1[[#This Row],[4]])),LEN(Tabela1[[#This Row],[4]])-LEN(SUBSTITUTE(Tabela1[[#This Row],[4]],",",""))+1,1),"")</f>
        <v/>
      </c>
      <c r="AD171" t="str">
        <f>IF(Tabela1[[#This Row],[5]]&lt;&gt;"",IF(ISNUMBER(FIND(",",Tabela1[[#This Row],[5]])),LEN(Tabela1[[#This Row],[5]])-LEN(SUBSTITUTE(Tabela1[[#This Row],[5]],",",""))+1,1),"")</f>
        <v/>
      </c>
      <c r="AE171" t="str">
        <f>IF(Tabela1[[#This Row],[6]]&lt;&gt;"",IF(ISNUMBER(FIND(",",Tabela1[[#This Row],[6]])),LEN(Tabela1[[#This Row],[6]])-LEN(SUBSTITUTE(Tabela1[[#This Row],[6]],",",""))+1,1),"")</f>
        <v/>
      </c>
      <c r="AF171" t="str">
        <f>IF(Tabela1[[#This Row],[7]]&lt;&gt;"",IF(ISNUMBER(FIND(",",Tabela1[[#This Row],[7]])),LEN(Tabela1[[#This Row],[7]])-LEN(SUBSTITUTE(Tabela1[[#This Row],[7]],",",""))+1,1),"")</f>
        <v/>
      </c>
      <c r="AG171" t="str">
        <f>IF(Tabela1[[#This Row],[8]]&lt;&gt;"",IF(ISNUMBER(FIND(",",Tabela1[[#This Row],[8]])),LEN(Tabela1[[#This Row],[8]])-LEN(SUBSTITUTE(Tabela1[[#This Row],[8]],",",""))+1,1),"")</f>
        <v/>
      </c>
      <c r="AH171" t="str">
        <f>IF(Tabela1[[#This Row],[9]]&lt;&gt;"",IF(ISNUMBER(FIND(",",Tabela1[[#This Row],[9]])),LEN(Tabela1[[#This Row],[9]])-LEN(SUBSTITUTE(Tabela1[[#This Row],[9]],",",""))+1,1),"")</f>
        <v/>
      </c>
      <c r="AI171" t="str">
        <f>IF(Tabela1[[#This Row],[10]]&lt;&gt;"",IF(ISNUMBER(FIND(",",Tabela1[[#This Row],[10]])),LEN(Tabela1[[#This Row],[10]])-LEN(SUBSTITUTE(Tabela1[[#This Row],[10]],",",""))+1,1),"")</f>
        <v/>
      </c>
      <c r="AJ171" t="str">
        <f>IF(Tabela1[[#This Row],[11]]&lt;&gt;"",IF(ISNUMBER(FIND(",",Tabela1[[#This Row],[11]])),LEN(Tabela1[[#This Row],[11]])-LEN(SUBSTITUTE(Tabela1[[#This Row],[11]],",",""))+1,1),"")</f>
        <v/>
      </c>
      <c r="AK171" t="str">
        <f>IF(Tabela1[[#This Row],[12]]&lt;&gt;"",IF(ISNUMBER(FIND(",",Tabela1[[#This Row],[12]])),LEN(Tabela1[[#This Row],[12]])-LEN(SUBSTITUTE(Tabela1[[#This Row],[12]],",",""))+1,1),"")</f>
        <v/>
      </c>
      <c r="AL171" t="str">
        <f>IF(Tabela1[[#This Row],[13]]&lt;&gt;"",IF(ISNUMBER(FIND(",",Tabela1[[#This Row],[13]])),LEN(Tabela1[[#This Row],[13]])-LEN(SUBSTITUTE(Tabela1[[#This Row],[13]],",",""))+1,1),"")</f>
        <v/>
      </c>
      <c r="AM171" t="str">
        <f>IF(Tabela1[[#This Row],[14]]&lt;&gt;"",IF(ISNUMBER(FIND(",",Tabela1[[#This Row],[14]])),LEN(Tabela1[[#This Row],[14]])-LEN(SUBSTITUTE(Tabela1[[#This Row],[14]],",",""))+1,1),"")</f>
        <v/>
      </c>
      <c r="AN171" t="str">
        <f>IF(Tabela1[[#This Row],[15]]&lt;&gt;"",IF(ISNUMBER(FIND(",",Tabela1[[#This Row],[15]])),LEN(Tabela1[[#This Row],[15]])-LEN(SUBSTITUTE(Tabela1[[#This Row],[15]],",",""))+1,1),"")</f>
        <v/>
      </c>
      <c r="AO171">
        <f>IF(Tabela1[[#This Row],[16]]&lt;&gt;"",IF(ISNUMBER(FIND(",",Tabela1[[#This Row],[16]])),LEN(Tabela1[[#This Row],[16]])-LEN(SUBSTITUTE(Tabela1[[#This Row],[16]],",",""))+1,1),"")</f>
        <v>1</v>
      </c>
      <c r="AP171" t="str">
        <f>IF(Tabela1[[#This Row],[17]]&lt;&gt;"",IF(ISNUMBER(FIND(",",Tabela1[[#This Row],[17]])),LEN(Tabela1[[#This Row],[17]])-LEN(SUBSTITUTE(Tabela1[[#This Row],[17]],",",""))+1,1),"")</f>
        <v/>
      </c>
      <c r="AQ171" t="str">
        <f>IF(Tabela1[[#This Row],[18]]&lt;&gt;"",IF(ISNUMBER(FIND(",",Tabela1[[#This Row],[18]])),LEN(Tabela1[[#This Row],[18]])-LEN(SUBSTITUTE(Tabela1[[#This Row],[18]],",",""))+1,1),"")</f>
        <v/>
      </c>
      <c r="AR171" s="13" t="str">
        <f>IF(Tabela1[[#This Row],[19_LENGTH]]&lt;&gt;"",IF(ISNUMBER(FIND(",",Tabela1[[#This Row],[19_LENGTH]])),LEN(Tabela1[[#This Row],[19_LENGTH]])-LEN(SUBSTITUTE(Tabela1[[#This Row],[19_LENGTH]],",",""))+1,1),"")</f>
        <v/>
      </c>
      <c r="AS171" s="21">
        <f>SUM(Tabela1[[#This Row],[1_]:[19_]])</f>
        <v>2</v>
      </c>
    </row>
    <row r="172" spans="1:45" x14ac:dyDescent="0.25">
      <c r="A172" s="27" t="s">
        <v>1319</v>
      </c>
      <c r="B172" s="19" t="s">
        <v>731</v>
      </c>
      <c r="C172" s="19">
        <v>202</v>
      </c>
      <c r="D172" s="19" t="s">
        <v>1300</v>
      </c>
      <c r="E172" s="20">
        <v>43454</v>
      </c>
      <c r="F172" s="19"/>
      <c r="G172" s="19"/>
      <c r="H172" s="19"/>
      <c r="I172" s="19">
        <v>182</v>
      </c>
      <c r="J172" s="19"/>
      <c r="K172" s="19"/>
      <c r="L172" s="19"/>
      <c r="M172" s="19"/>
      <c r="N172" s="19"/>
      <c r="O172" s="19"/>
      <c r="P172" s="19"/>
      <c r="Q172" s="19"/>
      <c r="R172" s="19"/>
      <c r="S172" s="19"/>
      <c r="T172" s="19"/>
      <c r="U172" s="19"/>
      <c r="V172" s="19"/>
      <c r="W172" s="19"/>
      <c r="X172" s="19"/>
      <c r="Y172" s="19"/>
      <c r="Z172" t="str">
        <f>IF(Tabela1[[#This Row],[1]]&lt;&gt;"",IF(ISNUMBER(FIND(",",Tabela1[[#This Row],[1]])),LEN(Tabela1[[#This Row],[1]])-LEN(SUBSTITUTE(Tabela1[[#This Row],[1]],",",""))+1,1),"")</f>
        <v/>
      </c>
      <c r="AA172" t="str">
        <f>IF(Tabela1[[#This Row],[2]]&lt;&gt;"",IF(ISNUMBER(FIND(",",Tabela1[[#This Row],[2]])),LEN(Tabela1[[#This Row],[2]])-LEN(SUBSTITUTE(Tabela1[[#This Row],[2]],",",""))+1,1),"")</f>
        <v/>
      </c>
      <c r="AB172" t="str">
        <f>IF(Tabela1[[#This Row],[3]]&lt;&gt;"",IF(ISNUMBER(FIND(",",Tabela1[[#This Row],[3]])),LEN(Tabela1[[#This Row],[3]])-LEN(SUBSTITUTE(Tabela1[[#This Row],[3]],",",""))+1,1),"")</f>
        <v/>
      </c>
      <c r="AC172">
        <f>IF(Tabela1[[#This Row],[4]]&lt;&gt;"",IF(ISNUMBER(FIND(",",Tabela1[[#This Row],[4]])),LEN(Tabela1[[#This Row],[4]])-LEN(SUBSTITUTE(Tabela1[[#This Row],[4]],",",""))+1,1),"")</f>
        <v>1</v>
      </c>
      <c r="AD172" t="str">
        <f>IF(Tabela1[[#This Row],[5]]&lt;&gt;"",IF(ISNUMBER(FIND(",",Tabela1[[#This Row],[5]])),LEN(Tabela1[[#This Row],[5]])-LEN(SUBSTITUTE(Tabela1[[#This Row],[5]],",",""))+1,1),"")</f>
        <v/>
      </c>
      <c r="AE172" t="str">
        <f>IF(Tabela1[[#This Row],[6]]&lt;&gt;"",IF(ISNUMBER(FIND(",",Tabela1[[#This Row],[6]])),LEN(Tabela1[[#This Row],[6]])-LEN(SUBSTITUTE(Tabela1[[#This Row],[6]],",",""))+1,1),"")</f>
        <v/>
      </c>
      <c r="AF172" t="str">
        <f>IF(Tabela1[[#This Row],[7]]&lt;&gt;"",IF(ISNUMBER(FIND(",",Tabela1[[#This Row],[7]])),LEN(Tabela1[[#This Row],[7]])-LEN(SUBSTITUTE(Tabela1[[#This Row],[7]],",",""))+1,1),"")</f>
        <v/>
      </c>
      <c r="AG172" t="str">
        <f>IF(Tabela1[[#This Row],[8]]&lt;&gt;"",IF(ISNUMBER(FIND(",",Tabela1[[#This Row],[8]])),LEN(Tabela1[[#This Row],[8]])-LEN(SUBSTITUTE(Tabela1[[#This Row],[8]],",",""))+1,1),"")</f>
        <v/>
      </c>
      <c r="AH172" t="str">
        <f>IF(Tabela1[[#This Row],[9]]&lt;&gt;"",IF(ISNUMBER(FIND(",",Tabela1[[#This Row],[9]])),LEN(Tabela1[[#This Row],[9]])-LEN(SUBSTITUTE(Tabela1[[#This Row],[9]],",",""))+1,1),"")</f>
        <v/>
      </c>
      <c r="AI172" t="str">
        <f>IF(Tabela1[[#This Row],[10]]&lt;&gt;"",IF(ISNUMBER(FIND(",",Tabela1[[#This Row],[10]])),LEN(Tabela1[[#This Row],[10]])-LEN(SUBSTITUTE(Tabela1[[#This Row],[10]],",",""))+1,1),"")</f>
        <v/>
      </c>
      <c r="AJ172" t="str">
        <f>IF(Tabela1[[#This Row],[11]]&lt;&gt;"",IF(ISNUMBER(FIND(",",Tabela1[[#This Row],[11]])),LEN(Tabela1[[#This Row],[11]])-LEN(SUBSTITUTE(Tabela1[[#This Row],[11]],",",""))+1,1),"")</f>
        <v/>
      </c>
      <c r="AK172" t="str">
        <f>IF(Tabela1[[#This Row],[12]]&lt;&gt;"",IF(ISNUMBER(FIND(",",Tabela1[[#This Row],[12]])),LEN(Tabela1[[#This Row],[12]])-LEN(SUBSTITUTE(Tabela1[[#This Row],[12]],",",""))+1,1),"")</f>
        <v/>
      </c>
      <c r="AL172" t="str">
        <f>IF(Tabela1[[#This Row],[13]]&lt;&gt;"",IF(ISNUMBER(FIND(",",Tabela1[[#This Row],[13]])),LEN(Tabela1[[#This Row],[13]])-LEN(SUBSTITUTE(Tabela1[[#This Row],[13]],",",""))+1,1),"")</f>
        <v/>
      </c>
      <c r="AM172" t="str">
        <f>IF(Tabela1[[#This Row],[14]]&lt;&gt;"",IF(ISNUMBER(FIND(",",Tabela1[[#This Row],[14]])),LEN(Tabela1[[#This Row],[14]])-LEN(SUBSTITUTE(Tabela1[[#This Row],[14]],",",""))+1,1),"")</f>
        <v/>
      </c>
      <c r="AN172" t="str">
        <f>IF(Tabela1[[#This Row],[15]]&lt;&gt;"",IF(ISNUMBER(FIND(",",Tabela1[[#This Row],[15]])),LEN(Tabela1[[#This Row],[15]])-LEN(SUBSTITUTE(Tabela1[[#This Row],[15]],",",""))+1,1),"")</f>
        <v/>
      </c>
      <c r="AO172" t="str">
        <f>IF(Tabela1[[#This Row],[16]]&lt;&gt;"",IF(ISNUMBER(FIND(",",Tabela1[[#This Row],[16]])),LEN(Tabela1[[#This Row],[16]])-LEN(SUBSTITUTE(Tabela1[[#This Row],[16]],",",""))+1,1),"")</f>
        <v/>
      </c>
      <c r="AP172" t="str">
        <f>IF(Tabela1[[#This Row],[17]]&lt;&gt;"",IF(ISNUMBER(FIND(",",Tabela1[[#This Row],[17]])),LEN(Tabela1[[#This Row],[17]])-LEN(SUBSTITUTE(Tabela1[[#This Row],[17]],",",""))+1,1),"")</f>
        <v/>
      </c>
      <c r="AQ172" t="str">
        <f>IF(Tabela1[[#This Row],[18]]&lt;&gt;"",IF(ISNUMBER(FIND(",",Tabela1[[#This Row],[18]])),LEN(Tabela1[[#This Row],[18]])-LEN(SUBSTITUTE(Tabela1[[#This Row],[18]],",",""))+1,1),"")</f>
        <v/>
      </c>
      <c r="AR172" s="13" t="str">
        <f>IF(Tabela1[[#This Row],[19_LENGTH]]&lt;&gt;"",IF(ISNUMBER(FIND(",",Tabela1[[#This Row],[19_LENGTH]])),LEN(Tabela1[[#This Row],[19_LENGTH]])-LEN(SUBSTITUTE(Tabela1[[#This Row],[19_LENGTH]],",",""))+1,1),"")</f>
        <v/>
      </c>
      <c r="AS172" s="21">
        <f>SUM(Tabela1[[#This Row],[1_]:[19_]])</f>
        <v>1</v>
      </c>
    </row>
    <row r="173" spans="1:45" x14ac:dyDescent="0.25">
      <c r="A173" s="27" t="s">
        <v>1319</v>
      </c>
      <c r="B173" s="19" t="s">
        <v>1401</v>
      </c>
      <c r="C173" s="19">
        <v>202</v>
      </c>
      <c r="D173" s="19" t="s">
        <v>1300</v>
      </c>
      <c r="E173" s="20">
        <v>43454</v>
      </c>
      <c r="F173" s="19"/>
      <c r="G173" s="19"/>
      <c r="H173" s="19"/>
      <c r="I173" s="19">
        <v>95</v>
      </c>
      <c r="J173" s="19"/>
      <c r="K173" s="19"/>
      <c r="L173" s="19"/>
      <c r="M173" s="19"/>
      <c r="N173" s="19"/>
      <c r="O173" s="19"/>
      <c r="P173" s="19"/>
      <c r="Q173" s="19"/>
      <c r="R173" s="19"/>
      <c r="S173" s="19"/>
      <c r="T173" s="19"/>
      <c r="U173" s="19"/>
      <c r="V173" s="19"/>
      <c r="W173" s="19"/>
      <c r="X173" s="19"/>
      <c r="Y173" s="19"/>
      <c r="Z173" t="str">
        <f>IF(Tabela1[[#This Row],[1]]&lt;&gt;"",IF(ISNUMBER(FIND(",",Tabela1[[#This Row],[1]])),LEN(Tabela1[[#This Row],[1]])-LEN(SUBSTITUTE(Tabela1[[#This Row],[1]],",",""))+1,1),"")</f>
        <v/>
      </c>
      <c r="AA173" t="str">
        <f>IF(Tabela1[[#This Row],[2]]&lt;&gt;"",IF(ISNUMBER(FIND(",",Tabela1[[#This Row],[2]])),LEN(Tabela1[[#This Row],[2]])-LEN(SUBSTITUTE(Tabela1[[#This Row],[2]],",",""))+1,1),"")</f>
        <v/>
      </c>
      <c r="AB173" t="str">
        <f>IF(Tabela1[[#This Row],[3]]&lt;&gt;"",IF(ISNUMBER(FIND(",",Tabela1[[#This Row],[3]])),LEN(Tabela1[[#This Row],[3]])-LEN(SUBSTITUTE(Tabela1[[#This Row],[3]],",",""))+1,1),"")</f>
        <v/>
      </c>
      <c r="AC173">
        <f>IF(Tabela1[[#This Row],[4]]&lt;&gt;"",IF(ISNUMBER(FIND(",",Tabela1[[#This Row],[4]])),LEN(Tabela1[[#This Row],[4]])-LEN(SUBSTITUTE(Tabela1[[#This Row],[4]],",",""))+1,1),"")</f>
        <v>1</v>
      </c>
      <c r="AD173" t="str">
        <f>IF(Tabela1[[#This Row],[5]]&lt;&gt;"",IF(ISNUMBER(FIND(",",Tabela1[[#This Row],[5]])),LEN(Tabela1[[#This Row],[5]])-LEN(SUBSTITUTE(Tabela1[[#This Row],[5]],",",""))+1,1),"")</f>
        <v/>
      </c>
      <c r="AE173" t="str">
        <f>IF(Tabela1[[#This Row],[6]]&lt;&gt;"",IF(ISNUMBER(FIND(",",Tabela1[[#This Row],[6]])),LEN(Tabela1[[#This Row],[6]])-LEN(SUBSTITUTE(Tabela1[[#This Row],[6]],",",""))+1,1),"")</f>
        <v/>
      </c>
      <c r="AF173" t="str">
        <f>IF(Tabela1[[#This Row],[7]]&lt;&gt;"",IF(ISNUMBER(FIND(",",Tabela1[[#This Row],[7]])),LEN(Tabela1[[#This Row],[7]])-LEN(SUBSTITUTE(Tabela1[[#This Row],[7]],",",""))+1,1),"")</f>
        <v/>
      </c>
      <c r="AG173" t="str">
        <f>IF(Tabela1[[#This Row],[8]]&lt;&gt;"",IF(ISNUMBER(FIND(",",Tabela1[[#This Row],[8]])),LEN(Tabela1[[#This Row],[8]])-LEN(SUBSTITUTE(Tabela1[[#This Row],[8]],",",""))+1,1),"")</f>
        <v/>
      </c>
      <c r="AH173" t="str">
        <f>IF(Tabela1[[#This Row],[9]]&lt;&gt;"",IF(ISNUMBER(FIND(",",Tabela1[[#This Row],[9]])),LEN(Tabela1[[#This Row],[9]])-LEN(SUBSTITUTE(Tabela1[[#This Row],[9]],",",""))+1,1),"")</f>
        <v/>
      </c>
      <c r="AI173" t="str">
        <f>IF(Tabela1[[#This Row],[10]]&lt;&gt;"",IF(ISNUMBER(FIND(",",Tabela1[[#This Row],[10]])),LEN(Tabela1[[#This Row],[10]])-LEN(SUBSTITUTE(Tabela1[[#This Row],[10]],",",""))+1,1),"")</f>
        <v/>
      </c>
      <c r="AJ173" t="str">
        <f>IF(Tabela1[[#This Row],[11]]&lt;&gt;"",IF(ISNUMBER(FIND(",",Tabela1[[#This Row],[11]])),LEN(Tabela1[[#This Row],[11]])-LEN(SUBSTITUTE(Tabela1[[#This Row],[11]],",",""))+1,1),"")</f>
        <v/>
      </c>
      <c r="AK173" t="str">
        <f>IF(Tabela1[[#This Row],[12]]&lt;&gt;"",IF(ISNUMBER(FIND(",",Tabela1[[#This Row],[12]])),LEN(Tabela1[[#This Row],[12]])-LEN(SUBSTITUTE(Tabela1[[#This Row],[12]],",",""))+1,1),"")</f>
        <v/>
      </c>
      <c r="AL173" t="str">
        <f>IF(Tabela1[[#This Row],[13]]&lt;&gt;"",IF(ISNUMBER(FIND(",",Tabela1[[#This Row],[13]])),LEN(Tabela1[[#This Row],[13]])-LEN(SUBSTITUTE(Tabela1[[#This Row],[13]],",",""))+1,1),"")</f>
        <v/>
      </c>
      <c r="AM173" t="str">
        <f>IF(Tabela1[[#This Row],[14]]&lt;&gt;"",IF(ISNUMBER(FIND(",",Tabela1[[#This Row],[14]])),LEN(Tabela1[[#This Row],[14]])-LEN(SUBSTITUTE(Tabela1[[#This Row],[14]],",",""))+1,1),"")</f>
        <v/>
      </c>
      <c r="AN173" t="str">
        <f>IF(Tabela1[[#This Row],[15]]&lt;&gt;"",IF(ISNUMBER(FIND(",",Tabela1[[#This Row],[15]])),LEN(Tabela1[[#This Row],[15]])-LEN(SUBSTITUTE(Tabela1[[#This Row],[15]],",",""))+1,1),"")</f>
        <v/>
      </c>
      <c r="AO173" t="str">
        <f>IF(Tabela1[[#This Row],[16]]&lt;&gt;"",IF(ISNUMBER(FIND(",",Tabela1[[#This Row],[16]])),LEN(Tabela1[[#This Row],[16]])-LEN(SUBSTITUTE(Tabela1[[#This Row],[16]],",",""))+1,1),"")</f>
        <v/>
      </c>
      <c r="AP173" t="str">
        <f>IF(Tabela1[[#This Row],[17]]&lt;&gt;"",IF(ISNUMBER(FIND(",",Tabela1[[#This Row],[17]])),LEN(Tabela1[[#This Row],[17]])-LEN(SUBSTITUTE(Tabela1[[#This Row],[17]],",",""))+1,1),"")</f>
        <v/>
      </c>
      <c r="AQ173" t="str">
        <f>IF(Tabela1[[#This Row],[18]]&lt;&gt;"",IF(ISNUMBER(FIND(",",Tabela1[[#This Row],[18]])),LEN(Tabela1[[#This Row],[18]])-LEN(SUBSTITUTE(Tabela1[[#This Row],[18]],",",""))+1,1),"")</f>
        <v/>
      </c>
      <c r="AR173" s="13" t="str">
        <f>IF(Tabela1[[#This Row],[19_LENGTH]]&lt;&gt;"",IF(ISNUMBER(FIND(",",Tabela1[[#This Row],[19_LENGTH]])),LEN(Tabela1[[#This Row],[19_LENGTH]])-LEN(SUBSTITUTE(Tabela1[[#This Row],[19_LENGTH]],",",""))+1,1),"")</f>
        <v/>
      </c>
      <c r="AS173" s="21">
        <f>SUM(Tabela1[[#This Row],[1_]:[19_]])</f>
        <v>1</v>
      </c>
    </row>
    <row r="174" spans="1:45" x14ac:dyDescent="0.25">
      <c r="A174" s="27" t="s">
        <v>1319</v>
      </c>
      <c r="B174" s="19" t="s">
        <v>1402</v>
      </c>
      <c r="C174" s="19">
        <v>202</v>
      </c>
      <c r="D174" s="19" t="s">
        <v>1300</v>
      </c>
      <c r="E174" s="20">
        <v>43454</v>
      </c>
      <c r="F174" s="19"/>
      <c r="G174" s="19"/>
      <c r="H174" s="19"/>
      <c r="I174" s="19"/>
      <c r="J174" s="19">
        <v>51</v>
      </c>
      <c r="K174" s="19"/>
      <c r="L174" s="19"/>
      <c r="M174" s="19"/>
      <c r="N174" s="19"/>
      <c r="O174" s="19"/>
      <c r="P174" s="19"/>
      <c r="Q174" s="19"/>
      <c r="R174" s="19"/>
      <c r="S174" s="19"/>
      <c r="T174" s="19"/>
      <c r="U174" s="19"/>
      <c r="V174" s="19"/>
      <c r="W174" s="19"/>
      <c r="X174" s="19"/>
      <c r="Y174" s="19"/>
      <c r="Z174" t="str">
        <f>IF(Tabela1[[#This Row],[1]]&lt;&gt;"",IF(ISNUMBER(FIND(",",Tabela1[[#This Row],[1]])),LEN(Tabela1[[#This Row],[1]])-LEN(SUBSTITUTE(Tabela1[[#This Row],[1]],",",""))+1,1),"")</f>
        <v/>
      </c>
      <c r="AA174" t="str">
        <f>IF(Tabela1[[#This Row],[2]]&lt;&gt;"",IF(ISNUMBER(FIND(",",Tabela1[[#This Row],[2]])),LEN(Tabela1[[#This Row],[2]])-LEN(SUBSTITUTE(Tabela1[[#This Row],[2]],",",""))+1,1),"")</f>
        <v/>
      </c>
      <c r="AB174" t="str">
        <f>IF(Tabela1[[#This Row],[3]]&lt;&gt;"",IF(ISNUMBER(FIND(",",Tabela1[[#This Row],[3]])),LEN(Tabela1[[#This Row],[3]])-LEN(SUBSTITUTE(Tabela1[[#This Row],[3]],",",""))+1,1),"")</f>
        <v/>
      </c>
      <c r="AC174" t="str">
        <f>IF(Tabela1[[#This Row],[4]]&lt;&gt;"",IF(ISNUMBER(FIND(",",Tabela1[[#This Row],[4]])),LEN(Tabela1[[#This Row],[4]])-LEN(SUBSTITUTE(Tabela1[[#This Row],[4]],",",""))+1,1),"")</f>
        <v/>
      </c>
      <c r="AD174">
        <f>IF(Tabela1[[#This Row],[5]]&lt;&gt;"",IF(ISNUMBER(FIND(",",Tabela1[[#This Row],[5]])),LEN(Tabela1[[#This Row],[5]])-LEN(SUBSTITUTE(Tabela1[[#This Row],[5]],",",""))+1,1),"")</f>
        <v>1</v>
      </c>
      <c r="AE174" t="str">
        <f>IF(Tabela1[[#This Row],[6]]&lt;&gt;"",IF(ISNUMBER(FIND(",",Tabela1[[#This Row],[6]])),LEN(Tabela1[[#This Row],[6]])-LEN(SUBSTITUTE(Tabela1[[#This Row],[6]],",",""))+1,1),"")</f>
        <v/>
      </c>
      <c r="AF174" t="str">
        <f>IF(Tabela1[[#This Row],[7]]&lt;&gt;"",IF(ISNUMBER(FIND(",",Tabela1[[#This Row],[7]])),LEN(Tabela1[[#This Row],[7]])-LEN(SUBSTITUTE(Tabela1[[#This Row],[7]],",",""))+1,1),"")</f>
        <v/>
      </c>
      <c r="AG174" t="str">
        <f>IF(Tabela1[[#This Row],[8]]&lt;&gt;"",IF(ISNUMBER(FIND(",",Tabela1[[#This Row],[8]])),LEN(Tabela1[[#This Row],[8]])-LEN(SUBSTITUTE(Tabela1[[#This Row],[8]],",",""))+1,1),"")</f>
        <v/>
      </c>
      <c r="AH174" t="str">
        <f>IF(Tabela1[[#This Row],[9]]&lt;&gt;"",IF(ISNUMBER(FIND(",",Tabela1[[#This Row],[9]])),LEN(Tabela1[[#This Row],[9]])-LEN(SUBSTITUTE(Tabela1[[#This Row],[9]],",",""))+1,1),"")</f>
        <v/>
      </c>
      <c r="AI174" t="str">
        <f>IF(Tabela1[[#This Row],[10]]&lt;&gt;"",IF(ISNUMBER(FIND(",",Tabela1[[#This Row],[10]])),LEN(Tabela1[[#This Row],[10]])-LEN(SUBSTITUTE(Tabela1[[#This Row],[10]],",",""))+1,1),"")</f>
        <v/>
      </c>
      <c r="AJ174" t="str">
        <f>IF(Tabela1[[#This Row],[11]]&lt;&gt;"",IF(ISNUMBER(FIND(",",Tabela1[[#This Row],[11]])),LEN(Tabela1[[#This Row],[11]])-LEN(SUBSTITUTE(Tabela1[[#This Row],[11]],",",""))+1,1),"")</f>
        <v/>
      </c>
      <c r="AK174" t="str">
        <f>IF(Tabela1[[#This Row],[12]]&lt;&gt;"",IF(ISNUMBER(FIND(",",Tabela1[[#This Row],[12]])),LEN(Tabela1[[#This Row],[12]])-LEN(SUBSTITUTE(Tabela1[[#This Row],[12]],",",""))+1,1),"")</f>
        <v/>
      </c>
      <c r="AL174" t="str">
        <f>IF(Tabela1[[#This Row],[13]]&lt;&gt;"",IF(ISNUMBER(FIND(",",Tabela1[[#This Row],[13]])),LEN(Tabela1[[#This Row],[13]])-LEN(SUBSTITUTE(Tabela1[[#This Row],[13]],",",""))+1,1),"")</f>
        <v/>
      </c>
      <c r="AM174" t="str">
        <f>IF(Tabela1[[#This Row],[14]]&lt;&gt;"",IF(ISNUMBER(FIND(",",Tabela1[[#This Row],[14]])),LEN(Tabela1[[#This Row],[14]])-LEN(SUBSTITUTE(Tabela1[[#This Row],[14]],",",""))+1,1),"")</f>
        <v/>
      </c>
      <c r="AN174" t="str">
        <f>IF(Tabela1[[#This Row],[15]]&lt;&gt;"",IF(ISNUMBER(FIND(",",Tabela1[[#This Row],[15]])),LEN(Tabela1[[#This Row],[15]])-LEN(SUBSTITUTE(Tabela1[[#This Row],[15]],",",""))+1,1),"")</f>
        <v/>
      </c>
      <c r="AO174" t="str">
        <f>IF(Tabela1[[#This Row],[16]]&lt;&gt;"",IF(ISNUMBER(FIND(",",Tabela1[[#This Row],[16]])),LEN(Tabela1[[#This Row],[16]])-LEN(SUBSTITUTE(Tabela1[[#This Row],[16]],",",""))+1,1),"")</f>
        <v/>
      </c>
      <c r="AP174" t="str">
        <f>IF(Tabela1[[#This Row],[17]]&lt;&gt;"",IF(ISNUMBER(FIND(",",Tabela1[[#This Row],[17]])),LEN(Tabela1[[#This Row],[17]])-LEN(SUBSTITUTE(Tabela1[[#This Row],[17]],",",""))+1,1),"")</f>
        <v/>
      </c>
      <c r="AQ174" t="str">
        <f>IF(Tabela1[[#This Row],[18]]&lt;&gt;"",IF(ISNUMBER(FIND(",",Tabela1[[#This Row],[18]])),LEN(Tabela1[[#This Row],[18]])-LEN(SUBSTITUTE(Tabela1[[#This Row],[18]],",",""))+1,1),"")</f>
        <v/>
      </c>
      <c r="AR174" s="13" t="str">
        <f>IF(Tabela1[[#This Row],[19_LENGTH]]&lt;&gt;"",IF(ISNUMBER(FIND(",",Tabela1[[#This Row],[19_LENGTH]])),LEN(Tabela1[[#This Row],[19_LENGTH]])-LEN(SUBSTITUTE(Tabela1[[#This Row],[19_LENGTH]],",",""))+1,1),"")</f>
        <v/>
      </c>
      <c r="AS174" s="21">
        <f>SUM(Tabela1[[#This Row],[1_]:[19_]])</f>
        <v>1</v>
      </c>
    </row>
    <row r="175" spans="1:45" x14ac:dyDescent="0.25">
      <c r="A175" s="27" t="s">
        <v>1319</v>
      </c>
      <c r="B175" s="19" t="s">
        <v>732</v>
      </c>
      <c r="C175" s="19">
        <v>202</v>
      </c>
      <c r="D175" s="19" t="s">
        <v>1314</v>
      </c>
      <c r="E175" s="20">
        <v>43454</v>
      </c>
      <c r="F175" s="19"/>
      <c r="G175" s="19"/>
      <c r="H175" s="19"/>
      <c r="I175" s="19"/>
      <c r="J175" s="19"/>
      <c r="K175" s="19" t="s">
        <v>67</v>
      </c>
      <c r="L175" s="19"/>
      <c r="M175" s="19"/>
      <c r="N175" s="19"/>
      <c r="O175" s="19"/>
      <c r="P175" s="19"/>
      <c r="Q175" s="19"/>
      <c r="R175" s="19"/>
      <c r="S175" s="19"/>
      <c r="T175" s="19"/>
      <c r="U175" s="19"/>
      <c r="V175" s="19"/>
      <c r="W175" s="19"/>
      <c r="X175" s="19"/>
      <c r="Y175" s="19"/>
      <c r="Z175" t="str">
        <f>IF(Tabela1[[#This Row],[1]]&lt;&gt;"",IF(ISNUMBER(FIND(",",Tabela1[[#This Row],[1]])),LEN(Tabela1[[#This Row],[1]])-LEN(SUBSTITUTE(Tabela1[[#This Row],[1]],",",""))+1,1),"")</f>
        <v/>
      </c>
      <c r="AA175" t="str">
        <f>IF(Tabela1[[#This Row],[2]]&lt;&gt;"",IF(ISNUMBER(FIND(",",Tabela1[[#This Row],[2]])),LEN(Tabela1[[#This Row],[2]])-LEN(SUBSTITUTE(Tabela1[[#This Row],[2]],",",""))+1,1),"")</f>
        <v/>
      </c>
      <c r="AB175" t="str">
        <f>IF(Tabela1[[#This Row],[3]]&lt;&gt;"",IF(ISNUMBER(FIND(",",Tabela1[[#This Row],[3]])),LEN(Tabela1[[#This Row],[3]])-LEN(SUBSTITUTE(Tabela1[[#This Row],[3]],",",""))+1,1),"")</f>
        <v/>
      </c>
      <c r="AC175" t="str">
        <f>IF(Tabela1[[#This Row],[4]]&lt;&gt;"",IF(ISNUMBER(FIND(",",Tabela1[[#This Row],[4]])),LEN(Tabela1[[#This Row],[4]])-LEN(SUBSTITUTE(Tabela1[[#This Row],[4]],",",""))+1,1),"")</f>
        <v/>
      </c>
      <c r="AD175" t="str">
        <f>IF(Tabela1[[#This Row],[5]]&lt;&gt;"",IF(ISNUMBER(FIND(",",Tabela1[[#This Row],[5]])),LEN(Tabela1[[#This Row],[5]])-LEN(SUBSTITUTE(Tabela1[[#This Row],[5]],",",""))+1,1),"")</f>
        <v/>
      </c>
      <c r="AE175">
        <f>IF(Tabela1[[#This Row],[6]]&lt;&gt;"",IF(ISNUMBER(FIND(",",Tabela1[[#This Row],[6]])),LEN(Tabela1[[#This Row],[6]])-LEN(SUBSTITUTE(Tabela1[[#This Row],[6]],",",""))+1,1),"")</f>
        <v>2</v>
      </c>
      <c r="AF175" t="str">
        <f>IF(Tabela1[[#This Row],[7]]&lt;&gt;"",IF(ISNUMBER(FIND(",",Tabela1[[#This Row],[7]])),LEN(Tabela1[[#This Row],[7]])-LEN(SUBSTITUTE(Tabela1[[#This Row],[7]],",",""))+1,1),"")</f>
        <v/>
      </c>
      <c r="AG175" t="str">
        <f>IF(Tabela1[[#This Row],[8]]&lt;&gt;"",IF(ISNUMBER(FIND(",",Tabela1[[#This Row],[8]])),LEN(Tabela1[[#This Row],[8]])-LEN(SUBSTITUTE(Tabela1[[#This Row],[8]],",",""))+1,1),"")</f>
        <v/>
      </c>
      <c r="AH175" t="str">
        <f>IF(Tabela1[[#This Row],[9]]&lt;&gt;"",IF(ISNUMBER(FIND(",",Tabela1[[#This Row],[9]])),LEN(Tabela1[[#This Row],[9]])-LEN(SUBSTITUTE(Tabela1[[#This Row],[9]],",",""))+1,1),"")</f>
        <v/>
      </c>
      <c r="AI175" t="str">
        <f>IF(Tabela1[[#This Row],[10]]&lt;&gt;"",IF(ISNUMBER(FIND(",",Tabela1[[#This Row],[10]])),LEN(Tabela1[[#This Row],[10]])-LEN(SUBSTITUTE(Tabela1[[#This Row],[10]],",",""))+1,1),"")</f>
        <v/>
      </c>
      <c r="AJ175" t="str">
        <f>IF(Tabela1[[#This Row],[11]]&lt;&gt;"",IF(ISNUMBER(FIND(",",Tabela1[[#This Row],[11]])),LEN(Tabela1[[#This Row],[11]])-LEN(SUBSTITUTE(Tabela1[[#This Row],[11]],",",""))+1,1),"")</f>
        <v/>
      </c>
      <c r="AK175" t="str">
        <f>IF(Tabela1[[#This Row],[12]]&lt;&gt;"",IF(ISNUMBER(FIND(",",Tabela1[[#This Row],[12]])),LEN(Tabela1[[#This Row],[12]])-LEN(SUBSTITUTE(Tabela1[[#This Row],[12]],",",""))+1,1),"")</f>
        <v/>
      </c>
      <c r="AL175" t="str">
        <f>IF(Tabela1[[#This Row],[13]]&lt;&gt;"",IF(ISNUMBER(FIND(",",Tabela1[[#This Row],[13]])),LEN(Tabela1[[#This Row],[13]])-LEN(SUBSTITUTE(Tabela1[[#This Row],[13]],",",""))+1,1),"")</f>
        <v/>
      </c>
      <c r="AM175" t="str">
        <f>IF(Tabela1[[#This Row],[14]]&lt;&gt;"",IF(ISNUMBER(FIND(",",Tabela1[[#This Row],[14]])),LEN(Tabela1[[#This Row],[14]])-LEN(SUBSTITUTE(Tabela1[[#This Row],[14]],",",""))+1,1),"")</f>
        <v/>
      </c>
      <c r="AN175" t="str">
        <f>IF(Tabela1[[#This Row],[15]]&lt;&gt;"",IF(ISNUMBER(FIND(",",Tabela1[[#This Row],[15]])),LEN(Tabela1[[#This Row],[15]])-LEN(SUBSTITUTE(Tabela1[[#This Row],[15]],",",""))+1,1),"")</f>
        <v/>
      </c>
      <c r="AO175" t="str">
        <f>IF(Tabela1[[#This Row],[16]]&lt;&gt;"",IF(ISNUMBER(FIND(",",Tabela1[[#This Row],[16]])),LEN(Tabela1[[#This Row],[16]])-LEN(SUBSTITUTE(Tabela1[[#This Row],[16]],",",""))+1,1),"")</f>
        <v/>
      </c>
      <c r="AP175" t="str">
        <f>IF(Tabela1[[#This Row],[17]]&lt;&gt;"",IF(ISNUMBER(FIND(",",Tabela1[[#This Row],[17]])),LEN(Tabela1[[#This Row],[17]])-LEN(SUBSTITUTE(Tabela1[[#This Row],[17]],",",""))+1,1),"")</f>
        <v/>
      </c>
      <c r="AQ175" t="str">
        <f>IF(Tabela1[[#This Row],[18]]&lt;&gt;"",IF(ISNUMBER(FIND(",",Tabela1[[#This Row],[18]])),LEN(Tabela1[[#This Row],[18]])-LEN(SUBSTITUTE(Tabela1[[#This Row],[18]],",",""))+1,1),"")</f>
        <v/>
      </c>
      <c r="AR175" s="13" t="str">
        <f>IF(Tabela1[[#This Row],[19_LENGTH]]&lt;&gt;"",IF(ISNUMBER(FIND(",",Tabela1[[#This Row],[19_LENGTH]])),LEN(Tabela1[[#This Row],[19_LENGTH]])-LEN(SUBSTITUTE(Tabela1[[#This Row],[19_LENGTH]],",",""))+1,1),"")</f>
        <v/>
      </c>
      <c r="AS175" s="21">
        <f>SUM(Tabela1[[#This Row],[1_]:[19_]])</f>
        <v>2</v>
      </c>
    </row>
    <row r="176" spans="1:45" x14ac:dyDescent="0.25">
      <c r="A176" s="27" t="s">
        <v>1319</v>
      </c>
      <c r="B176" s="19" t="s">
        <v>384</v>
      </c>
      <c r="C176" s="19">
        <v>202</v>
      </c>
      <c r="D176" s="19" t="s">
        <v>1315</v>
      </c>
      <c r="E176" s="20">
        <v>43454</v>
      </c>
      <c r="F176" s="19"/>
      <c r="G176" s="19"/>
      <c r="H176" s="19"/>
      <c r="I176" s="19" t="s">
        <v>68</v>
      </c>
      <c r="J176" s="19"/>
      <c r="K176" s="19"/>
      <c r="L176" s="19"/>
      <c r="M176" s="19"/>
      <c r="N176" s="19"/>
      <c r="O176" s="19" t="s">
        <v>69</v>
      </c>
      <c r="P176" s="19"/>
      <c r="Q176" s="19"/>
      <c r="R176" s="19"/>
      <c r="S176" s="19"/>
      <c r="T176" s="19"/>
      <c r="U176" s="19"/>
      <c r="V176" s="19"/>
      <c r="W176" s="19">
        <v>165</v>
      </c>
      <c r="X176" s="19"/>
      <c r="Y176" s="19"/>
      <c r="Z176" t="str">
        <f>IF(Tabela1[[#This Row],[1]]&lt;&gt;"",IF(ISNUMBER(FIND(",",Tabela1[[#This Row],[1]])),LEN(Tabela1[[#This Row],[1]])-LEN(SUBSTITUTE(Tabela1[[#This Row],[1]],",",""))+1,1),"")</f>
        <v/>
      </c>
      <c r="AA176" t="str">
        <f>IF(Tabela1[[#This Row],[2]]&lt;&gt;"",IF(ISNUMBER(FIND(",",Tabela1[[#This Row],[2]])),LEN(Tabela1[[#This Row],[2]])-LEN(SUBSTITUTE(Tabela1[[#This Row],[2]],",",""))+1,1),"")</f>
        <v/>
      </c>
      <c r="AB176" t="str">
        <f>IF(Tabela1[[#This Row],[3]]&lt;&gt;"",IF(ISNUMBER(FIND(",",Tabela1[[#This Row],[3]])),LEN(Tabela1[[#This Row],[3]])-LEN(SUBSTITUTE(Tabela1[[#This Row],[3]],",",""))+1,1),"")</f>
        <v/>
      </c>
      <c r="AC176">
        <f>IF(Tabela1[[#This Row],[4]]&lt;&gt;"",IF(ISNUMBER(FIND(",",Tabela1[[#This Row],[4]])),LEN(Tabela1[[#This Row],[4]])-LEN(SUBSTITUTE(Tabela1[[#This Row],[4]],",",""))+1,1),"")</f>
        <v>2</v>
      </c>
      <c r="AD176" t="str">
        <f>IF(Tabela1[[#This Row],[5]]&lt;&gt;"",IF(ISNUMBER(FIND(",",Tabela1[[#This Row],[5]])),LEN(Tabela1[[#This Row],[5]])-LEN(SUBSTITUTE(Tabela1[[#This Row],[5]],",",""))+1,1),"")</f>
        <v/>
      </c>
      <c r="AE176" t="str">
        <f>IF(Tabela1[[#This Row],[6]]&lt;&gt;"",IF(ISNUMBER(FIND(",",Tabela1[[#This Row],[6]])),LEN(Tabela1[[#This Row],[6]])-LEN(SUBSTITUTE(Tabela1[[#This Row],[6]],",",""))+1,1),"")</f>
        <v/>
      </c>
      <c r="AF176" t="str">
        <f>IF(Tabela1[[#This Row],[7]]&lt;&gt;"",IF(ISNUMBER(FIND(",",Tabela1[[#This Row],[7]])),LEN(Tabela1[[#This Row],[7]])-LEN(SUBSTITUTE(Tabela1[[#This Row],[7]],",",""))+1,1),"")</f>
        <v/>
      </c>
      <c r="AG176" t="str">
        <f>IF(Tabela1[[#This Row],[8]]&lt;&gt;"",IF(ISNUMBER(FIND(",",Tabela1[[#This Row],[8]])),LEN(Tabela1[[#This Row],[8]])-LEN(SUBSTITUTE(Tabela1[[#This Row],[8]],",",""))+1,1),"")</f>
        <v/>
      </c>
      <c r="AH176" t="str">
        <f>IF(Tabela1[[#This Row],[9]]&lt;&gt;"",IF(ISNUMBER(FIND(",",Tabela1[[#This Row],[9]])),LEN(Tabela1[[#This Row],[9]])-LEN(SUBSTITUTE(Tabela1[[#This Row],[9]],",",""))+1,1),"")</f>
        <v/>
      </c>
      <c r="AI176">
        <f>IF(Tabela1[[#This Row],[10]]&lt;&gt;"",IF(ISNUMBER(FIND(",",Tabela1[[#This Row],[10]])),LEN(Tabela1[[#This Row],[10]])-LEN(SUBSTITUTE(Tabela1[[#This Row],[10]],",",""))+1,1),"")</f>
        <v>1</v>
      </c>
      <c r="AJ176" t="str">
        <f>IF(Tabela1[[#This Row],[11]]&lt;&gt;"",IF(ISNUMBER(FIND(",",Tabela1[[#This Row],[11]])),LEN(Tabela1[[#This Row],[11]])-LEN(SUBSTITUTE(Tabela1[[#This Row],[11]],",",""))+1,1),"")</f>
        <v/>
      </c>
      <c r="AK176" t="str">
        <f>IF(Tabela1[[#This Row],[12]]&lt;&gt;"",IF(ISNUMBER(FIND(",",Tabela1[[#This Row],[12]])),LEN(Tabela1[[#This Row],[12]])-LEN(SUBSTITUTE(Tabela1[[#This Row],[12]],",",""))+1,1),"")</f>
        <v/>
      </c>
      <c r="AL176" t="str">
        <f>IF(Tabela1[[#This Row],[13]]&lt;&gt;"",IF(ISNUMBER(FIND(",",Tabela1[[#This Row],[13]])),LEN(Tabela1[[#This Row],[13]])-LEN(SUBSTITUTE(Tabela1[[#This Row],[13]],",",""))+1,1),"")</f>
        <v/>
      </c>
      <c r="AM176" t="str">
        <f>IF(Tabela1[[#This Row],[14]]&lt;&gt;"",IF(ISNUMBER(FIND(",",Tabela1[[#This Row],[14]])),LEN(Tabela1[[#This Row],[14]])-LEN(SUBSTITUTE(Tabela1[[#This Row],[14]],",",""))+1,1),"")</f>
        <v/>
      </c>
      <c r="AN176" t="str">
        <f>IF(Tabela1[[#This Row],[15]]&lt;&gt;"",IF(ISNUMBER(FIND(",",Tabela1[[#This Row],[15]])),LEN(Tabela1[[#This Row],[15]])-LEN(SUBSTITUTE(Tabela1[[#This Row],[15]],",",""))+1,1),"")</f>
        <v/>
      </c>
      <c r="AO176" t="str">
        <f>IF(Tabela1[[#This Row],[16]]&lt;&gt;"",IF(ISNUMBER(FIND(",",Tabela1[[#This Row],[16]])),LEN(Tabela1[[#This Row],[16]])-LEN(SUBSTITUTE(Tabela1[[#This Row],[16]],",",""))+1,1),"")</f>
        <v/>
      </c>
      <c r="AP176" t="str">
        <f>IF(Tabela1[[#This Row],[17]]&lt;&gt;"",IF(ISNUMBER(FIND(",",Tabela1[[#This Row],[17]])),LEN(Tabela1[[#This Row],[17]])-LEN(SUBSTITUTE(Tabela1[[#This Row],[17]],",",""))+1,1),"")</f>
        <v/>
      </c>
      <c r="AQ176">
        <f>IF(Tabela1[[#This Row],[18]]&lt;&gt;"",IF(ISNUMBER(FIND(",",Tabela1[[#This Row],[18]])),LEN(Tabela1[[#This Row],[18]])-LEN(SUBSTITUTE(Tabela1[[#This Row],[18]],",",""))+1,1),"")</f>
        <v>1</v>
      </c>
      <c r="AR176" s="13" t="str">
        <f>IF(Tabela1[[#This Row],[19_LENGTH]]&lt;&gt;"",IF(ISNUMBER(FIND(",",Tabela1[[#This Row],[19_LENGTH]])),LEN(Tabela1[[#This Row],[19_LENGTH]])-LEN(SUBSTITUTE(Tabela1[[#This Row],[19_LENGTH]],",",""))+1,1),"")</f>
        <v/>
      </c>
      <c r="AS176" s="21">
        <f>SUM(Tabela1[[#This Row],[1_]:[19_]])</f>
        <v>4</v>
      </c>
    </row>
    <row r="177" spans="1:45" x14ac:dyDescent="0.25">
      <c r="A177" s="27" t="s">
        <v>1319</v>
      </c>
      <c r="B177" s="19" t="s">
        <v>385</v>
      </c>
      <c r="C177" s="19">
        <v>202</v>
      </c>
      <c r="D177" s="19" t="s">
        <v>1315</v>
      </c>
      <c r="E177" s="20">
        <v>43454</v>
      </c>
      <c r="F177" s="19"/>
      <c r="G177" s="19"/>
      <c r="H177" s="19">
        <v>188</v>
      </c>
      <c r="I177" s="19"/>
      <c r="J177" s="19"/>
      <c r="K177" s="19"/>
      <c r="L177" s="19"/>
      <c r="M177" s="19"/>
      <c r="N177" s="19"/>
      <c r="O177" s="19"/>
      <c r="P177" s="19"/>
      <c r="Q177" s="19"/>
      <c r="R177" s="19"/>
      <c r="S177" s="19"/>
      <c r="T177" s="19"/>
      <c r="U177" s="19"/>
      <c r="V177" s="19"/>
      <c r="W177" s="19"/>
      <c r="X177" s="19"/>
      <c r="Y177" s="19"/>
      <c r="Z177" t="str">
        <f>IF(Tabela1[[#This Row],[1]]&lt;&gt;"",IF(ISNUMBER(FIND(",",Tabela1[[#This Row],[1]])),LEN(Tabela1[[#This Row],[1]])-LEN(SUBSTITUTE(Tabela1[[#This Row],[1]],",",""))+1,1),"")</f>
        <v/>
      </c>
      <c r="AA177" t="str">
        <f>IF(Tabela1[[#This Row],[2]]&lt;&gt;"",IF(ISNUMBER(FIND(",",Tabela1[[#This Row],[2]])),LEN(Tabela1[[#This Row],[2]])-LEN(SUBSTITUTE(Tabela1[[#This Row],[2]],",",""))+1,1),"")</f>
        <v/>
      </c>
      <c r="AB177">
        <f>IF(Tabela1[[#This Row],[3]]&lt;&gt;"",IF(ISNUMBER(FIND(",",Tabela1[[#This Row],[3]])),LEN(Tabela1[[#This Row],[3]])-LEN(SUBSTITUTE(Tabela1[[#This Row],[3]],",",""))+1,1),"")</f>
        <v>1</v>
      </c>
      <c r="AC177" t="str">
        <f>IF(Tabela1[[#This Row],[4]]&lt;&gt;"",IF(ISNUMBER(FIND(",",Tabela1[[#This Row],[4]])),LEN(Tabela1[[#This Row],[4]])-LEN(SUBSTITUTE(Tabela1[[#This Row],[4]],",",""))+1,1),"")</f>
        <v/>
      </c>
      <c r="AD177" t="str">
        <f>IF(Tabela1[[#This Row],[5]]&lt;&gt;"",IF(ISNUMBER(FIND(",",Tabela1[[#This Row],[5]])),LEN(Tabela1[[#This Row],[5]])-LEN(SUBSTITUTE(Tabela1[[#This Row],[5]],",",""))+1,1),"")</f>
        <v/>
      </c>
      <c r="AE177" t="str">
        <f>IF(Tabela1[[#This Row],[6]]&lt;&gt;"",IF(ISNUMBER(FIND(",",Tabela1[[#This Row],[6]])),LEN(Tabela1[[#This Row],[6]])-LEN(SUBSTITUTE(Tabela1[[#This Row],[6]],",",""))+1,1),"")</f>
        <v/>
      </c>
      <c r="AF177" t="str">
        <f>IF(Tabela1[[#This Row],[7]]&lt;&gt;"",IF(ISNUMBER(FIND(",",Tabela1[[#This Row],[7]])),LEN(Tabela1[[#This Row],[7]])-LEN(SUBSTITUTE(Tabela1[[#This Row],[7]],",",""))+1,1),"")</f>
        <v/>
      </c>
      <c r="AG177" t="str">
        <f>IF(Tabela1[[#This Row],[8]]&lt;&gt;"",IF(ISNUMBER(FIND(",",Tabela1[[#This Row],[8]])),LEN(Tabela1[[#This Row],[8]])-LEN(SUBSTITUTE(Tabela1[[#This Row],[8]],",",""))+1,1),"")</f>
        <v/>
      </c>
      <c r="AH177" t="str">
        <f>IF(Tabela1[[#This Row],[9]]&lt;&gt;"",IF(ISNUMBER(FIND(",",Tabela1[[#This Row],[9]])),LEN(Tabela1[[#This Row],[9]])-LEN(SUBSTITUTE(Tabela1[[#This Row],[9]],",",""))+1,1),"")</f>
        <v/>
      </c>
      <c r="AI177" t="str">
        <f>IF(Tabela1[[#This Row],[10]]&lt;&gt;"",IF(ISNUMBER(FIND(",",Tabela1[[#This Row],[10]])),LEN(Tabela1[[#This Row],[10]])-LEN(SUBSTITUTE(Tabela1[[#This Row],[10]],",",""))+1,1),"")</f>
        <v/>
      </c>
      <c r="AJ177" t="str">
        <f>IF(Tabela1[[#This Row],[11]]&lt;&gt;"",IF(ISNUMBER(FIND(",",Tabela1[[#This Row],[11]])),LEN(Tabela1[[#This Row],[11]])-LEN(SUBSTITUTE(Tabela1[[#This Row],[11]],",",""))+1,1),"")</f>
        <v/>
      </c>
      <c r="AK177" t="str">
        <f>IF(Tabela1[[#This Row],[12]]&lt;&gt;"",IF(ISNUMBER(FIND(",",Tabela1[[#This Row],[12]])),LEN(Tabela1[[#This Row],[12]])-LEN(SUBSTITUTE(Tabela1[[#This Row],[12]],",",""))+1,1),"")</f>
        <v/>
      </c>
      <c r="AL177" t="str">
        <f>IF(Tabela1[[#This Row],[13]]&lt;&gt;"",IF(ISNUMBER(FIND(",",Tabela1[[#This Row],[13]])),LEN(Tabela1[[#This Row],[13]])-LEN(SUBSTITUTE(Tabela1[[#This Row],[13]],",",""))+1,1),"")</f>
        <v/>
      </c>
      <c r="AM177" t="str">
        <f>IF(Tabela1[[#This Row],[14]]&lt;&gt;"",IF(ISNUMBER(FIND(",",Tabela1[[#This Row],[14]])),LEN(Tabela1[[#This Row],[14]])-LEN(SUBSTITUTE(Tabela1[[#This Row],[14]],",",""))+1,1),"")</f>
        <v/>
      </c>
      <c r="AN177" t="str">
        <f>IF(Tabela1[[#This Row],[15]]&lt;&gt;"",IF(ISNUMBER(FIND(",",Tabela1[[#This Row],[15]])),LEN(Tabela1[[#This Row],[15]])-LEN(SUBSTITUTE(Tabela1[[#This Row],[15]],",",""))+1,1),"")</f>
        <v/>
      </c>
      <c r="AO177" t="str">
        <f>IF(Tabela1[[#This Row],[16]]&lt;&gt;"",IF(ISNUMBER(FIND(",",Tabela1[[#This Row],[16]])),LEN(Tabela1[[#This Row],[16]])-LEN(SUBSTITUTE(Tabela1[[#This Row],[16]],",",""))+1,1),"")</f>
        <v/>
      </c>
      <c r="AP177" t="str">
        <f>IF(Tabela1[[#This Row],[17]]&lt;&gt;"",IF(ISNUMBER(FIND(",",Tabela1[[#This Row],[17]])),LEN(Tabela1[[#This Row],[17]])-LEN(SUBSTITUTE(Tabela1[[#This Row],[17]],",",""))+1,1),"")</f>
        <v/>
      </c>
      <c r="AQ177" t="str">
        <f>IF(Tabela1[[#This Row],[18]]&lt;&gt;"",IF(ISNUMBER(FIND(",",Tabela1[[#This Row],[18]])),LEN(Tabela1[[#This Row],[18]])-LEN(SUBSTITUTE(Tabela1[[#This Row],[18]],",",""))+1,1),"")</f>
        <v/>
      </c>
      <c r="AR177" s="13" t="str">
        <f>IF(Tabela1[[#This Row],[19_LENGTH]]&lt;&gt;"",IF(ISNUMBER(FIND(",",Tabela1[[#This Row],[19_LENGTH]])),LEN(Tabela1[[#This Row],[19_LENGTH]])-LEN(SUBSTITUTE(Tabela1[[#This Row],[19_LENGTH]],",",""))+1,1),"")</f>
        <v/>
      </c>
      <c r="AS177" s="21">
        <f>SUM(Tabela1[[#This Row],[1_]:[19_]])</f>
        <v>1</v>
      </c>
    </row>
    <row r="178" spans="1:45" x14ac:dyDescent="0.25">
      <c r="A178" s="27" t="s">
        <v>1319</v>
      </c>
      <c r="B178" s="19" t="s">
        <v>733</v>
      </c>
      <c r="C178" s="19">
        <v>202</v>
      </c>
      <c r="D178" s="19" t="s">
        <v>1314</v>
      </c>
      <c r="E178" s="20">
        <v>43454</v>
      </c>
      <c r="F178" s="19"/>
      <c r="G178" s="19"/>
      <c r="H178" s="19"/>
      <c r="I178" s="19"/>
      <c r="J178" s="19"/>
      <c r="K178" s="19" t="s">
        <v>70</v>
      </c>
      <c r="L178" s="19"/>
      <c r="M178" s="19">
        <v>169</v>
      </c>
      <c r="N178" s="19"/>
      <c r="O178" s="19"/>
      <c r="P178" s="19"/>
      <c r="Q178" s="19"/>
      <c r="R178" s="19"/>
      <c r="S178" s="19"/>
      <c r="T178" s="19"/>
      <c r="U178" s="19"/>
      <c r="V178" s="19"/>
      <c r="W178" s="19">
        <v>28</v>
      </c>
      <c r="X178" s="19"/>
      <c r="Y178" s="19"/>
      <c r="Z178" t="str">
        <f>IF(Tabela1[[#This Row],[1]]&lt;&gt;"",IF(ISNUMBER(FIND(",",Tabela1[[#This Row],[1]])),LEN(Tabela1[[#This Row],[1]])-LEN(SUBSTITUTE(Tabela1[[#This Row],[1]],",",""))+1,1),"")</f>
        <v/>
      </c>
      <c r="AA178" t="str">
        <f>IF(Tabela1[[#This Row],[2]]&lt;&gt;"",IF(ISNUMBER(FIND(",",Tabela1[[#This Row],[2]])),LEN(Tabela1[[#This Row],[2]])-LEN(SUBSTITUTE(Tabela1[[#This Row],[2]],",",""))+1,1),"")</f>
        <v/>
      </c>
      <c r="AB178" t="str">
        <f>IF(Tabela1[[#This Row],[3]]&lt;&gt;"",IF(ISNUMBER(FIND(",",Tabela1[[#This Row],[3]])),LEN(Tabela1[[#This Row],[3]])-LEN(SUBSTITUTE(Tabela1[[#This Row],[3]],",",""))+1,1),"")</f>
        <v/>
      </c>
      <c r="AC178" t="str">
        <f>IF(Tabela1[[#This Row],[4]]&lt;&gt;"",IF(ISNUMBER(FIND(",",Tabela1[[#This Row],[4]])),LEN(Tabela1[[#This Row],[4]])-LEN(SUBSTITUTE(Tabela1[[#This Row],[4]],",",""))+1,1),"")</f>
        <v/>
      </c>
      <c r="AD178" t="str">
        <f>IF(Tabela1[[#This Row],[5]]&lt;&gt;"",IF(ISNUMBER(FIND(",",Tabela1[[#This Row],[5]])),LEN(Tabela1[[#This Row],[5]])-LEN(SUBSTITUTE(Tabela1[[#This Row],[5]],",",""))+1,1),"")</f>
        <v/>
      </c>
      <c r="AE178">
        <f>IF(Tabela1[[#This Row],[6]]&lt;&gt;"",IF(ISNUMBER(FIND(",",Tabela1[[#This Row],[6]])),LEN(Tabela1[[#This Row],[6]])-LEN(SUBSTITUTE(Tabela1[[#This Row],[6]],",",""))+1,1),"")</f>
        <v>3</v>
      </c>
      <c r="AF178" t="str">
        <f>IF(Tabela1[[#This Row],[7]]&lt;&gt;"",IF(ISNUMBER(FIND(",",Tabela1[[#This Row],[7]])),LEN(Tabela1[[#This Row],[7]])-LEN(SUBSTITUTE(Tabela1[[#This Row],[7]],",",""))+1,1),"")</f>
        <v/>
      </c>
      <c r="AG178">
        <f>IF(Tabela1[[#This Row],[8]]&lt;&gt;"",IF(ISNUMBER(FIND(",",Tabela1[[#This Row],[8]])),LEN(Tabela1[[#This Row],[8]])-LEN(SUBSTITUTE(Tabela1[[#This Row],[8]],",",""))+1,1),"")</f>
        <v>1</v>
      </c>
      <c r="AH178" t="str">
        <f>IF(Tabela1[[#This Row],[9]]&lt;&gt;"",IF(ISNUMBER(FIND(",",Tabela1[[#This Row],[9]])),LEN(Tabela1[[#This Row],[9]])-LEN(SUBSTITUTE(Tabela1[[#This Row],[9]],",",""))+1,1),"")</f>
        <v/>
      </c>
      <c r="AI178" t="str">
        <f>IF(Tabela1[[#This Row],[10]]&lt;&gt;"",IF(ISNUMBER(FIND(",",Tabela1[[#This Row],[10]])),LEN(Tabela1[[#This Row],[10]])-LEN(SUBSTITUTE(Tabela1[[#This Row],[10]],",",""))+1,1),"")</f>
        <v/>
      </c>
      <c r="AJ178" t="str">
        <f>IF(Tabela1[[#This Row],[11]]&lt;&gt;"",IF(ISNUMBER(FIND(",",Tabela1[[#This Row],[11]])),LEN(Tabela1[[#This Row],[11]])-LEN(SUBSTITUTE(Tabela1[[#This Row],[11]],",",""))+1,1),"")</f>
        <v/>
      </c>
      <c r="AK178" t="str">
        <f>IF(Tabela1[[#This Row],[12]]&lt;&gt;"",IF(ISNUMBER(FIND(",",Tabela1[[#This Row],[12]])),LEN(Tabela1[[#This Row],[12]])-LEN(SUBSTITUTE(Tabela1[[#This Row],[12]],",",""))+1,1),"")</f>
        <v/>
      </c>
      <c r="AL178" t="str">
        <f>IF(Tabela1[[#This Row],[13]]&lt;&gt;"",IF(ISNUMBER(FIND(",",Tabela1[[#This Row],[13]])),LEN(Tabela1[[#This Row],[13]])-LEN(SUBSTITUTE(Tabela1[[#This Row],[13]],",",""))+1,1),"")</f>
        <v/>
      </c>
      <c r="AM178" t="str">
        <f>IF(Tabela1[[#This Row],[14]]&lt;&gt;"",IF(ISNUMBER(FIND(",",Tabela1[[#This Row],[14]])),LEN(Tabela1[[#This Row],[14]])-LEN(SUBSTITUTE(Tabela1[[#This Row],[14]],",",""))+1,1),"")</f>
        <v/>
      </c>
      <c r="AN178" t="str">
        <f>IF(Tabela1[[#This Row],[15]]&lt;&gt;"",IF(ISNUMBER(FIND(",",Tabela1[[#This Row],[15]])),LEN(Tabela1[[#This Row],[15]])-LEN(SUBSTITUTE(Tabela1[[#This Row],[15]],",",""))+1,1),"")</f>
        <v/>
      </c>
      <c r="AO178" t="str">
        <f>IF(Tabela1[[#This Row],[16]]&lt;&gt;"",IF(ISNUMBER(FIND(",",Tabela1[[#This Row],[16]])),LEN(Tabela1[[#This Row],[16]])-LEN(SUBSTITUTE(Tabela1[[#This Row],[16]],",",""))+1,1),"")</f>
        <v/>
      </c>
      <c r="AP178" t="str">
        <f>IF(Tabela1[[#This Row],[17]]&lt;&gt;"",IF(ISNUMBER(FIND(",",Tabela1[[#This Row],[17]])),LEN(Tabela1[[#This Row],[17]])-LEN(SUBSTITUTE(Tabela1[[#This Row],[17]],",",""))+1,1),"")</f>
        <v/>
      </c>
      <c r="AQ178">
        <f>IF(Tabela1[[#This Row],[18]]&lt;&gt;"",IF(ISNUMBER(FIND(",",Tabela1[[#This Row],[18]])),LEN(Tabela1[[#This Row],[18]])-LEN(SUBSTITUTE(Tabela1[[#This Row],[18]],",",""))+1,1),"")</f>
        <v>1</v>
      </c>
      <c r="AR178" s="13" t="str">
        <f>IF(Tabela1[[#This Row],[19_LENGTH]]&lt;&gt;"",IF(ISNUMBER(FIND(",",Tabela1[[#This Row],[19_LENGTH]])),LEN(Tabela1[[#This Row],[19_LENGTH]])-LEN(SUBSTITUTE(Tabela1[[#This Row],[19_LENGTH]],",",""))+1,1),"")</f>
        <v/>
      </c>
      <c r="AS178" s="21">
        <f>SUM(Tabela1[[#This Row],[1_]:[19_]])</f>
        <v>5</v>
      </c>
    </row>
    <row r="179" spans="1:45" x14ac:dyDescent="0.25">
      <c r="A179" s="27" t="s">
        <v>1319</v>
      </c>
      <c r="B179" s="19" t="s">
        <v>734</v>
      </c>
      <c r="C179" s="19">
        <v>202</v>
      </c>
      <c r="D179" s="19" t="s">
        <v>1301</v>
      </c>
      <c r="E179" s="20">
        <v>43454</v>
      </c>
      <c r="F179" s="19"/>
      <c r="G179" s="19" t="s">
        <v>71</v>
      </c>
      <c r="H179" s="19"/>
      <c r="I179" s="19"/>
      <c r="J179" s="19"/>
      <c r="K179" s="19"/>
      <c r="L179" s="19"/>
      <c r="M179" s="19"/>
      <c r="N179" s="19"/>
      <c r="O179" s="19"/>
      <c r="P179" s="19"/>
      <c r="Q179" s="19"/>
      <c r="R179" s="19"/>
      <c r="S179" s="19"/>
      <c r="T179" s="19"/>
      <c r="U179" s="19" t="s">
        <v>71</v>
      </c>
      <c r="V179" s="19"/>
      <c r="W179" s="19"/>
      <c r="X179" s="19"/>
      <c r="Y179" s="19"/>
      <c r="Z179" t="str">
        <f>IF(Tabela1[[#This Row],[1]]&lt;&gt;"",IF(ISNUMBER(FIND(",",Tabela1[[#This Row],[1]])),LEN(Tabela1[[#This Row],[1]])-LEN(SUBSTITUTE(Tabela1[[#This Row],[1]],",",""))+1,1),"")</f>
        <v/>
      </c>
      <c r="AA179">
        <f>IF(Tabela1[[#This Row],[2]]&lt;&gt;"",IF(ISNUMBER(FIND(",",Tabela1[[#This Row],[2]])),LEN(Tabela1[[#This Row],[2]])-LEN(SUBSTITUTE(Tabela1[[#This Row],[2]],",",""))+1,1),"")</f>
        <v>2</v>
      </c>
      <c r="AB179" t="str">
        <f>IF(Tabela1[[#This Row],[3]]&lt;&gt;"",IF(ISNUMBER(FIND(",",Tabela1[[#This Row],[3]])),LEN(Tabela1[[#This Row],[3]])-LEN(SUBSTITUTE(Tabela1[[#This Row],[3]],",",""))+1,1),"")</f>
        <v/>
      </c>
      <c r="AC179" t="str">
        <f>IF(Tabela1[[#This Row],[4]]&lt;&gt;"",IF(ISNUMBER(FIND(",",Tabela1[[#This Row],[4]])),LEN(Tabela1[[#This Row],[4]])-LEN(SUBSTITUTE(Tabela1[[#This Row],[4]],",",""))+1,1),"")</f>
        <v/>
      </c>
      <c r="AD179" t="str">
        <f>IF(Tabela1[[#This Row],[5]]&lt;&gt;"",IF(ISNUMBER(FIND(",",Tabela1[[#This Row],[5]])),LEN(Tabela1[[#This Row],[5]])-LEN(SUBSTITUTE(Tabela1[[#This Row],[5]],",",""))+1,1),"")</f>
        <v/>
      </c>
      <c r="AE179" t="str">
        <f>IF(Tabela1[[#This Row],[6]]&lt;&gt;"",IF(ISNUMBER(FIND(",",Tabela1[[#This Row],[6]])),LEN(Tabela1[[#This Row],[6]])-LEN(SUBSTITUTE(Tabela1[[#This Row],[6]],",",""))+1,1),"")</f>
        <v/>
      </c>
      <c r="AF179" t="str">
        <f>IF(Tabela1[[#This Row],[7]]&lt;&gt;"",IF(ISNUMBER(FIND(",",Tabela1[[#This Row],[7]])),LEN(Tabela1[[#This Row],[7]])-LEN(SUBSTITUTE(Tabela1[[#This Row],[7]],",",""))+1,1),"")</f>
        <v/>
      </c>
      <c r="AG179" t="str">
        <f>IF(Tabela1[[#This Row],[8]]&lt;&gt;"",IF(ISNUMBER(FIND(",",Tabela1[[#This Row],[8]])),LEN(Tabela1[[#This Row],[8]])-LEN(SUBSTITUTE(Tabela1[[#This Row],[8]],",",""))+1,1),"")</f>
        <v/>
      </c>
      <c r="AH179" t="str">
        <f>IF(Tabela1[[#This Row],[9]]&lt;&gt;"",IF(ISNUMBER(FIND(",",Tabela1[[#This Row],[9]])),LEN(Tabela1[[#This Row],[9]])-LEN(SUBSTITUTE(Tabela1[[#This Row],[9]],",",""))+1,1),"")</f>
        <v/>
      </c>
      <c r="AI179" t="str">
        <f>IF(Tabela1[[#This Row],[10]]&lt;&gt;"",IF(ISNUMBER(FIND(",",Tabela1[[#This Row],[10]])),LEN(Tabela1[[#This Row],[10]])-LEN(SUBSTITUTE(Tabela1[[#This Row],[10]],",",""))+1,1),"")</f>
        <v/>
      </c>
      <c r="AJ179" t="str">
        <f>IF(Tabela1[[#This Row],[11]]&lt;&gt;"",IF(ISNUMBER(FIND(",",Tabela1[[#This Row],[11]])),LEN(Tabela1[[#This Row],[11]])-LEN(SUBSTITUTE(Tabela1[[#This Row],[11]],",",""))+1,1),"")</f>
        <v/>
      </c>
      <c r="AK179" t="str">
        <f>IF(Tabela1[[#This Row],[12]]&lt;&gt;"",IF(ISNUMBER(FIND(",",Tabela1[[#This Row],[12]])),LEN(Tabela1[[#This Row],[12]])-LEN(SUBSTITUTE(Tabela1[[#This Row],[12]],",",""))+1,1),"")</f>
        <v/>
      </c>
      <c r="AL179" t="str">
        <f>IF(Tabela1[[#This Row],[13]]&lt;&gt;"",IF(ISNUMBER(FIND(",",Tabela1[[#This Row],[13]])),LEN(Tabela1[[#This Row],[13]])-LEN(SUBSTITUTE(Tabela1[[#This Row],[13]],",",""))+1,1),"")</f>
        <v/>
      </c>
      <c r="AM179" t="str">
        <f>IF(Tabela1[[#This Row],[14]]&lt;&gt;"",IF(ISNUMBER(FIND(",",Tabela1[[#This Row],[14]])),LEN(Tabela1[[#This Row],[14]])-LEN(SUBSTITUTE(Tabela1[[#This Row],[14]],",",""))+1,1),"")</f>
        <v/>
      </c>
      <c r="AN179" t="str">
        <f>IF(Tabela1[[#This Row],[15]]&lt;&gt;"",IF(ISNUMBER(FIND(",",Tabela1[[#This Row],[15]])),LEN(Tabela1[[#This Row],[15]])-LEN(SUBSTITUTE(Tabela1[[#This Row],[15]],",",""))+1,1),"")</f>
        <v/>
      </c>
      <c r="AO179">
        <f>IF(Tabela1[[#This Row],[16]]&lt;&gt;"",IF(ISNUMBER(FIND(",",Tabela1[[#This Row],[16]])),LEN(Tabela1[[#This Row],[16]])-LEN(SUBSTITUTE(Tabela1[[#This Row],[16]],",",""))+1,1),"")</f>
        <v>2</v>
      </c>
      <c r="AP179" t="str">
        <f>IF(Tabela1[[#This Row],[17]]&lt;&gt;"",IF(ISNUMBER(FIND(",",Tabela1[[#This Row],[17]])),LEN(Tabela1[[#This Row],[17]])-LEN(SUBSTITUTE(Tabela1[[#This Row],[17]],",",""))+1,1),"")</f>
        <v/>
      </c>
      <c r="AQ179" t="str">
        <f>IF(Tabela1[[#This Row],[18]]&lt;&gt;"",IF(ISNUMBER(FIND(",",Tabela1[[#This Row],[18]])),LEN(Tabela1[[#This Row],[18]])-LEN(SUBSTITUTE(Tabela1[[#This Row],[18]],",",""))+1,1),"")</f>
        <v/>
      </c>
      <c r="AR179" s="13" t="str">
        <f>IF(Tabela1[[#This Row],[19_LENGTH]]&lt;&gt;"",IF(ISNUMBER(FIND(",",Tabela1[[#This Row],[19_LENGTH]])),LEN(Tabela1[[#This Row],[19_LENGTH]])-LEN(SUBSTITUTE(Tabela1[[#This Row],[19_LENGTH]],",",""))+1,1),"")</f>
        <v/>
      </c>
      <c r="AS179" s="21">
        <f>SUM(Tabela1[[#This Row],[1_]:[19_]])</f>
        <v>4</v>
      </c>
    </row>
    <row r="180" spans="1:45" x14ac:dyDescent="0.25">
      <c r="A180" s="27" t="s">
        <v>1319</v>
      </c>
      <c r="B180" s="19" t="s">
        <v>735</v>
      </c>
      <c r="C180" s="19">
        <v>152</v>
      </c>
      <c r="D180" s="19" t="s">
        <v>1301</v>
      </c>
      <c r="E180" s="20">
        <v>43454</v>
      </c>
      <c r="F180" s="19"/>
      <c r="G180" s="19">
        <v>90</v>
      </c>
      <c r="H180" s="19"/>
      <c r="I180" s="19"/>
      <c r="J180" s="19"/>
      <c r="K180" s="19"/>
      <c r="L180" s="19"/>
      <c r="M180" s="19"/>
      <c r="N180" s="19"/>
      <c r="O180" s="19"/>
      <c r="P180" s="19"/>
      <c r="Q180" s="19"/>
      <c r="R180" s="19"/>
      <c r="S180" s="19"/>
      <c r="T180" s="19"/>
      <c r="U180" s="19"/>
      <c r="V180" s="19"/>
      <c r="W180" s="19"/>
      <c r="X180" s="19"/>
      <c r="Y180" s="19"/>
      <c r="Z180" t="str">
        <f>IF(Tabela1[[#This Row],[1]]&lt;&gt;"",IF(ISNUMBER(FIND(",",Tabela1[[#This Row],[1]])),LEN(Tabela1[[#This Row],[1]])-LEN(SUBSTITUTE(Tabela1[[#This Row],[1]],",",""))+1,1),"")</f>
        <v/>
      </c>
      <c r="AA180">
        <f>IF(Tabela1[[#This Row],[2]]&lt;&gt;"",IF(ISNUMBER(FIND(",",Tabela1[[#This Row],[2]])),LEN(Tabela1[[#This Row],[2]])-LEN(SUBSTITUTE(Tabela1[[#This Row],[2]],",",""))+1,1),"")</f>
        <v>1</v>
      </c>
      <c r="AB180" t="str">
        <f>IF(Tabela1[[#This Row],[3]]&lt;&gt;"",IF(ISNUMBER(FIND(",",Tabela1[[#This Row],[3]])),LEN(Tabela1[[#This Row],[3]])-LEN(SUBSTITUTE(Tabela1[[#This Row],[3]],",",""))+1,1),"")</f>
        <v/>
      </c>
      <c r="AC180" t="str">
        <f>IF(Tabela1[[#This Row],[4]]&lt;&gt;"",IF(ISNUMBER(FIND(",",Tabela1[[#This Row],[4]])),LEN(Tabela1[[#This Row],[4]])-LEN(SUBSTITUTE(Tabela1[[#This Row],[4]],",",""))+1,1),"")</f>
        <v/>
      </c>
      <c r="AD180" t="str">
        <f>IF(Tabela1[[#This Row],[5]]&lt;&gt;"",IF(ISNUMBER(FIND(",",Tabela1[[#This Row],[5]])),LEN(Tabela1[[#This Row],[5]])-LEN(SUBSTITUTE(Tabela1[[#This Row],[5]],",",""))+1,1),"")</f>
        <v/>
      </c>
      <c r="AE180" t="str">
        <f>IF(Tabela1[[#This Row],[6]]&lt;&gt;"",IF(ISNUMBER(FIND(",",Tabela1[[#This Row],[6]])),LEN(Tabela1[[#This Row],[6]])-LEN(SUBSTITUTE(Tabela1[[#This Row],[6]],",",""))+1,1),"")</f>
        <v/>
      </c>
      <c r="AF180" t="str">
        <f>IF(Tabela1[[#This Row],[7]]&lt;&gt;"",IF(ISNUMBER(FIND(",",Tabela1[[#This Row],[7]])),LEN(Tabela1[[#This Row],[7]])-LEN(SUBSTITUTE(Tabela1[[#This Row],[7]],",",""))+1,1),"")</f>
        <v/>
      </c>
      <c r="AG180" t="str">
        <f>IF(Tabela1[[#This Row],[8]]&lt;&gt;"",IF(ISNUMBER(FIND(",",Tabela1[[#This Row],[8]])),LEN(Tabela1[[#This Row],[8]])-LEN(SUBSTITUTE(Tabela1[[#This Row],[8]],",",""))+1,1),"")</f>
        <v/>
      </c>
      <c r="AH180" t="str">
        <f>IF(Tabela1[[#This Row],[9]]&lt;&gt;"",IF(ISNUMBER(FIND(",",Tabela1[[#This Row],[9]])),LEN(Tabela1[[#This Row],[9]])-LEN(SUBSTITUTE(Tabela1[[#This Row],[9]],",",""))+1,1),"")</f>
        <v/>
      </c>
      <c r="AI180" t="str">
        <f>IF(Tabela1[[#This Row],[10]]&lt;&gt;"",IF(ISNUMBER(FIND(",",Tabela1[[#This Row],[10]])),LEN(Tabela1[[#This Row],[10]])-LEN(SUBSTITUTE(Tabela1[[#This Row],[10]],",",""))+1,1),"")</f>
        <v/>
      </c>
      <c r="AJ180" t="str">
        <f>IF(Tabela1[[#This Row],[11]]&lt;&gt;"",IF(ISNUMBER(FIND(",",Tabela1[[#This Row],[11]])),LEN(Tabela1[[#This Row],[11]])-LEN(SUBSTITUTE(Tabela1[[#This Row],[11]],",",""))+1,1),"")</f>
        <v/>
      </c>
      <c r="AK180" t="str">
        <f>IF(Tabela1[[#This Row],[12]]&lt;&gt;"",IF(ISNUMBER(FIND(",",Tabela1[[#This Row],[12]])),LEN(Tabela1[[#This Row],[12]])-LEN(SUBSTITUTE(Tabela1[[#This Row],[12]],",",""))+1,1),"")</f>
        <v/>
      </c>
      <c r="AL180" t="str">
        <f>IF(Tabela1[[#This Row],[13]]&lt;&gt;"",IF(ISNUMBER(FIND(",",Tabela1[[#This Row],[13]])),LEN(Tabela1[[#This Row],[13]])-LEN(SUBSTITUTE(Tabela1[[#This Row],[13]],",",""))+1,1),"")</f>
        <v/>
      </c>
      <c r="AM180" t="str">
        <f>IF(Tabela1[[#This Row],[14]]&lt;&gt;"",IF(ISNUMBER(FIND(",",Tabela1[[#This Row],[14]])),LEN(Tabela1[[#This Row],[14]])-LEN(SUBSTITUTE(Tabela1[[#This Row],[14]],",",""))+1,1),"")</f>
        <v/>
      </c>
      <c r="AN180" t="str">
        <f>IF(Tabela1[[#This Row],[15]]&lt;&gt;"",IF(ISNUMBER(FIND(",",Tabela1[[#This Row],[15]])),LEN(Tabela1[[#This Row],[15]])-LEN(SUBSTITUTE(Tabela1[[#This Row],[15]],",",""))+1,1),"")</f>
        <v/>
      </c>
      <c r="AO180" t="str">
        <f>IF(Tabela1[[#This Row],[16]]&lt;&gt;"",IF(ISNUMBER(FIND(",",Tabela1[[#This Row],[16]])),LEN(Tabela1[[#This Row],[16]])-LEN(SUBSTITUTE(Tabela1[[#This Row],[16]],",",""))+1,1),"")</f>
        <v/>
      </c>
      <c r="AP180" t="str">
        <f>IF(Tabela1[[#This Row],[17]]&lt;&gt;"",IF(ISNUMBER(FIND(",",Tabela1[[#This Row],[17]])),LEN(Tabela1[[#This Row],[17]])-LEN(SUBSTITUTE(Tabela1[[#This Row],[17]],",",""))+1,1),"")</f>
        <v/>
      </c>
      <c r="AQ180" t="str">
        <f>IF(Tabela1[[#This Row],[18]]&lt;&gt;"",IF(ISNUMBER(FIND(",",Tabela1[[#This Row],[18]])),LEN(Tabela1[[#This Row],[18]])-LEN(SUBSTITUTE(Tabela1[[#This Row],[18]],",",""))+1,1),"")</f>
        <v/>
      </c>
      <c r="AR180" s="13" t="str">
        <f>IF(Tabela1[[#This Row],[19_LENGTH]]&lt;&gt;"",IF(ISNUMBER(FIND(",",Tabela1[[#This Row],[19_LENGTH]])),LEN(Tabela1[[#This Row],[19_LENGTH]])-LEN(SUBSTITUTE(Tabela1[[#This Row],[19_LENGTH]],",",""))+1,1),"")</f>
        <v/>
      </c>
      <c r="AS180" s="21">
        <f>SUM(Tabela1[[#This Row],[1_]:[19_]])</f>
        <v>1</v>
      </c>
    </row>
    <row r="181" spans="1:45" x14ac:dyDescent="0.25">
      <c r="A181" s="27" t="s">
        <v>1319</v>
      </c>
      <c r="B181" s="19" t="s">
        <v>736</v>
      </c>
      <c r="C181" s="19">
        <v>202</v>
      </c>
      <c r="D181" s="19" t="s">
        <v>1301</v>
      </c>
      <c r="E181" s="20">
        <v>43454</v>
      </c>
      <c r="F181" s="19"/>
      <c r="G181" s="19">
        <v>111</v>
      </c>
      <c r="H181" s="19"/>
      <c r="I181" s="19"/>
      <c r="J181" s="19"/>
      <c r="K181" s="19"/>
      <c r="L181" s="19"/>
      <c r="M181" s="19"/>
      <c r="N181" s="19"/>
      <c r="O181" s="19"/>
      <c r="P181" s="19"/>
      <c r="Q181" s="19"/>
      <c r="R181" s="19"/>
      <c r="S181" s="19"/>
      <c r="T181" s="19"/>
      <c r="U181" s="19"/>
      <c r="V181" s="19"/>
      <c r="W181" s="19"/>
      <c r="X181" s="19"/>
      <c r="Y181" s="19"/>
      <c r="Z181" t="str">
        <f>IF(Tabela1[[#This Row],[1]]&lt;&gt;"",IF(ISNUMBER(FIND(",",Tabela1[[#This Row],[1]])),LEN(Tabela1[[#This Row],[1]])-LEN(SUBSTITUTE(Tabela1[[#This Row],[1]],",",""))+1,1),"")</f>
        <v/>
      </c>
      <c r="AA181">
        <f>IF(Tabela1[[#This Row],[2]]&lt;&gt;"",IF(ISNUMBER(FIND(",",Tabela1[[#This Row],[2]])),LEN(Tabela1[[#This Row],[2]])-LEN(SUBSTITUTE(Tabela1[[#This Row],[2]],",",""))+1,1),"")</f>
        <v>1</v>
      </c>
      <c r="AB181" t="str">
        <f>IF(Tabela1[[#This Row],[3]]&lt;&gt;"",IF(ISNUMBER(FIND(",",Tabela1[[#This Row],[3]])),LEN(Tabela1[[#This Row],[3]])-LEN(SUBSTITUTE(Tabela1[[#This Row],[3]],",",""))+1,1),"")</f>
        <v/>
      </c>
      <c r="AC181" t="str">
        <f>IF(Tabela1[[#This Row],[4]]&lt;&gt;"",IF(ISNUMBER(FIND(",",Tabela1[[#This Row],[4]])),LEN(Tabela1[[#This Row],[4]])-LEN(SUBSTITUTE(Tabela1[[#This Row],[4]],",",""))+1,1),"")</f>
        <v/>
      </c>
      <c r="AD181" t="str">
        <f>IF(Tabela1[[#This Row],[5]]&lt;&gt;"",IF(ISNUMBER(FIND(",",Tabela1[[#This Row],[5]])),LEN(Tabela1[[#This Row],[5]])-LEN(SUBSTITUTE(Tabela1[[#This Row],[5]],",",""))+1,1),"")</f>
        <v/>
      </c>
      <c r="AE181" t="str">
        <f>IF(Tabela1[[#This Row],[6]]&lt;&gt;"",IF(ISNUMBER(FIND(",",Tabela1[[#This Row],[6]])),LEN(Tabela1[[#This Row],[6]])-LEN(SUBSTITUTE(Tabela1[[#This Row],[6]],",",""))+1,1),"")</f>
        <v/>
      </c>
      <c r="AF181" t="str">
        <f>IF(Tabela1[[#This Row],[7]]&lt;&gt;"",IF(ISNUMBER(FIND(",",Tabela1[[#This Row],[7]])),LEN(Tabela1[[#This Row],[7]])-LEN(SUBSTITUTE(Tabela1[[#This Row],[7]],",",""))+1,1),"")</f>
        <v/>
      </c>
      <c r="AG181" t="str">
        <f>IF(Tabela1[[#This Row],[8]]&lt;&gt;"",IF(ISNUMBER(FIND(",",Tabela1[[#This Row],[8]])),LEN(Tabela1[[#This Row],[8]])-LEN(SUBSTITUTE(Tabela1[[#This Row],[8]],",",""))+1,1),"")</f>
        <v/>
      </c>
      <c r="AH181" t="str">
        <f>IF(Tabela1[[#This Row],[9]]&lt;&gt;"",IF(ISNUMBER(FIND(",",Tabela1[[#This Row],[9]])),LEN(Tabela1[[#This Row],[9]])-LEN(SUBSTITUTE(Tabela1[[#This Row],[9]],",",""))+1,1),"")</f>
        <v/>
      </c>
      <c r="AI181" t="str">
        <f>IF(Tabela1[[#This Row],[10]]&lt;&gt;"",IF(ISNUMBER(FIND(",",Tabela1[[#This Row],[10]])),LEN(Tabela1[[#This Row],[10]])-LEN(SUBSTITUTE(Tabela1[[#This Row],[10]],",",""))+1,1),"")</f>
        <v/>
      </c>
      <c r="AJ181" t="str">
        <f>IF(Tabela1[[#This Row],[11]]&lt;&gt;"",IF(ISNUMBER(FIND(",",Tabela1[[#This Row],[11]])),LEN(Tabela1[[#This Row],[11]])-LEN(SUBSTITUTE(Tabela1[[#This Row],[11]],",",""))+1,1),"")</f>
        <v/>
      </c>
      <c r="AK181" t="str">
        <f>IF(Tabela1[[#This Row],[12]]&lt;&gt;"",IF(ISNUMBER(FIND(",",Tabela1[[#This Row],[12]])),LEN(Tabela1[[#This Row],[12]])-LEN(SUBSTITUTE(Tabela1[[#This Row],[12]],",",""))+1,1),"")</f>
        <v/>
      </c>
      <c r="AL181" t="str">
        <f>IF(Tabela1[[#This Row],[13]]&lt;&gt;"",IF(ISNUMBER(FIND(",",Tabela1[[#This Row],[13]])),LEN(Tabela1[[#This Row],[13]])-LEN(SUBSTITUTE(Tabela1[[#This Row],[13]],",",""))+1,1),"")</f>
        <v/>
      </c>
      <c r="AM181" t="str">
        <f>IF(Tabela1[[#This Row],[14]]&lt;&gt;"",IF(ISNUMBER(FIND(",",Tabela1[[#This Row],[14]])),LEN(Tabela1[[#This Row],[14]])-LEN(SUBSTITUTE(Tabela1[[#This Row],[14]],",",""))+1,1),"")</f>
        <v/>
      </c>
      <c r="AN181" t="str">
        <f>IF(Tabela1[[#This Row],[15]]&lt;&gt;"",IF(ISNUMBER(FIND(",",Tabela1[[#This Row],[15]])),LEN(Tabela1[[#This Row],[15]])-LEN(SUBSTITUTE(Tabela1[[#This Row],[15]],",",""))+1,1),"")</f>
        <v/>
      </c>
      <c r="AO181" t="str">
        <f>IF(Tabela1[[#This Row],[16]]&lt;&gt;"",IF(ISNUMBER(FIND(",",Tabela1[[#This Row],[16]])),LEN(Tabela1[[#This Row],[16]])-LEN(SUBSTITUTE(Tabela1[[#This Row],[16]],",",""))+1,1),"")</f>
        <v/>
      </c>
      <c r="AP181" t="str">
        <f>IF(Tabela1[[#This Row],[17]]&lt;&gt;"",IF(ISNUMBER(FIND(",",Tabela1[[#This Row],[17]])),LEN(Tabela1[[#This Row],[17]])-LEN(SUBSTITUTE(Tabela1[[#This Row],[17]],",",""))+1,1),"")</f>
        <v/>
      </c>
      <c r="AQ181" t="str">
        <f>IF(Tabela1[[#This Row],[18]]&lt;&gt;"",IF(ISNUMBER(FIND(",",Tabela1[[#This Row],[18]])),LEN(Tabela1[[#This Row],[18]])-LEN(SUBSTITUTE(Tabela1[[#This Row],[18]],",",""))+1,1),"")</f>
        <v/>
      </c>
      <c r="AR181" s="13" t="str">
        <f>IF(Tabela1[[#This Row],[19_LENGTH]]&lt;&gt;"",IF(ISNUMBER(FIND(",",Tabela1[[#This Row],[19_LENGTH]])),LEN(Tabela1[[#This Row],[19_LENGTH]])-LEN(SUBSTITUTE(Tabela1[[#This Row],[19_LENGTH]],",",""))+1,1),"")</f>
        <v/>
      </c>
      <c r="AS181" s="21">
        <f>SUM(Tabela1[[#This Row],[1_]:[19_]])</f>
        <v>1</v>
      </c>
    </row>
    <row r="182" spans="1:45" x14ac:dyDescent="0.25">
      <c r="A182" s="27" t="s">
        <v>1319</v>
      </c>
      <c r="B182" s="19" t="s">
        <v>386</v>
      </c>
      <c r="C182" s="19">
        <v>202</v>
      </c>
      <c r="D182" s="19" t="s">
        <v>1315</v>
      </c>
      <c r="E182" s="20">
        <v>43454</v>
      </c>
      <c r="F182" s="19"/>
      <c r="G182" s="19"/>
      <c r="H182" s="19"/>
      <c r="I182" s="19">
        <v>139</v>
      </c>
      <c r="J182" s="19"/>
      <c r="K182" s="19"/>
      <c r="L182" s="19"/>
      <c r="M182" s="19"/>
      <c r="N182" s="19"/>
      <c r="O182" s="19"/>
      <c r="P182" s="19"/>
      <c r="Q182" s="19"/>
      <c r="R182" s="19"/>
      <c r="S182" s="19"/>
      <c r="T182" s="19"/>
      <c r="U182" s="19"/>
      <c r="V182" s="19"/>
      <c r="W182" s="19"/>
      <c r="X182" s="19"/>
      <c r="Y182" s="19"/>
      <c r="Z182" t="str">
        <f>IF(Tabela1[[#This Row],[1]]&lt;&gt;"",IF(ISNUMBER(FIND(",",Tabela1[[#This Row],[1]])),LEN(Tabela1[[#This Row],[1]])-LEN(SUBSTITUTE(Tabela1[[#This Row],[1]],",",""))+1,1),"")</f>
        <v/>
      </c>
      <c r="AA182" t="str">
        <f>IF(Tabela1[[#This Row],[2]]&lt;&gt;"",IF(ISNUMBER(FIND(",",Tabela1[[#This Row],[2]])),LEN(Tabela1[[#This Row],[2]])-LEN(SUBSTITUTE(Tabela1[[#This Row],[2]],",",""))+1,1),"")</f>
        <v/>
      </c>
      <c r="AB182" t="str">
        <f>IF(Tabela1[[#This Row],[3]]&lt;&gt;"",IF(ISNUMBER(FIND(",",Tabela1[[#This Row],[3]])),LEN(Tabela1[[#This Row],[3]])-LEN(SUBSTITUTE(Tabela1[[#This Row],[3]],",",""))+1,1),"")</f>
        <v/>
      </c>
      <c r="AC182">
        <f>IF(Tabela1[[#This Row],[4]]&lt;&gt;"",IF(ISNUMBER(FIND(",",Tabela1[[#This Row],[4]])),LEN(Tabela1[[#This Row],[4]])-LEN(SUBSTITUTE(Tabela1[[#This Row],[4]],",",""))+1,1),"")</f>
        <v>1</v>
      </c>
      <c r="AD182" t="str">
        <f>IF(Tabela1[[#This Row],[5]]&lt;&gt;"",IF(ISNUMBER(FIND(",",Tabela1[[#This Row],[5]])),LEN(Tabela1[[#This Row],[5]])-LEN(SUBSTITUTE(Tabela1[[#This Row],[5]],",",""))+1,1),"")</f>
        <v/>
      </c>
      <c r="AE182" t="str">
        <f>IF(Tabela1[[#This Row],[6]]&lt;&gt;"",IF(ISNUMBER(FIND(",",Tabela1[[#This Row],[6]])),LEN(Tabela1[[#This Row],[6]])-LEN(SUBSTITUTE(Tabela1[[#This Row],[6]],",",""))+1,1),"")</f>
        <v/>
      </c>
      <c r="AF182" t="str">
        <f>IF(Tabela1[[#This Row],[7]]&lt;&gt;"",IF(ISNUMBER(FIND(",",Tabela1[[#This Row],[7]])),LEN(Tabela1[[#This Row],[7]])-LEN(SUBSTITUTE(Tabela1[[#This Row],[7]],",",""))+1,1),"")</f>
        <v/>
      </c>
      <c r="AG182" t="str">
        <f>IF(Tabela1[[#This Row],[8]]&lt;&gt;"",IF(ISNUMBER(FIND(",",Tabela1[[#This Row],[8]])),LEN(Tabela1[[#This Row],[8]])-LEN(SUBSTITUTE(Tabela1[[#This Row],[8]],",",""))+1,1),"")</f>
        <v/>
      </c>
      <c r="AH182" t="str">
        <f>IF(Tabela1[[#This Row],[9]]&lt;&gt;"",IF(ISNUMBER(FIND(",",Tabela1[[#This Row],[9]])),LEN(Tabela1[[#This Row],[9]])-LEN(SUBSTITUTE(Tabela1[[#This Row],[9]],",",""))+1,1),"")</f>
        <v/>
      </c>
      <c r="AI182" t="str">
        <f>IF(Tabela1[[#This Row],[10]]&lt;&gt;"",IF(ISNUMBER(FIND(",",Tabela1[[#This Row],[10]])),LEN(Tabela1[[#This Row],[10]])-LEN(SUBSTITUTE(Tabela1[[#This Row],[10]],",",""))+1,1),"")</f>
        <v/>
      </c>
      <c r="AJ182" t="str">
        <f>IF(Tabela1[[#This Row],[11]]&lt;&gt;"",IF(ISNUMBER(FIND(",",Tabela1[[#This Row],[11]])),LEN(Tabela1[[#This Row],[11]])-LEN(SUBSTITUTE(Tabela1[[#This Row],[11]],",",""))+1,1),"")</f>
        <v/>
      </c>
      <c r="AK182" t="str">
        <f>IF(Tabela1[[#This Row],[12]]&lt;&gt;"",IF(ISNUMBER(FIND(",",Tabela1[[#This Row],[12]])),LEN(Tabela1[[#This Row],[12]])-LEN(SUBSTITUTE(Tabela1[[#This Row],[12]],",",""))+1,1),"")</f>
        <v/>
      </c>
      <c r="AL182" t="str">
        <f>IF(Tabela1[[#This Row],[13]]&lt;&gt;"",IF(ISNUMBER(FIND(",",Tabela1[[#This Row],[13]])),LEN(Tabela1[[#This Row],[13]])-LEN(SUBSTITUTE(Tabela1[[#This Row],[13]],",",""))+1,1),"")</f>
        <v/>
      </c>
      <c r="AM182" t="str">
        <f>IF(Tabela1[[#This Row],[14]]&lt;&gt;"",IF(ISNUMBER(FIND(",",Tabela1[[#This Row],[14]])),LEN(Tabela1[[#This Row],[14]])-LEN(SUBSTITUTE(Tabela1[[#This Row],[14]],",",""))+1,1),"")</f>
        <v/>
      </c>
      <c r="AN182" t="str">
        <f>IF(Tabela1[[#This Row],[15]]&lt;&gt;"",IF(ISNUMBER(FIND(",",Tabela1[[#This Row],[15]])),LEN(Tabela1[[#This Row],[15]])-LEN(SUBSTITUTE(Tabela1[[#This Row],[15]],",",""))+1,1),"")</f>
        <v/>
      </c>
      <c r="AO182" t="str">
        <f>IF(Tabela1[[#This Row],[16]]&lt;&gt;"",IF(ISNUMBER(FIND(",",Tabela1[[#This Row],[16]])),LEN(Tabela1[[#This Row],[16]])-LEN(SUBSTITUTE(Tabela1[[#This Row],[16]],",",""))+1,1),"")</f>
        <v/>
      </c>
      <c r="AP182" t="str">
        <f>IF(Tabela1[[#This Row],[17]]&lt;&gt;"",IF(ISNUMBER(FIND(",",Tabela1[[#This Row],[17]])),LEN(Tabela1[[#This Row],[17]])-LEN(SUBSTITUTE(Tabela1[[#This Row],[17]],",",""))+1,1),"")</f>
        <v/>
      </c>
      <c r="AQ182" t="str">
        <f>IF(Tabela1[[#This Row],[18]]&lt;&gt;"",IF(ISNUMBER(FIND(",",Tabela1[[#This Row],[18]])),LEN(Tabela1[[#This Row],[18]])-LEN(SUBSTITUTE(Tabela1[[#This Row],[18]],",",""))+1,1),"")</f>
        <v/>
      </c>
      <c r="AR182" s="13" t="str">
        <f>IF(Tabela1[[#This Row],[19_LENGTH]]&lt;&gt;"",IF(ISNUMBER(FIND(",",Tabela1[[#This Row],[19_LENGTH]])),LEN(Tabela1[[#This Row],[19_LENGTH]])-LEN(SUBSTITUTE(Tabela1[[#This Row],[19_LENGTH]],",",""))+1,1),"")</f>
        <v/>
      </c>
      <c r="AS182" s="21">
        <f>SUM(Tabela1[[#This Row],[1_]:[19_]])</f>
        <v>1</v>
      </c>
    </row>
    <row r="183" spans="1:45" x14ac:dyDescent="0.25">
      <c r="A183" s="27" t="s">
        <v>1320</v>
      </c>
      <c r="B183" s="19" t="s">
        <v>387</v>
      </c>
      <c r="C183" s="19">
        <v>50</v>
      </c>
      <c r="D183" s="19" t="s">
        <v>1313</v>
      </c>
      <c r="E183" s="20">
        <v>43454</v>
      </c>
      <c r="F183" s="19"/>
      <c r="G183" s="19"/>
      <c r="H183" s="19"/>
      <c r="I183" s="19">
        <v>40</v>
      </c>
      <c r="J183" s="19"/>
      <c r="K183" s="19"/>
      <c r="L183" s="19"/>
      <c r="M183" s="19"/>
      <c r="N183" s="19"/>
      <c r="O183" s="19"/>
      <c r="P183" s="19"/>
      <c r="Q183" s="19"/>
      <c r="R183" s="19"/>
      <c r="S183" s="19"/>
      <c r="T183" s="19"/>
      <c r="U183" s="19"/>
      <c r="V183" s="19"/>
      <c r="W183" s="19"/>
      <c r="X183" s="19"/>
      <c r="Y183" s="19"/>
      <c r="Z183" t="str">
        <f>IF(Tabela1[[#This Row],[1]]&lt;&gt;"",IF(ISNUMBER(FIND(",",Tabela1[[#This Row],[1]])),LEN(Tabela1[[#This Row],[1]])-LEN(SUBSTITUTE(Tabela1[[#This Row],[1]],",",""))+1,1),"")</f>
        <v/>
      </c>
      <c r="AA183" t="str">
        <f>IF(Tabela1[[#This Row],[2]]&lt;&gt;"",IF(ISNUMBER(FIND(",",Tabela1[[#This Row],[2]])),LEN(Tabela1[[#This Row],[2]])-LEN(SUBSTITUTE(Tabela1[[#This Row],[2]],",",""))+1,1),"")</f>
        <v/>
      </c>
      <c r="AB183" t="str">
        <f>IF(Tabela1[[#This Row],[3]]&lt;&gt;"",IF(ISNUMBER(FIND(",",Tabela1[[#This Row],[3]])),LEN(Tabela1[[#This Row],[3]])-LEN(SUBSTITUTE(Tabela1[[#This Row],[3]],",",""))+1,1),"")</f>
        <v/>
      </c>
      <c r="AC183">
        <f>IF(Tabela1[[#This Row],[4]]&lt;&gt;"",IF(ISNUMBER(FIND(",",Tabela1[[#This Row],[4]])),LEN(Tabela1[[#This Row],[4]])-LEN(SUBSTITUTE(Tabela1[[#This Row],[4]],",",""))+1,1),"")</f>
        <v>1</v>
      </c>
      <c r="AD183" t="str">
        <f>IF(Tabela1[[#This Row],[5]]&lt;&gt;"",IF(ISNUMBER(FIND(",",Tabela1[[#This Row],[5]])),LEN(Tabela1[[#This Row],[5]])-LEN(SUBSTITUTE(Tabela1[[#This Row],[5]],",",""))+1,1),"")</f>
        <v/>
      </c>
      <c r="AE183" t="str">
        <f>IF(Tabela1[[#This Row],[6]]&lt;&gt;"",IF(ISNUMBER(FIND(",",Tabela1[[#This Row],[6]])),LEN(Tabela1[[#This Row],[6]])-LEN(SUBSTITUTE(Tabela1[[#This Row],[6]],",",""))+1,1),"")</f>
        <v/>
      </c>
      <c r="AF183" t="str">
        <f>IF(Tabela1[[#This Row],[7]]&lt;&gt;"",IF(ISNUMBER(FIND(",",Tabela1[[#This Row],[7]])),LEN(Tabela1[[#This Row],[7]])-LEN(SUBSTITUTE(Tabela1[[#This Row],[7]],",",""))+1,1),"")</f>
        <v/>
      </c>
      <c r="AG183" t="str">
        <f>IF(Tabela1[[#This Row],[8]]&lt;&gt;"",IF(ISNUMBER(FIND(",",Tabela1[[#This Row],[8]])),LEN(Tabela1[[#This Row],[8]])-LEN(SUBSTITUTE(Tabela1[[#This Row],[8]],",",""))+1,1),"")</f>
        <v/>
      </c>
      <c r="AH183" t="str">
        <f>IF(Tabela1[[#This Row],[9]]&lt;&gt;"",IF(ISNUMBER(FIND(",",Tabela1[[#This Row],[9]])),LEN(Tabela1[[#This Row],[9]])-LEN(SUBSTITUTE(Tabela1[[#This Row],[9]],",",""))+1,1),"")</f>
        <v/>
      </c>
      <c r="AI183" t="str">
        <f>IF(Tabela1[[#This Row],[10]]&lt;&gt;"",IF(ISNUMBER(FIND(",",Tabela1[[#This Row],[10]])),LEN(Tabela1[[#This Row],[10]])-LEN(SUBSTITUTE(Tabela1[[#This Row],[10]],",",""))+1,1),"")</f>
        <v/>
      </c>
      <c r="AJ183" t="str">
        <f>IF(Tabela1[[#This Row],[11]]&lt;&gt;"",IF(ISNUMBER(FIND(",",Tabela1[[#This Row],[11]])),LEN(Tabela1[[#This Row],[11]])-LEN(SUBSTITUTE(Tabela1[[#This Row],[11]],",",""))+1,1),"")</f>
        <v/>
      </c>
      <c r="AK183" t="str">
        <f>IF(Tabela1[[#This Row],[12]]&lt;&gt;"",IF(ISNUMBER(FIND(",",Tabela1[[#This Row],[12]])),LEN(Tabela1[[#This Row],[12]])-LEN(SUBSTITUTE(Tabela1[[#This Row],[12]],",",""))+1,1),"")</f>
        <v/>
      </c>
      <c r="AL183" t="str">
        <f>IF(Tabela1[[#This Row],[13]]&lt;&gt;"",IF(ISNUMBER(FIND(",",Tabela1[[#This Row],[13]])),LEN(Tabela1[[#This Row],[13]])-LEN(SUBSTITUTE(Tabela1[[#This Row],[13]],",",""))+1,1),"")</f>
        <v/>
      </c>
      <c r="AM183" t="str">
        <f>IF(Tabela1[[#This Row],[14]]&lt;&gt;"",IF(ISNUMBER(FIND(",",Tabela1[[#This Row],[14]])),LEN(Tabela1[[#This Row],[14]])-LEN(SUBSTITUTE(Tabela1[[#This Row],[14]],",",""))+1,1),"")</f>
        <v/>
      </c>
      <c r="AN183" t="str">
        <f>IF(Tabela1[[#This Row],[15]]&lt;&gt;"",IF(ISNUMBER(FIND(",",Tabela1[[#This Row],[15]])),LEN(Tabela1[[#This Row],[15]])-LEN(SUBSTITUTE(Tabela1[[#This Row],[15]],",",""))+1,1),"")</f>
        <v/>
      </c>
      <c r="AO183" t="str">
        <f>IF(Tabela1[[#This Row],[16]]&lt;&gt;"",IF(ISNUMBER(FIND(",",Tabela1[[#This Row],[16]])),LEN(Tabela1[[#This Row],[16]])-LEN(SUBSTITUTE(Tabela1[[#This Row],[16]],",",""))+1,1),"")</f>
        <v/>
      </c>
      <c r="AP183" t="str">
        <f>IF(Tabela1[[#This Row],[17]]&lt;&gt;"",IF(ISNUMBER(FIND(",",Tabela1[[#This Row],[17]])),LEN(Tabela1[[#This Row],[17]])-LEN(SUBSTITUTE(Tabela1[[#This Row],[17]],",",""))+1,1),"")</f>
        <v/>
      </c>
      <c r="AQ183" t="str">
        <f>IF(Tabela1[[#This Row],[18]]&lt;&gt;"",IF(ISNUMBER(FIND(",",Tabela1[[#This Row],[18]])),LEN(Tabela1[[#This Row],[18]])-LEN(SUBSTITUTE(Tabela1[[#This Row],[18]],",",""))+1,1),"")</f>
        <v/>
      </c>
      <c r="AR183" s="13" t="str">
        <f>IF(Tabela1[[#This Row],[19_LENGTH]]&lt;&gt;"",IF(ISNUMBER(FIND(",",Tabela1[[#This Row],[19_LENGTH]])),LEN(Tabela1[[#This Row],[19_LENGTH]])-LEN(SUBSTITUTE(Tabela1[[#This Row],[19_LENGTH]],",",""))+1,1),"")</f>
        <v/>
      </c>
      <c r="AS183" s="21">
        <f>SUM(Tabela1[[#This Row],[1_]:[19_]])</f>
        <v>1</v>
      </c>
    </row>
    <row r="184" spans="1:45" x14ac:dyDescent="0.25">
      <c r="A184" s="27" t="s">
        <v>1320</v>
      </c>
      <c r="B184" s="19" t="s">
        <v>388</v>
      </c>
      <c r="C184" s="19">
        <v>102</v>
      </c>
      <c r="D184" s="19" t="s">
        <v>1313</v>
      </c>
      <c r="E184" s="20">
        <v>43454</v>
      </c>
      <c r="F184" s="19"/>
      <c r="G184" s="19"/>
      <c r="H184" s="19"/>
      <c r="I184" s="19"/>
      <c r="J184" s="19"/>
      <c r="K184" s="19"/>
      <c r="L184" s="19"/>
      <c r="M184" s="19"/>
      <c r="N184" s="19"/>
      <c r="O184" s="19"/>
      <c r="P184" s="19"/>
      <c r="Q184" s="19"/>
      <c r="R184" s="19"/>
      <c r="S184" s="19"/>
      <c r="T184" s="19"/>
      <c r="U184" s="19"/>
      <c r="V184" s="19"/>
      <c r="W184" s="19">
        <v>14</v>
      </c>
      <c r="X184" s="19"/>
      <c r="Y184" s="19"/>
      <c r="Z184" t="str">
        <f>IF(Tabela1[[#This Row],[1]]&lt;&gt;"",IF(ISNUMBER(FIND(",",Tabela1[[#This Row],[1]])),LEN(Tabela1[[#This Row],[1]])-LEN(SUBSTITUTE(Tabela1[[#This Row],[1]],",",""))+1,1),"")</f>
        <v/>
      </c>
      <c r="AA184" t="str">
        <f>IF(Tabela1[[#This Row],[2]]&lt;&gt;"",IF(ISNUMBER(FIND(",",Tabela1[[#This Row],[2]])),LEN(Tabela1[[#This Row],[2]])-LEN(SUBSTITUTE(Tabela1[[#This Row],[2]],",",""))+1,1),"")</f>
        <v/>
      </c>
      <c r="AB184" t="str">
        <f>IF(Tabela1[[#This Row],[3]]&lt;&gt;"",IF(ISNUMBER(FIND(",",Tabela1[[#This Row],[3]])),LEN(Tabela1[[#This Row],[3]])-LEN(SUBSTITUTE(Tabela1[[#This Row],[3]],",",""))+1,1),"")</f>
        <v/>
      </c>
      <c r="AC184" t="str">
        <f>IF(Tabela1[[#This Row],[4]]&lt;&gt;"",IF(ISNUMBER(FIND(",",Tabela1[[#This Row],[4]])),LEN(Tabela1[[#This Row],[4]])-LEN(SUBSTITUTE(Tabela1[[#This Row],[4]],",",""))+1,1),"")</f>
        <v/>
      </c>
      <c r="AD184" t="str">
        <f>IF(Tabela1[[#This Row],[5]]&lt;&gt;"",IF(ISNUMBER(FIND(",",Tabela1[[#This Row],[5]])),LEN(Tabela1[[#This Row],[5]])-LEN(SUBSTITUTE(Tabela1[[#This Row],[5]],",",""))+1,1),"")</f>
        <v/>
      </c>
      <c r="AE184" t="str">
        <f>IF(Tabela1[[#This Row],[6]]&lt;&gt;"",IF(ISNUMBER(FIND(",",Tabela1[[#This Row],[6]])),LEN(Tabela1[[#This Row],[6]])-LEN(SUBSTITUTE(Tabela1[[#This Row],[6]],",",""))+1,1),"")</f>
        <v/>
      </c>
      <c r="AF184" t="str">
        <f>IF(Tabela1[[#This Row],[7]]&lt;&gt;"",IF(ISNUMBER(FIND(",",Tabela1[[#This Row],[7]])),LEN(Tabela1[[#This Row],[7]])-LEN(SUBSTITUTE(Tabela1[[#This Row],[7]],",",""))+1,1),"")</f>
        <v/>
      </c>
      <c r="AG184" t="str">
        <f>IF(Tabela1[[#This Row],[8]]&lt;&gt;"",IF(ISNUMBER(FIND(",",Tabela1[[#This Row],[8]])),LEN(Tabela1[[#This Row],[8]])-LEN(SUBSTITUTE(Tabela1[[#This Row],[8]],",",""))+1,1),"")</f>
        <v/>
      </c>
      <c r="AH184" t="str">
        <f>IF(Tabela1[[#This Row],[9]]&lt;&gt;"",IF(ISNUMBER(FIND(",",Tabela1[[#This Row],[9]])),LEN(Tabela1[[#This Row],[9]])-LEN(SUBSTITUTE(Tabela1[[#This Row],[9]],",",""))+1,1),"")</f>
        <v/>
      </c>
      <c r="AI184" t="str">
        <f>IF(Tabela1[[#This Row],[10]]&lt;&gt;"",IF(ISNUMBER(FIND(",",Tabela1[[#This Row],[10]])),LEN(Tabela1[[#This Row],[10]])-LEN(SUBSTITUTE(Tabela1[[#This Row],[10]],",",""))+1,1),"")</f>
        <v/>
      </c>
      <c r="AJ184" t="str">
        <f>IF(Tabela1[[#This Row],[11]]&lt;&gt;"",IF(ISNUMBER(FIND(",",Tabela1[[#This Row],[11]])),LEN(Tabela1[[#This Row],[11]])-LEN(SUBSTITUTE(Tabela1[[#This Row],[11]],",",""))+1,1),"")</f>
        <v/>
      </c>
      <c r="AK184" t="str">
        <f>IF(Tabela1[[#This Row],[12]]&lt;&gt;"",IF(ISNUMBER(FIND(",",Tabela1[[#This Row],[12]])),LEN(Tabela1[[#This Row],[12]])-LEN(SUBSTITUTE(Tabela1[[#This Row],[12]],",",""))+1,1),"")</f>
        <v/>
      </c>
      <c r="AL184" t="str">
        <f>IF(Tabela1[[#This Row],[13]]&lt;&gt;"",IF(ISNUMBER(FIND(",",Tabela1[[#This Row],[13]])),LEN(Tabela1[[#This Row],[13]])-LEN(SUBSTITUTE(Tabela1[[#This Row],[13]],",",""))+1,1),"")</f>
        <v/>
      </c>
      <c r="AM184" t="str">
        <f>IF(Tabela1[[#This Row],[14]]&lt;&gt;"",IF(ISNUMBER(FIND(",",Tabela1[[#This Row],[14]])),LEN(Tabela1[[#This Row],[14]])-LEN(SUBSTITUTE(Tabela1[[#This Row],[14]],",",""))+1,1),"")</f>
        <v/>
      </c>
      <c r="AN184" t="str">
        <f>IF(Tabela1[[#This Row],[15]]&lt;&gt;"",IF(ISNUMBER(FIND(",",Tabela1[[#This Row],[15]])),LEN(Tabela1[[#This Row],[15]])-LEN(SUBSTITUTE(Tabela1[[#This Row],[15]],",",""))+1,1),"")</f>
        <v/>
      </c>
      <c r="AO184" t="str">
        <f>IF(Tabela1[[#This Row],[16]]&lt;&gt;"",IF(ISNUMBER(FIND(",",Tabela1[[#This Row],[16]])),LEN(Tabela1[[#This Row],[16]])-LEN(SUBSTITUTE(Tabela1[[#This Row],[16]],",",""))+1,1),"")</f>
        <v/>
      </c>
      <c r="AP184" t="str">
        <f>IF(Tabela1[[#This Row],[17]]&lt;&gt;"",IF(ISNUMBER(FIND(",",Tabela1[[#This Row],[17]])),LEN(Tabela1[[#This Row],[17]])-LEN(SUBSTITUTE(Tabela1[[#This Row],[17]],",",""))+1,1),"")</f>
        <v/>
      </c>
      <c r="AQ184">
        <f>IF(Tabela1[[#This Row],[18]]&lt;&gt;"",IF(ISNUMBER(FIND(",",Tabela1[[#This Row],[18]])),LEN(Tabela1[[#This Row],[18]])-LEN(SUBSTITUTE(Tabela1[[#This Row],[18]],",",""))+1,1),"")</f>
        <v>1</v>
      </c>
      <c r="AR184" s="13" t="str">
        <f>IF(Tabela1[[#This Row],[19_LENGTH]]&lt;&gt;"",IF(ISNUMBER(FIND(",",Tabela1[[#This Row],[19_LENGTH]])),LEN(Tabela1[[#This Row],[19_LENGTH]])-LEN(SUBSTITUTE(Tabela1[[#This Row],[19_LENGTH]],",",""))+1,1),"")</f>
        <v/>
      </c>
      <c r="AS184" s="21">
        <f>SUM(Tabela1[[#This Row],[1_]:[19_]])</f>
        <v>1</v>
      </c>
    </row>
    <row r="185" spans="1:45" x14ac:dyDescent="0.25">
      <c r="A185" s="27" t="s">
        <v>1320</v>
      </c>
      <c r="B185" s="19" t="s">
        <v>389</v>
      </c>
      <c r="C185" s="19">
        <v>102</v>
      </c>
      <c r="D185" s="19" t="s">
        <v>1313</v>
      </c>
      <c r="E185" s="20">
        <v>43454</v>
      </c>
      <c r="F185" s="19"/>
      <c r="G185" s="19">
        <v>65</v>
      </c>
      <c r="H185" s="19"/>
      <c r="I185" s="19">
        <v>79</v>
      </c>
      <c r="J185" s="19"/>
      <c r="K185" s="19"/>
      <c r="L185" s="19"/>
      <c r="M185" s="19"/>
      <c r="N185" s="19"/>
      <c r="O185" s="19"/>
      <c r="P185" s="19"/>
      <c r="Q185" s="19"/>
      <c r="R185" s="19"/>
      <c r="S185" s="19"/>
      <c r="T185" s="19"/>
      <c r="U185" s="19"/>
      <c r="V185" s="19"/>
      <c r="W185" s="19"/>
      <c r="X185" s="19"/>
      <c r="Y185" s="19"/>
      <c r="Z185" t="str">
        <f>IF(Tabela1[[#This Row],[1]]&lt;&gt;"",IF(ISNUMBER(FIND(",",Tabela1[[#This Row],[1]])),LEN(Tabela1[[#This Row],[1]])-LEN(SUBSTITUTE(Tabela1[[#This Row],[1]],",",""))+1,1),"")</f>
        <v/>
      </c>
      <c r="AA185">
        <f>IF(Tabela1[[#This Row],[2]]&lt;&gt;"",IF(ISNUMBER(FIND(",",Tabela1[[#This Row],[2]])),LEN(Tabela1[[#This Row],[2]])-LEN(SUBSTITUTE(Tabela1[[#This Row],[2]],",",""))+1,1),"")</f>
        <v>1</v>
      </c>
      <c r="AB185" t="str">
        <f>IF(Tabela1[[#This Row],[3]]&lt;&gt;"",IF(ISNUMBER(FIND(",",Tabela1[[#This Row],[3]])),LEN(Tabela1[[#This Row],[3]])-LEN(SUBSTITUTE(Tabela1[[#This Row],[3]],",",""))+1,1),"")</f>
        <v/>
      </c>
      <c r="AC185">
        <f>IF(Tabela1[[#This Row],[4]]&lt;&gt;"",IF(ISNUMBER(FIND(",",Tabela1[[#This Row],[4]])),LEN(Tabela1[[#This Row],[4]])-LEN(SUBSTITUTE(Tabela1[[#This Row],[4]],",",""))+1,1),"")</f>
        <v>1</v>
      </c>
      <c r="AD185" t="str">
        <f>IF(Tabela1[[#This Row],[5]]&lt;&gt;"",IF(ISNUMBER(FIND(",",Tabela1[[#This Row],[5]])),LEN(Tabela1[[#This Row],[5]])-LEN(SUBSTITUTE(Tabela1[[#This Row],[5]],",",""))+1,1),"")</f>
        <v/>
      </c>
      <c r="AE185" t="str">
        <f>IF(Tabela1[[#This Row],[6]]&lt;&gt;"",IF(ISNUMBER(FIND(",",Tabela1[[#This Row],[6]])),LEN(Tabela1[[#This Row],[6]])-LEN(SUBSTITUTE(Tabela1[[#This Row],[6]],",",""))+1,1),"")</f>
        <v/>
      </c>
      <c r="AF185" t="str">
        <f>IF(Tabela1[[#This Row],[7]]&lt;&gt;"",IF(ISNUMBER(FIND(",",Tabela1[[#This Row],[7]])),LEN(Tabela1[[#This Row],[7]])-LEN(SUBSTITUTE(Tabela1[[#This Row],[7]],",",""))+1,1),"")</f>
        <v/>
      </c>
      <c r="AG185" t="str">
        <f>IF(Tabela1[[#This Row],[8]]&lt;&gt;"",IF(ISNUMBER(FIND(",",Tabela1[[#This Row],[8]])),LEN(Tabela1[[#This Row],[8]])-LEN(SUBSTITUTE(Tabela1[[#This Row],[8]],",",""))+1,1),"")</f>
        <v/>
      </c>
      <c r="AH185" t="str">
        <f>IF(Tabela1[[#This Row],[9]]&lt;&gt;"",IF(ISNUMBER(FIND(",",Tabela1[[#This Row],[9]])),LEN(Tabela1[[#This Row],[9]])-LEN(SUBSTITUTE(Tabela1[[#This Row],[9]],",",""))+1,1),"")</f>
        <v/>
      </c>
      <c r="AI185" t="str">
        <f>IF(Tabela1[[#This Row],[10]]&lt;&gt;"",IF(ISNUMBER(FIND(",",Tabela1[[#This Row],[10]])),LEN(Tabela1[[#This Row],[10]])-LEN(SUBSTITUTE(Tabela1[[#This Row],[10]],",",""))+1,1),"")</f>
        <v/>
      </c>
      <c r="AJ185" t="str">
        <f>IF(Tabela1[[#This Row],[11]]&lt;&gt;"",IF(ISNUMBER(FIND(",",Tabela1[[#This Row],[11]])),LEN(Tabela1[[#This Row],[11]])-LEN(SUBSTITUTE(Tabela1[[#This Row],[11]],",",""))+1,1),"")</f>
        <v/>
      </c>
      <c r="AK185" t="str">
        <f>IF(Tabela1[[#This Row],[12]]&lt;&gt;"",IF(ISNUMBER(FIND(",",Tabela1[[#This Row],[12]])),LEN(Tabela1[[#This Row],[12]])-LEN(SUBSTITUTE(Tabela1[[#This Row],[12]],",",""))+1,1),"")</f>
        <v/>
      </c>
      <c r="AL185" t="str">
        <f>IF(Tabela1[[#This Row],[13]]&lt;&gt;"",IF(ISNUMBER(FIND(",",Tabela1[[#This Row],[13]])),LEN(Tabela1[[#This Row],[13]])-LEN(SUBSTITUTE(Tabela1[[#This Row],[13]],",",""))+1,1),"")</f>
        <v/>
      </c>
      <c r="AM185" t="str">
        <f>IF(Tabela1[[#This Row],[14]]&lt;&gt;"",IF(ISNUMBER(FIND(",",Tabela1[[#This Row],[14]])),LEN(Tabela1[[#This Row],[14]])-LEN(SUBSTITUTE(Tabela1[[#This Row],[14]],",",""))+1,1),"")</f>
        <v/>
      </c>
      <c r="AN185" t="str">
        <f>IF(Tabela1[[#This Row],[15]]&lt;&gt;"",IF(ISNUMBER(FIND(",",Tabela1[[#This Row],[15]])),LEN(Tabela1[[#This Row],[15]])-LEN(SUBSTITUTE(Tabela1[[#This Row],[15]],",",""))+1,1),"")</f>
        <v/>
      </c>
      <c r="AO185" t="str">
        <f>IF(Tabela1[[#This Row],[16]]&lt;&gt;"",IF(ISNUMBER(FIND(",",Tabela1[[#This Row],[16]])),LEN(Tabela1[[#This Row],[16]])-LEN(SUBSTITUTE(Tabela1[[#This Row],[16]],",",""))+1,1),"")</f>
        <v/>
      </c>
      <c r="AP185" t="str">
        <f>IF(Tabela1[[#This Row],[17]]&lt;&gt;"",IF(ISNUMBER(FIND(",",Tabela1[[#This Row],[17]])),LEN(Tabela1[[#This Row],[17]])-LEN(SUBSTITUTE(Tabela1[[#This Row],[17]],",",""))+1,1),"")</f>
        <v/>
      </c>
      <c r="AQ185" t="str">
        <f>IF(Tabela1[[#This Row],[18]]&lt;&gt;"",IF(ISNUMBER(FIND(",",Tabela1[[#This Row],[18]])),LEN(Tabela1[[#This Row],[18]])-LEN(SUBSTITUTE(Tabela1[[#This Row],[18]],",",""))+1,1),"")</f>
        <v/>
      </c>
      <c r="AR185" s="13" t="str">
        <f>IF(Tabela1[[#This Row],[19_LENGTH]]&lt;&gt;"",IF(ISNUMBER(FIND(",",Tabela1[[#This Row],[19_LENGTH]])),LEN(Tabela1[[#This Row],[19_LENGTH]])-LEN(SUBSTITUTE(Tabela1[[#This Row],[19_LENGTH]],",",""))+1,1),"")</f>
        <v/>
      </c>
      <c r="AS185" s="21">
        <f>SUM(Tabela1[[#This Row],[1_]:[19_]])</f>
        <v>2</v>
      </c>
    </row>
    <row r="186" spans="1:45" x14ac:dyDescent="0.25">
      <c r="A186" s="27" t="s">
        <v>1319</v>
      </c>
      <c r="B186" s="19" t="s">
        <v>390</v>
      </c>
      <c r="C186" s="19">
        <v>218</v>
      </c>
      <c r="D186" s="19" t="s">
        <v>1299</v>
      </c>
      <c r="E186" s="20">
        <v>43455</v>
      </c>
      <c r="F186" s="19"/>
      <c r="G186" s="19"/>
      <c r="H186" s="19"/>
      <c r="I186" s="19" t="s">
        <v>72</v>
      </c>
      <c r="J186" s="19"/>
      <c r="K186" s="19"/>
      <c r="L186" s="19"/>
      <c r="M186" s="19"/>
      <c r="N186" s="19"/>
      <c r="O186" s="19"/>
      <c r="P186" s="19"/>
      <c r="Q186" s="19"/>
      <c r="R186" s="19"/>
      <c r="S186" s="19"/>
      <c r="T186" s="19"/>
      <c r="U186" s="19"/>
      <c r="V186" s="19"/>
      <c r="W186" s="19"/>
      <c r="X186" s="19"/>
      <c r="Y186" s="19"/>
      <c r="Z186" t="str">
        <f>IF(Tabela1[[#This Row],[1]]&lt;&gt;"",IF(ISNUMBER(FIND(",",Tabela1[[#This Row],[1]])),LEN(Tabela1[[#This Row],[1]])-LEN(SUBSTITUTE(Tabela1[[#This Row],[1]],",",""))+1,1),"")</f>
        <v/>
      </c>
      <c r="AA186" t="str">
        <f>IF(Tabela1[[#This Row],[2]]&lt;&gt;"",IF(ISNUMBER(FIND(",",Tabela1[[#This Row],[2]])),LEN(Tabela1[[#This Row],[2]])-LEN(SUBSTITUTE(Tabela1[[#This Row],[2]],",",""))+1,1),"")</f>
        <v/>
      </c>
      <c r="AB186" t="str">
        <f>IF(Tabela1[[#This Row],[3]]&lt;&gt;"",IF(ISNUMBER(FIND(",",Tabela1[[#This Row],[3]])),LEN(Tabela1[[#This Row],[3]])-LEN(SUBSTITUTE(Tabela1[[#This Row],[3]],",",""))+1,1),"")</f>
        <v/>
      </c>
      <c r="AC186">
        <f>IF(Tabela1[[#This Row],[4]]&lt;&gt;"",IF(ISNUMBER(FIND(",",Tabela1[[#This Row],[4]])),LEN(Tabela1[[#This Row],[4]])-LEN(SUBSTITUTE(Tabela1[[#This Row],[4]],",",""))+1,1),"")</f>
        <v>2</v>
      </c>
      <c r="AD186" t="str">
        <f>IF(Tabela1[[#This Row],[5]]&lt;&gt;"",IF(ISNUMBER(FIND(",",Tabela1[[#This Row],[5]])),LEN(Tabela1[[#This Row],[5]])-LEN(SUBSTITUTE(Tabela1[[#This Row],[5]],",",""))+1,1),"")</f>
        <v/>
      </c>
      <c r="AE186" t="str">
        <f>IF(Tabela1[[#This Row],[6]]&lt;&gt;"",IF(ISNUMBER(FIND(",",Tabela1[[#This Row],[6]])),LEN(Tabela1[[#This Row],[6]])-LEN(SUBSTITUTE(Tabela1[[#This Row],[6]],",",""))+1,1),"")</f>
        <v/>
      </c>
      <c r="AF186" t="str">
        <f>IF(Tabela1[[#This Row],[7]]&lt;&gt;"",IF(ISNUMBER(FIND(",",Tabela1[[#This Row],[7]])),LEN(Tabela1[[#This Row],[7]])-LEN(SUBSTITUTE(Tabela1[[#This Row],[7]],",",""))+1,1),"")</f>
        <v/>
      </c>
      <c r="AG186" t="str">
        <f>IF(Tabela1[[#This Row],[8]]&lt;&gt;"",IF(ISNUMBER(FIND(",",Tabela1[[#This Row],[8]])),LEN(Tabela1[[#This Row],[8]])-LEN(SUBSTITUTE(Tabela1[[#This Row],[8]],",",""))+1,1),"")</f>
        <v/>
      </c>
      <c r="AH186" t="str">
        <f>IF(Tabela1[[#This Row],[9]]&lt;&gt;"",IF(ISNUMBER(FIND(",",Tabela1[[#This Row],[9]])),LEN(Tabela1[[#This Row],[9]])-LEN(SUBSTITUTE(Tabela1[[#This Row],[9]],",",""))+1,1),"")</f>
        <v/>
      </c>
      <c r="AI186" t="str">
        <f>IF(Tabela1[[#This Row],[10]]&lt;&gt;"",IF(ISNUMBER(FIND(",",Tabela1[[#This Row],[10]])),LEN(Tabela1[[#This Row],[10]])-LEN(SUBSTITUTE(Tabela1[[#This Row],[10]],",",""))+1,1),"")</f>
        <v/>
      </c>
      <c r="AJ186" t="str">
        <f>IF(Tabela1[[#This Row],[11]]&lt;&gt;"",IF(ISNUMBER(FIND(",",Tabela1[[#This Row],[11]])),LEN(Tabela1[[#This Row],[11]])-LEN(SUBSTITUTE(Tabela1[[#This Row],[11]],",",""))+1,1),"")</f>
        <v/>
      </c>
      <c r="AK186" t="str">
        <f>IF(Tabela1[[#This Row],[12]]&lt;&gt;"",IF(ISNUMBER(FIND(",",Tabela1[[#This Row],[12]])),LEN(Tabela1[[#This Row],[12]])-LEN(SUBSTITUTE(Tabela1[[#This Row],[12]],",",""))+1,1),"")</f>
        <v/>
      </c>
      <c r="AL186" t="str">
        <f>IF(Tabela1[[#This Row],[13]]&lt;&gt;"",IF(ISNUMBER(FIND(",",Tabela1[[#This Row],[13]])),LEN(Tabela1[[#This Row],[13]])-LEN(SUBSTITUTE(Tabela1[[#This Row],[13]],",",""))+1,1),"")</f>
        <v/>
      </c>
      <c r="AM186" t="str">
        <f>IF(Tabela1[[#This Row],[14]]&lt;&gt;"",IF(ISNUMBER(FIND(",",Tabela1[[#This Row],[14]])),LEN(Tabela1[[#This Row],[14]])-LEN(SUBSTITUTE(Tabela1[[#This Row],[14]],",",""))+1,1),"")</f>
        <v/>
      </c>
      <c r="AN186" t="str">
        <f>IF(Tabela1[[#This Row],[15]]&lt;&gt;"",IF(ISNUMBER(FIND(",",Tabela1[[#This Row],[15]])),LEN(Tabela1[[#This Row],[15]])-LEN(SUBSTITUTE(Tabela1[[#This Row],[15]],",",""))+1,1),"")</f>
        <v/>
      </c>
      <c r="AO186" t="str">
        <f>IF(Tabela1[[#This Row],[16]]&lt;&gt;"",IF(ISNUMBER(FIND(",",Tabela1[[#This Row],[16]])),LEN(Tabela1[[#This Row],[16]])-LEN(SUBSTITUTE(Tabela1[[#This Row],[16]],",",""))+1,1),"")</f>
        <v/>
      </c>
      <c r="AP186" t="str">
        <f>IF(Tabela1[[#This Row],[17]]&lt;&gt;"",IF(ISNUMBER(FIND(",",Tabela1[[#This Row],[17]])),LEN(Tabela1[[#This Row],[17]])-LEN(SUBSTITUTE(Tabela1[[#This Row],[17]],",",""))+1,1),"")</f>
        <v/>
      </c>
      <c r="AQ186" t="str">
        <f>IF(Tabela1[[#This Row],[18]]&lt;&gt;"",IF(ISNUMBER(FIND(",",Tabela1[[#This Row],[18]])),LEN(Tabela1[[#This Row],[18]])-LEN(SUBSTITUTE(Tabela1[[#This Row],[18]],",",""))+1,1),"")</f>
        <v/>
      </c>
      <c r="AR186" s="13" t="str">
        <f>IF(Tabela1[[#This Row],[19_LENGTH]]&lt;&gt;"",IF(ISNUMBER(FIND(",",Tabela1[[#This Row],[19_LENGTH]])),LEN(Tabela1[[#This Row],[19_LENGTH]])-LEN(SUBSTITUTE(Tabela1[[#This Row],[19_LENGTH]],",",""))+1,1),"")</f>
        <v/>
      </c>
      <c r="AS186" s="21">
        <f>SUM(Tabela1[[#This Row],[1_]:[19_]])</f>
        <v>2</v>
      </c>
    </row>
    <row r="187" spans="1:45" x14ac:dyDescent="0.25">
      <c r="A187" s="27" t="s">
        <v>1319</v>
      </c>
      <c r="B187" s="19" t="s">
        <v>391</v>
      </c>
      <c r="C187" s="19">
        <v>200</v>
      </c>
      <c r="D187" s="19" t="s">
        <v>1299</v>
      </c>
      <c r="E187" s="20">
        <v>43455</v>
      </c>
      <c r="F187" s="19"/>
      <c r="G187" s="19">
        <v>172</v>
      </c>
      <c r="H187" s="19"/>
      <c r="I187" s="19"/>
      <c r="J187" s="19"/>
      <c r="K187" s="19"/>
      <c r="L187" s="19"/>
      <c r="M187" s="19"/>
      <c r="N187" s="19"/>
      <c r="O187" s="19"/>
      <c r="P187" s="19"/>
      <c r="Q187" s="19"/>
      <c r="R187" s="19"/>
      <c r="S187" s="19"/>
      <c r="T187" s="19"/>
      <c r="U187" s="19"/>
      <c r="V187" s="19"/>
      <c r="W187" s="19"/>
      <c r="X187" s="19"/>
      <c r="Y187" s="19"/>
      <c r="Z187" t="str">
        <f>IF(Tabela1[[#This Row],[1]]&lt;&gt;"",IF(ISNUMBER(FIND(",",Tabela1[[#This Row],[1]])),LEN(Tabela1[[#This Row],[1]])-LEN(SUBSTITUTE(Tabela1[[#This Row],[1]],",",""))+1,1),"")</f>
        <v/>
      </c>
      <c r="AA187">
        <f>IF(Tabela1[[#This Row],[2]]&lt;&gt;"",IF(ISNUMBER(FIND(",",Tabela1[[#This Row],[2]])),LEN(Tabela1[[#This Row],[2]])-LEN(SUBSTITUTE(Tabela1[[#This Row],[2]],",",""))+1,1),"")</f>
        <v>1</v>
      </c>
      <c r="AB187" t="str">
        <f>IF(Tabela1[[#This Row],[3]]&lt;&gt;"",IF(ISNUMBER(FIND(",",Tabela1[[#This Row],[3]])),LEN(Tabela1[[#This Row],[3]])-LEN(SUBSTITUTE(Tabela1[[#This Row],[3]],",",""))+1,1),"")</f>
        <v/>
      </c>
      <c r="AC187" t="str">
        <f>IF(Tabela1[[#This Row],[4]]&lt;&gt;"",IF(ISNUMBER(FIND(",",Tabela1[[#This Row],[4]])),LEN(Tabela1[[#This Row],[4]])-LEN(SUBSTITUTE(Tabela1[[#This Row],[4]],",",""))+1,1),"")</f>
        <v/>
      </c>
      <c r="AD187" t="str">
        <f>IF(Tabela1[[#This Row],[5]]&lt;&gt;"",IF(ISNUMBER(FIND(",",Tabela1[[#This Row],[5]])),LEN(Tabela1[[#This Row],[5]])-LEN(SUBSTITUTE(Tabela1[[#This Row],[5]],",",""))+1,1),"")</f>
        <v/>
      </c>
      <c r="AE187" t="str">
        <f>IF(Tabela1[[#This Row],[6]]&lt;&gt;"",IF(ISNUMBER(FIND(",",Tabela1[[#This Row],[6]])),LEN(Tabela1[[#This Row],[6]])-LEN(SUBSTITUTE(Tabela1[[#This Row],[6]],",",""))+1,1),"")</f>
        <v/>
      </c>
      <c r="AF187" t="str">
        <f>IF(Tabela1[[#This Row],[7]]&lt;&gt;"",IF(ISNUMBER(FIND(",",Tabela1[[#This Row],[7]])),LEN(Tabela1[[#This Row],[7]])-LEN(SUBSTITUTE(Tabela1[[#This Row],[7]],",",""))+1,1),"")</f>
        <v/>
      </c>
      <c r="AG187" t="str">
        <f>IF(Tabela1[[#This Row],[8]]&lt;&gt;"",IF(ISNUMBER(FIND(",",Tabela1[[#This Row],[8]])),LEN(Tabela1[[#This Row],[8]])-LEN(SUBSTITUTE(Tabela1[[#This Row],[8]],",",""))+1,1),"")</f>
        <v/>
      </c>
      <c r="AH187" t="str">
        <f>IF(Tabela1[[#This Row],[9]]&lt;&gt;"",IF(ISNUMBER(FIND(",",Tabela1[[#This Row],[9]])),LEN(Tabela1[[#This Row],[9]])-LEN(SUBSTITUTE(Tabela1[[#This Row],[9]],",",""))+1,1),"")</f>
        <v/>
      </c>
      <c r="AI187" t="str">
        <f>IF(Tabela1[[#This Row],[10]]&lt;&gt;"",IF(ISNUMBER(FIND(",",Tabela1[[#This Row],[10]])),LEN(Tabela1[[#This Row],[10]])-LEN(SUBSTITUTE(Tabela1[[#This Row],[10]],",",""))+1,1),"")</f>
        <v/>
      </c>
      <c r="AJ187" t="str">
        <f>IF(Tabela1[[#This Row],[11]]&lt;&gt;"",IF(ISNUMBER(FIND(",",Tabela1[[#This Row],[11]])),LEN(Tabela1[[#This Row],[11]])-LEN(SUBSTITUTE(Tabela1[[#This Row],[11]],",",""))+1,1),"")</f>
        <v/>
      </c>
      <c r="AK187" t="str">
        <f>IF(Tabela1[[#This Row],[12]]&lt;&gt;"",IF(ISNUMBER(FIND(",",Tabela1[[#This Row],[12]])),LEN(Tabela1[[#This Row],[12]])-LEN(SUBSTITUTE(Tabela1[[#This Row],[12]],",",""))+1,1),"")</f>
        <v/>
      </c>
      <c r="AL187" t="str">
        <f>IF(Tabela1[[#This Row],[13]]&lt;&gt;"",IF(ISNUMBER(FIND(",",Tabela1[[#This Row],[13]])),LEN(Tabela1[[#This Row],[13]])-LEN(SUBSTITUTE(Tabela1[[#This Row],[13]],",",""))+1,1),"")</f>
        <v/>
      </c>
      <c r="AM187" t="str">
        <f>IF(Tabela1[[#This Row],[14]]&lt;&gt;"",IF(ISNUMBER(FIND(",",Tabela1[[#This Row],[14]])),LEN(Tabela1[[#This Row],[14]])-LEN(SUBSTITUTE(Tabela1[[#This Row],[14]],",",""))+1,1),"")</f>
        <v/>
      </c>
      <c r="AN187" t="str">
        <f>IF(Tabela1[[#This Row],[15]]&lt;&gt;"",IF(ISNUMBER(FIND(",",Tabela1[[#This Row],[15]])),LEN(Tabela1[[#This Row],[15]])-LEN(SUBSTITUTE(Tabela1[[#This Row],[15]],",",""))+1,1),"")</f>
        <v/>
      </c>
      <c r="AO187" t="str">
        <f>IF(Tabela1[[#This Row],[16]]&lt;&gt;"",IF(ISNUMBER(FIND(",",Tabela1[[#This Row],[16]])),LEN(Tabela1[[#This Row],[16]])-LEN(SUBSTITUTE(Tabela1[[#This Row],[16]],",",""))+1,1),"")</f>
        <v/>
      </c>
      <c r="AP187" t="str">
        <f>IF(Tabela1[[#This Row],[17]]&lt;&gt;"",IF(ISNUMBER(FIND(",",Tabela1[[#This Row],[17]])),LEN(Tabela1[[#This Row],[17]])-LEN(SUBSTITUTE(Tabela1[[#This Row],[17]],",",""))+1,1),"")</f>
        <v/>
      </c>
      <c r="AQ187" t="str">
        <f>IF(Tabela1[[#This Row],[18]]&lt;&gt;"",IF(ISNUMBER(FIND(",",Tabela1[[#This Row],[18]])),LEN(Tabela1[[#This Row],[18]])-LEN(SUBSTITUTE(Tabela1[[#This Row],[18]],",",""))+1,1),"")</f>
        <v/>
      </c>
      <c r="AR187" s="13" t="str">
        <f>IF(Tabela1[[#This Row],[19_LENGTH]]&lt;&gt;"",IF(ISNUMBER(FIND(",",Tabela1[[#This Row],[19_LENGTH]])),LEN(Tabela1[[#This Row],[19_LENGTH]])-LEN(SUBSTITUTE(Tabela1[[#This Row],[19_LENGTH]],",",""))+1,1),"")</f>
        <v/>
      </c>
      <c r="AS187" s="21">
        <f>SUM(Tabela1[[#This Row],[1_]:[19_]])</f>
        <v>1</v>
      </c>
    </row>
    <row r="188" spans="1:45" x14ac:dyDescent="0.25">
      <c r="A188" s="27" t="s">
        <v>1319</v>
      </c>
      <c r="B188" s="19" t="s">
        <v>392</v>
      </c>
      <c r="C188" s="19">
        <v>202</v>
      </c>
      <c r="D188" s="19" t="s">
        <v>1315</v>
      </c>
      <c r="E188" s="20">
        <v>43455</v>
      </c>
      <c r="F188" s="19"/>
      <c r="G188" s="19"/>
      <c r="H188" s="19"/>
      <c r="I188" s="19">
        <v>34</v>
      </c>
      <c r="J188" s="19"/>
      <c r="K188" s="19"/>
      <c r="L188" s="19"/>
      <c r="M188" s="19"/>
      <c r="N188" s="19"/>
      <c r="O188" s="19"/>
      <c r="P188" s="19"/>
      <c r="Q188" s="19"/>
      <c r="R188" s="19"/>
      <c r="S188" s="19"/>
      <c r="T188" s="19"/>
      <c r="U188" s="19"/>
      <c r="V188" s="19" t="s">
        <v>73</v>
      </c>
      <c r="W188" s="19">
        <v>166</v>
      </c>
      <c r="X188" s="19"/>
      <c r="Y188" s="19"/>
      <c r="Z188" t="str">
        <f>IF(Tabela1[[#This Row],[1]]&lt;&gt;"",IF(ISNUMBER(FIND(",",Tabela1[[#This Row],[1]])),LEN(Tabela1[[#This Row],[1]])-LEN(SUBSTITUTE(Tabela1[[#This Row],[1]],",",""))+1,1),"")</f>
        <v/>
      </c>
      <c r="AA188" t="str">
        <f>IF(Tabela1[[#This Row],[2]]&lt;&gt;"",IF(ISNUMBER(FIND(",",Tabela1[[#This Row],[2]])),LEN(Tabela1[[#This Row],[2]])-LEN(SUBSTITUTE(Tabela1[[#This Row],[2]],",",""))+1,1),"")</f>
        <v/>
      </c>
      <c r="AB188" t="str">
        <f>IF(Tabela1[[#This Row],[3]]&lt;&gt;"",IF(ISNUMBER(FIND(",",Tabela1[[#This Row],[3]])),LEN(Tabela1[[#This Row],[3]])-LEN(SUBSTITUTE(Tabela1[[#This Row],[3]],",",""))+1,1),"")</f>
        <v/>
      </c>
      <c r="AC188">
        <f>IF(Tabela1[[#This Row],[4]]&lt;&gt;"",IF(ISNUMBER(FIND(",",Tabela1[[#This Row],[4]])),LEN(Tabela1[[#This Row],[4]])-LEN(SUBSTITUTE(Tabela1[[#This Row],[4]],",",""))+1,1),"")</f>
        <v>1</v>
      </c>
      <c r="AD188" t="str">
        <f>IF(Tabela1[[#This Row],[5]]&lt;&gt;"",IF(ISNUMBER(FIND(",",Tabela1[[#This Row],[5]])),LEN(Tabela1[[#This Row],[5]])-LEN(SUBSTITUTE(Tabela1[[#This Row],[5]],",",""))+1,1),"")</f>
        <v/>
      </c>
      <c r="AE188" t="str">
        <f>IF(Tabela1[[#This Row],[6]]&lt;&gt;"",IF(ISNUMBER(FIND(",",Tabela1[[#This Row],[6]])),LEN(Tabela1[[#This Row],[6]])-LEN(SUBSTITUTE(Tabela1[[#This Row],[6]],",",""))+1,1),"")</f>
        <v/>
      </c>
      <c r="AF188" t="str">
        <f>IF(Tabela1[[#This Row],[7]]&lt;&gt;"",IF(ISNUMBER(FIND(",",Tabela1[[#This Row],[7]])),LEN(Tabela1[[#This Row],[7]])-LEN(SUBSTITUTE(Tabela1[[#This Row],[7]],",",""))+1,1),"")</f>
        <v/>
      </c>
      <c r="AG188" t="str">
        <f>IF(Tabela1[[#This Row],[8]]&lt;&gt;"",IF(ISNUMBER(FIND(",",Tabela1[[#This Row],[8]])),LEN(Tabela1[[#This Row],[8]])-LEN(SUBSTITUTE(Tabela1[[#This Row],[8]],",",""))+1,1),"")</f>
        <v/>
      </c>
      <c r="AH188" t="str">
        <f>IF(Tabela1[[#This Row],[9]]&lt;&gt;"",IF(ISNUMBER(FIND(",",Tabela1[[#This Row],[9]])),LEN(Tabela1[[#This Row],[9]])-LEN(SUBSTITUTE(Tabela1[[#This Row],[9]],",",""))+1,1),"")</f>
        <v/>
      </c>
      <c r="AI188" t="str">
        <f>IF(Tabela1[[#This Row],[10]]&lt;&gt;"",IF(ISNUMBER(FIND(",",Tabela1[[#This Row],[10]])),LEN(Tabela1[[#This Row],[10]])-LEN(SUBSTITUTE(Tabela1[[#This Row],[10]],",",""))+1,1),"")</f>
        <v/>
      </c>
      <c r="AJ188" t="str">
        <f>IF(Tabela1[[#This Row],[11]]&lt;&gt;"",IF(ISNUMBER(FIND(",",Tabela1[[#This Row],[11]])),LEN(Tabela1[[#This Row],[11]])-LEN(SUBSTITUTE(Tabela1[[#This Row],[11]],",",""))+1,1),"")</f>
        <v/>
      </c>
      <c r="AK188" t="str">
        <f>IF(Tabela1[[#This Row],[12]]&lt;&gt;"",IF(ISNUMBER(FIND(",",Tabela1[[#This Row],[12]])),LEN(Tabela1[[#This Row],[12]])-LEN(SUBSTITUTE(Tabela1[[#This Row],[12]],",",""))+1,1),"")</f>
        <v/>
      </c>
      <c r="AL188" t="str">
        <f>IF(Tabela1[[#This Row],[13]]&lt;&gt;"",IF(ISNUMBER(FIND(",",Tabela1[[#This Row],[13]])),LEN(Tabela1[[#This Row],[13]])-LEN(SUBSTITUTE(Tabela1[[#This Row],[13]],",",""))+1,1),"")</f>
        <v/>
      </c>
      <c r="AM188" t="str">
        <f>IF(Tabela1[[#This Row],[14]]&lt;&gt;"",IF(ISNUMBER(FIND(",",Tabela1[[#This Row],[14]])),LEN(Tabela1[[#This Row],[14]])-LEN(SUBSTITUTE(Tabela1[[#This Row],[14]],",",""))+1,1),"")</f>
        <v/>
      </c>
      <c r="AN188" t="str">
        <f>IF(Tabela1[[#This Row],[15]]&lt;&gt;"",IF(ISNUMBER(FIND(",",Tabela1[[#This Row],[15]])),LEN(Tabela1[[#This Row],[15]])-LEN(SUBSTITUTE(Tabela1[[#This Row],[15]],",",""))+1,1),"")</f>
        <v/>
      </c>
      <c r="AO188" t="str">
        <f>IF(Tabela1[[#This Row],[16]]&lt;&gt;"",IF(ISNUMBER(FIND(",",Tabela1[[#This Row],[16]])),LEN(Tabela1[[#This Row],[16]])-LEN(SUBSTITUTE(Tabela1[[#This Row],[16]],",",""))+1,1),"")</f>
        <v/>
      </c>
      <c r="AP188">
        <f>IF(Tabela1[[#This Row],[17]]&lt;&gt;"",IF(ISNUMBER(FIND(",",Tabela1[[#This Row],[17]])),LEN(Tabela1[[#This Row],[17]])-LEN(SUBSTITUTE(Tabela1[[#This Row],[17]],",",""))+1,1),"")</f>
        <v>2</v>
      </c>
      <c r="AQ188">
        <f>IF(Tabela1[[#This Row],[18]]&lt;&gt;"",IF(ISNUMBER(FIND(",",Tabela1[[#This Row],[18]])),LEN(Tabela1[[#This Row],[18]])-LEN(SUBSTITUTE(Tabela1[[#This Row],[18]],",",""))+1,1),"")</f>
        <v>1</v>
      </c>
      <c r="AR188" s="13" t="str">
        <f>IF(Tabela1[[#This Row],[19_LENGTH]]&lt;&gt;"",IF(ISNUMBER(FIND(",",Tabela1[[#This Row],[19_LENGTH]])),LEN(Tabela1[[#This Row],[19_LENGTH]])-LEN(SUBSTITUTE(Tabela1[[#This Row],[19_LENGTH]],",",""))+1,1),"")</f>
        <v/>
      </c>
      <c r="AS188" s="21">
        <f>SUM(Tabela1[[#This Row],[1_]:[19_]])</f>
        <v>4</v>
      </c>
    </row>
    <row r="189" spans="1:45" x14ac:dyDescent="0.25">
      <c r="A189" s="27" t="s">
        <v>1316</v>
      </c>
      <c r="B189" s="19" t="s">
        <v>393</v>
      </c>
      <c r="C189" s="19">
        <v>98</v>
      </c>
      <c r="D189" s="19" t="s">
        <v>1301</v>
      </c>
      <c r="E189" s="20">
        <v>43455</v>
      </c>
      <c r="F189" s="19"/>
      <c r="G189" s="19"/>
      <c r="H189" s="19"/>
      <c r="I189" s="19" t="s">
        <v>74</v>
      </c>
      <c r="J189" s="19"/>
      <c r="K189" s="19"/>
      <c r="L189" s="19"/>
      <c r="M189" s="19"/>
      <c r="N189" s="19"/>
      <c r="O189" s="19"/>
      <c r="P189" s="19"/>
      <c r="Q189" s="19"/>
      <c r="R189" s="19"/>
      <c r="S189" s="19"/>
      <c r="T189" s="19"/>
      <c r="U189" s="19"/>
      <c r="V189" s="19"/>
      <c r="W189" s="19"/>
      <c r="X189" s="19"/>
      <c r="Y189" s="19"/>
      <c r="Z189" t="str">
        <f>IF(Tabela1[[#This Row],[1]]&lt;&gt;"",IF(ISNUMBER(FIND(",",Tabela1[[#This Row],[1]])),LEN(Tabela1[[#This Row],[1]])-LEN(SUBSTITUTE(Tabela1[[#This Row],[1]],",",""))+1,1),"")</f>
        <v/>
      </c>
      <c r="AA189" t="str">
        <f>IF(Tabela1[[#This Row],[2]]&lt;&gt;"",IF(ISNUMBER(FIND(",",Tabela1[[#This Row],[2]])),LEN(Tabela1[[#This Row],[2]])-LEN(SUBSTITUTE(Tabela1[[#This Row],[2]],",",""))+1,1),"")</f>
        <v/>
      </c>
      <c r="AB189" t="str">
        <f>IF(Tabela1[[#This Row],[3]]&lt;&gt;"",IF(ISNUMBER(FIND(",",Tabela1[[#This Row],[3]])),LEN(Tabela1[[#This Row],[3]])-LEN(SUBSTITUTE(Tabela1[[#This Row],[3]],",",""))+1,1),"")</f>
        <v/>
      </c>
      <c r="AC189">
        <f>IF(Tabela1[[#This Row],[4]]&lt;&gt;"",IF(ISNUMBER(FIND(",",Tabela1[[#This Row],[4]])),LEN(Tabela1[[#This Row],[4]])-LEN(SUBSTITUTE(Tabela1[[#This Row],[4]],",",""))+1,1),"")</f>
        <v>3</v>
      </c>
      <c r="AD189" t="str">
        <f>IF(Tabela1[[#This Row],[5]]&lt;&gt;"",IF(ISNUMBER(FIND(",",Tabela1[[#This Row],[5]])),LEN(Tabela1[[#This Row],[5]])-LEN(SUBSTITUTE(Tabela1[[#This Row],[5]],",",""))+1,1),"")</f>
        <v/>
      </c>
      <c r="AE189" t="str">
        <f>IF(Tabela1[[#This Row],[6]]&lt;&gt;"",IF(ISNUMBER(FIND(",",Tabela1[[#This Row],[6]])),LEN(Tabela1[[#This Row],[6]])-LEN(SUBSTITUTE(Tabela1[[#This Row],[6]],",",""))+1,1),"")</f>
        <v/>
      </c>
      <c r="AF189" t="str">
        <f>IF(Tabela1[[#This Row],[7]]&lt;&gt;"",IF(ISNUMBER(FIND(",",Tabela1[[#This Row],[7]])),LEN(Tabela1[[#This Row],[7]])-LEN(SUBSTITUTE(Tabela1[[#This Row],[7]],",",""))+1,1),"")</f>
        <v/>
      </c>
      <c r="AG189" t="str">
        <f>IF(Tabela1[[#This Row],[8]]&lt;&gt;"",IF(ISNUMBER(FIND(",",Tabela1[[#This Row],[8]])),LEN(Tabela1[[#This Row],[8]])-LEN(SUBSTITUTE(Tabela1[[#This Row],[8]],",",""))+1,1),"")</f>
        <v/>
      </c>
      <c r="AH189" t="str">
        <f>IF(Tabela1[[#This Row],[9]]&lt;&gt;"",IF(ISNUMBER(FIND(",",Tabela1[[#This Row],[9]])),LEN(Tabela1[[#This Row],[9]])-LEN(SUBSTITUTE(Tabela1[[#This Row],[9]],",",""))+1,1),"")</f>
        <v/>
      </c>
      <c r="AI189" t="str">
        <f>IF(Tabela1[[#This Row],[10]]&lt;&gt;"",IF(ISNUMBER(FIND(",",Tabela1[[#This Row],[10]])),LEN(Tabela1[[#This Row],[10]])-LEN(SUBSTITUTE(Tabela1[[#This Row],[10]],",",""))+1,1),"")</f>
        <v/>
      </c>
      <c r="AJ189" t="str">
        <f>IF(Tabela1[[#This Row],[11]]&lt;&gt;"",IF(ISNUMBER(FIND(",",Tabela1[[#This Row],[11]])),LEN(Tabela1[[#This Row],[11]])-LEN(SUBSTITUTE(Tabela1[[#This Row],[11]],",",""))+1,1),"")</f>
        <v/>
      </c>
      <c r="AK189" t="str">
        <f>IF(Tabela1[[#This Row],[12]]&lt;&gt;"",IF(ISNUMBER(FIND(",",Tabela1[[#This Row],[12]])),LEN(Tabela1[[#This Row],[12]])-LEN(SUBSTITUTE(Tabela1[[#This Row],[12]],",",""))+1,1),"")</f>
        <v/>
      </c>
      <c r="AL189" t="str">
        <f>IF(Tabela1[[#This Row],[13]]&lt;&gt;"",IF(ISNUMBER(FIND(",",Tabela1[[#This Row],[13]])),LEN(Tabela1[[#This Row],[13]])-LEN(SUBSTITUTE(Tabela1[[#This Row],[13]],",",""))+1,1),"")</f>
        <v/>
      </c>
      <c r="AM189" t="str">
        <f>IF(Tabela1[[#This Row],[14]]&lt;&gt;"",IF(ISNUMBER(FIND(",",Tabela1[[#This Row],[14]])),LEN(Tabela1[[#This Row],[14]])-LEN(SUBSTITUTE(Tabela1[[#This Row],[14]],",",""))+1,1),"")</f>
        <v/>
      </c>
      <c r="AN189" t="str">
        <f>IF(Tabela1[[#This Row],[15]]&lt;&gt;"",IF(ISNUMBER(FIND(",",Tabela1[[#This Row],[15]])),LEN(Tabela1[[#This Row],[15]])-LEN(SUBSTITUTE(Tabela1[[#This Row],[15]],",",""))+1,1),"")</f>
        <v/>
      </c>
      <c r="AO189" t="str">
        <f>IF(Tabela1[[#This Row],[16]]&lt;&gt;"",IF(ISNUMBER(FIND(",",Tabela1[[#This Row],[16]])),LEN(Tabela1[[#This Row],[16]])-LEN(SUBSTITUTE(Tabela1[[#This Row],[16]],",",""))+1,1),"")</f>
        <v/>
      </c>
      <c r="AP189" t="str">
        <f>IF(Tabela1[[#This Row],[17]]&lt;&gt;"",IF(ISNUMBER(FIND(",",Tabela1[[#This Row],[17]])),LEN(Tabela1[[#This Row],[17]])-LEN(SUBSTITUTE(Tabela1[[#This Row],[17]],",",""))+1,1),"")</f>
        <v/>
      </c>
      <c r="AQ189" t="str">
        <f>IF(Tabela1[[#This Row],[18]]&lt;&gt;"",IF(ISNUMBER(FIND(",",Tabela1[[#This Row],[18]])),LEN(Tabela1[[#This Row],[18]])-LEN(SUBSTITUTE(Tabela1[[#This Row],[18]],",",""))+1,1),"")</f>
        <v/>
      </c>
      <c r="AR189" s="13" t="str">
        <f>IF(Tabela1[[#This Row],[19_LENGTH]]&lt;&gt;"",IF(ISNUMBER(FIND(",",Tabela1[[#This Row],[19_LENGTH]])),LEN(Tabela1[[#This Row],[19_LENGTH]])-LEN(SUBSTITUTE(Tabela1[[#This Row],[19_LENGTH]],",",""))+1,1),"")</f>
        <v/>
      </c>
      <c r="AS189" s="21">
        <f>SUM(Tabela1[[#This Row],[1_]:[19_]])</f>
        <v>3</v>
      </c>
    </row>
    <row r="190" spans="1:45" x14ac:dyDescent="0.25">
      <c r="A190" s="27" t="s">
        <v>1316</v>
      </c>
      <c r="B190" s="19" t="s">
        <v>394</v>
      </c>
      <c r="C190" s="19">
        <v>202</v>
      </c>
      <c r="D190" s="19" t="s">
        <v>1301</v>
      </c>
      <c r="E190" s="20">
        <v>43441</v>
      </c>
      <c r="F190" s="19"/>
      <c r="G190" s="19"/>
      <c r="H190" s="19"/>
      <c r="I190" s="19" t="s">
        <v>75</v>
      </c>
      <c r="J190" s="19">
        <v>40</v>
      </c>
      <c r="K190" s="19"/>
      <c r="L190" s="19"/>
      <c r="M190" s="19"/>
      <c r="N190" s="19"/>
      <c r="O190" s="19"/>
      <c r="P190" s="19"/>
      <c r="Q190" s="19"/>
      <c r="R190" s="19"/>
      <c r="S190" s="19"/>
      <c r="T190" s="19"/>
      <c r="U190" s="19"/>
      <c r="V190" s="19"/>
      <c r="W190" s="19"/>
      <c r="X190" s="19"/>
      <c r="Y190" s="19"/>
      <c r="Z190" t="str">
        <f>IF(Tabela1[[#This Row],[1]]&lt;&gt;"",IF(ISNUMBER(FIND(",",Tabela1[[#This Row],[1]])),LEN(Tabela1[[#This Row],[1]])-LEN(SUBSTITUTE(Tabela1[[#This Row],[1]],",",""))+1,1),"")</f>
        <v/>
      </c>
      <c r="AA190" t="str">
        <f>IF(Tabela1[[#This Row],[2]]&lt;&gt;"",IF(ISNUMBER(FIND(",",Tabela1[[#This Row],[2]])),LEN(Tabela1[[#This Row],[2]])-LEN(SUBSTITUTE(Tabela1[[#This Row],[2]],",",""))+1,1),"")</f>
        <v/>
      </c>
      <c r="AB190" t="str">
        <f>IF(Tabela1[[#This Row],[3]]&lt;&gt;"",IF(ISNUMBER(FIND(",",Tabela1[[#This Row],[3]])),LEN(Tabela1[[#This Row],[3]])-LEN(SUBSTITUTE(Tabela1[[#This Row],[3]],",",""))+1,1),"")</f>
        <v/>
      </c>
      <c r="AC190">
        <f>IF(Tabela1[[#This Row],[4]]&lt;&gt;"",IF(ISNUMBER(FIND(",",Tabela1[[#This Row],[4]])),LEN(Tabela1[[#This Row],[4]])-LEN(SUBSTITUTE(Tabela1[[#This Row],[4]],",",""))+1,1),"")</f>
        <v>2</v>
      </c>
      <c r="AD190">
        <f>IF(Tabela1[[#This Row],[5]]&lt;&gt;"",IF(ISNUMBER(FIND(",",Tabela1[[#This Row],[5]])),LEN(Tabela1[[#This Row],[5]])-LEN(SUBSTITUTE(Tabela1[[#This Row],[5]],",",""))+1,1),"")</f>
        <v>1</v>
      </c>
      <c r="AE190" t="str">
        <f>IF(Tabela1[[#This Row],[6]]&lt;&gt;"",IF(ISNUMBER(FIND(",",Tabela1[[#This Row],[6]])),LEN(Tabela1[[#This Row],[6]])-LEN(SUBSTITUTE(Tabela1[[#This Row],[6]],",",""))+1,1),"")</f>
        <v/>
      </c>
      <c r="AF190" t="str">
        <f>IF(Tabela1[[#This Row],[7]]&lt;&gt;"",IF(ISNUMBER(FIND(",",Tabela1[[#This Row],[7]])),LEN(Tabela1[[#This Row],[7]])-LEN(SUBSTITUTE(Tabela1[[#This Row],[7]],",",""))+1,1),"")</f>
        <v/>
      </c>
      <c r="AG190" t="str">
        <f>IF(Tabela1[[#This Row],[8]]&lt;&gt;"",IF(ISNUMBER(FIND(",",Tabela1[[#This Row],[8]])),LEN(Tabela1[[#This Row],[8]])-LEN(SUBSTITUTE(Tabela1[[#This Row],[8]],",",""))+1,1),"")</f>
        <v/>
      </c>
      <c r="AH190" t="str">
        <f>IF(Tabela1[[#This Row],[9]]&lt;&gt;"",IF(ISNUMBER(FIND(",",Tabela1[[#This Row],[9]])),LEN(Tabela1[[#This Row],[9]])-LEN(SUBSTITUTE(Tabela1[[#This Row],[9]],",",""))+1,1),"")</f>
        <v/>
      </c>
      <c r="AI190" t="str">
        <f>IF(Tabela1[[#This Row],[10]]&lt;&gt;"",IF(ISNUMBER(FIND(",",Tabela1[[#This Row],[10]])),LEN(Tabela1[[#This Row],[10]])-LEN(SUBSTITUTE(Tabela1[[#This Row],[10]],",",""))+1,1),"")</f>
        <v/>
      </c>
      <c r="AJ190" t="str">
        <f>IF(Tabela1[[#This Row],[11]]&lt;&gt;"",IF(ISNUMBER(FIND(",",Tabela1[[#This Row],[11]])),LEN(Tabela1[[#This Row],[11]])-LEN(SUBSTITUTE(Tabela1[[#This Row],[11]],",",""))+1,1),"")</f>
        <v/>
      </c>
      <c r="AK190" t="str">
        <f>IF(Tabela1[[#This Row],[12]]&lt;&gt;"",IF(ISNUMBER(FIND(",",Tabela1[[#This Row],[12]])),LEN(Tabela1[[#This Row],[12]])-LEN(SUBSTITUTE(Tabela1[[#This Row],[12]],",",""))+1,1),"")</f>
        <v/>
      </c>
      <c r="AL190" t="str">
        <f>IF(Tabela1[[#This Row],[13]]&lt;&gt;"",IF(ISNUMBER(FIND(",",Tabela1[[#This Row],[13]])),LEN(Tabela1[[#This Row],[13]])-LEN(SUBSTITUTE(Tabela1[[#This Row],[13]],",",""))+1,1),"")</f>
        <v/>
      </c>
      <c r="AM190" t="str">
        <f>IF(Tabela1[[#This Row],[14]]&lt;&gt;"",IF(ISNUMBER(FIND(",",Tabela1[[#This Row],[14]])),LEN(Tabela1[[#This Row],[14]])-LEN(SUBSTITUTE(Tabela1[[#This Row],[14]],",",""))+1,1),"")</f>
        <v/>
      </c>
      <c r="AN190" t="str">
        <f>IF(Tabela1[[#This Row],[15]]&lt;&gt;"",IF(ISNUMBER(FIND(",",Tabela1[[#This Row],[15]])),LEN(Tabela1[[#This Row],[15]])-LEN(SUBSTITUTE(Tabela1[[#This Row],[15]],",",""))+1,1),"")</f>
        <v/>
      </c>
      <c r="AO190" t="str">
        <f>IF(Tabela1[[#This Row],[16]]&lt;&gt;"",IF(ISNUMBER(FIND(",",Tabela1[[#This Row],[16]])),LEN(Tabela1[[#This Row],[16]])-LEN(SUBSTITUTE(Tabela1[[#This Row],[16]],",",""))+1,1),"")</f>
        <v/>
      </c>
      <c r="AP190" t="str">
        <f>IF(Tabela1[[#This Row],[17]]&lt;&gt;"",IF(ISNUMBER(FIND(",",Tabela1[[#This Row],[17]])),LEN(Tabela1[[#This Row],[17]])-LEN(SUBSTITUTE(Tabela1[[#This Row],[17]],",",""))+1,1),"")</f>
        <v/>
      </c>
      <c r="AQ190" t="str">
        <f>IF(Tabela1[[#This Row],[18]]&lt;&gt;"",IF(ISNUMBER(FIND(",",Tabela1[[#This Row],[18]])),LEN(Tabela1[[#This Row],[18]])-LEN(SUBSTITUTE(Tabela1[[#This Row],[18]],",",""))+1,1),"")</f>
        <v/>
      </c>
      <c r="AR190" s="13" t="str">
        <f>IF(Tabela1[[#This Row],[19_LENGTH]]&lt;&gt;"",IF(ISNUMBER(FIND(",",Tabela1[[#This Row],[19_LENGTH]])),LEN(Tabela1[[#This Row],[19_LENGTH]])-LEN(SUBSTITUTE(Tabela1[[#This Row],[19_LENGTH]],",",""))+1,1),"")</f>
        <v/>
      </c>
      <c r="AS190" s="21">
        <f>SUM(Tabela1[[#This Row],[1_]:[19_]])</f>
        <v>3</v>
      </c>
    </row>
    <row r="191" spans="1:45" x14ac:dyDescent="0.25">
      <c r="A191" s="27" t="s">
        <v>1316</v>
      </c>
      <c r="B191" s="19" t="s">
        <v>395</v>
      </c>
      <c r="C191" s="19">
        <v>202</v>
      </c>
      <c r="D191" s="19" t="s">
        <v>1301</v>
      </c>
      <c r="E191" s="20">
        <v>43455</v>
      </c>
      <c r="F191" s="19"/>
      <c r="G191" s="19"/>
      <c r="H191" s="19"/>
      <c r="I191" s="19" t="s">
        <v>76</v>
      </c>
      <c r="J191" s="19"/>
      <c r="K191" s="19"/>
      <c r="L191" s="19"/>
      <c r="M191" s="19"/>
      <c r="N191" s="19"/>
      <c r="O191" s="19"/>
      <c r="P191" s="19"/>
      <c r="Q191" s="19"/>
      <c r="R191" s="19"/>
      <c r="S191" s="19"/>
      <c r="T191" s="19"/>
      <c r="U191" s="19"/>
      <c r="V191" s="19"/>
      <c r="W191" s="19"/>
      <c r="X191" s="19"/>
      <c r="Y191" s="19"/>
      <c r="Z191" t="str">
        <f>IF(Tabela1[[#This Row],[1]]&lt;&gt;"",IF(ISNUMBER(FIND(",",Tabela1[[#This Row],[1]])),LEN(Tabela1[[#This Row],[1]])-LEN(SUBSTITUTE(Tabela1[[#This Row],[1]],",",""))+1,1),"")</f>
        <v/>
      </c>
      <c r="AA191" t="str">
        <f>IF(Tabela1[[#This Row],[2]]&lt;&gt;"",IF(ISNUMBER(FIND(",",Tabela1[[#This Row],[2]])),LEN(Tabela1[[#This Row],[2]])-LEN(SUBSTITUTE(Tabela1[[#This Row],[2]],",",""))+1,1),"")</f>
        <v/>
      </c>
      <c r="AB191" t="str">
        <f>IF(Tabela1[[#This Row],[3]]&lt;&gt;"",IF(ISNUMBER(FIND(",",Tabela1[[#This Row],[3]])),LEN(Tabela1[[#This Row],[3]])-LEN(SUBSTITUTE(Tabela1[[#This Row],[3]],",",""))+1,1),"")</f>
        <v/>
      </c>
      <c r="AC191">
        <f>IF(Tabela1[[#This Row],[4]]&lt;&gt;"",IF(ISNUMBER(FIND(",",Tabela1[[#This Row],[4]])),LEN(Tabela1[[#This Row],[4]])-LEN(SUBSTITUTE(Tabela1[[#This Row],[4]],",",""))+1,1),"")</f>
        <v>3</v>
      </c>
      <c r="AD191" t="str">
        <f>IF(Tabela1[[#This Row],[5]]&lt;&gt;"",IF(ISNUMBER(FIND(",",Tabela1[[#This Row],[5]])),LEN(Tabela1[[#This Row],[5]])-LEN(SUBSTITUTE(Tabela1[[#This Row],[5]],",",""))+1,1),"")</f>
        <v/>
      </c>
      <c r="AE191" t="str">
        <f>IF(Tabela1[[#This Row],[6]]&lt;&gt;"",IF(ISNUMBER(FIND(",",Tabela1[[#This Row],[6]])),LEN(Tabela1[[#This Row],[6]])-LEN(SUBSTITUTE(Tabela1[[#This Row],[6]],",",""))+1,1),"")</f>
        <v/>
      </c>
      <c r="AF191" t="str">
        <f>IF(Tabela1[[#This Row],[7]]&lt;&gt;"",IF(ISNUMBER(FIND(",",Tabela1[[#This Row],[7]])),LEN(Tabela1[[#This Row],[7]])-LEN(SUBSTITUTE(Tabela1[[#This Row],[7]],",",""))+1,1),"")</f>
        <v/>
      </c>
      <c r="AG191" t="str">
        <f>IF(Tabela1[[#This Row],[8]]&lt;&gt;"",IF(ISNUMBER(FIND(",",Tabela1[[#This Row],[8]])),LEN(Tabela1[[#This Row],[8]])-LEN(SUBSTITUTE(Tabela1[[#This Row],[8]],",",""))+1,1),"")</f>
        <v/>
      </c>
      <c r="AH191" t="str">
        <f>IF(Tabela1[[#This Row],[9]]&lt;&gt;"",IF(ISNUMBER(FIND(",",Tabela1[[#This Row],[9]])),LEN(Tabela1[[#This Row],[9]])-LEN(SUBSTITUTE(Tabela1[[#This Row],[9]],",",""))+1,1),"")</f>
        <v/>
      </c>
      <c r="AI191" t="str">
        <f>IF(Tabela1[[#This Row],[10]]&lt;&gt;"",IF(ISNUMBER(FIND(",",Tabela1[[#This Row],[10]])),LEN(Tabela1[[#This Row],[10]])-LEN(SUBSTITUTE(Tabela1[[#This Row],[10]],",",""))+1,1),"")</f>
        <v/>
      </c>
      <c r="AJ191" t="str">
        <f>IF(Tabela1[[#This Row],[11]]&lt;&gt;"",IF(ISNUMBER(FIND(",",Tabela1[[#This Row],[11]])),LEN(Tabela1[[#This Row],[11]])-LEN(SUBSTITUTE(Tabela1[[#This Row],[11]],",",""))+1,1),"")</f>
        <v/>
      </c>
      <c r="AK191" t="str">
        <f>IF(Tabela1[[#This Row],[12]]&lt;&gt;"",IF(ISNUMBER(FIND(",",Tabela1[[#This Row],[12]])),LEN(Tabela1[[#This Row],[12]])-LEN(SUBSTITUTE(Tabela1[[#This Row],[12]],",",""))+1,1),"")</f>
        <v/>
      </c>
      <c r="AL191" t="str">
        <f>IF(Tabela1[[#This Row],[13]]&lt;&gt;"",IF(ISNUMBER(FIND(",",Tabela1[[#This Row],[13]])),LEN(Tabela1[[#This Row],[13]])-LEN(SUBSTITUTE(Tabela1[[#This Row],[13]],",",""))+1,1),"")</f>
        <v/>
      </c>
      <c r="AM191" t="str">
        <f>IF(Tabela1[[#This Row],[14]]&lt;&gt;"",IF(ISNUMBER(FIND(",",Tabela1[[#This Row],[14]])),LEN(Tabela1[[#This Row],[14]])-LEN(SUBSTITUTE(Tabela1[[#This Row],[14]],",",""))+1,1),"")</f>
        <v/>
      </c>
      <c r="AN191" t="str">
        <f>IF(Tabela1[[#This Row],[15]]&lt;&gt;"",IF(ISNUMBER(FIND(",",Tabela1[[#This Row],[15]])),LEN(Tabela1[[#This Row],[15]])-LEN(SUBSTITUTE(Tabela1[[#This Row],[15]],",",""))+1,1),"")</f>
        <v/>
      </c>
      <c r="AO191" t="str">
        <f>IF(Tabela1[[#This Row],[16]]&lt;&gt;"",IF(ISNUMBER(FIND(",",Tabela1[[#This Row],[16]])),LEN(Tabela1[[#This Row],[16]])-LEN(SUBSTITUTE(Tabela1[[#This Row],[16]],",",""))+1,1),"")</f>
        <v/>
      </c>
      <c r="AP191" t="str">
        <f>IF(Tabela1[[#This Row],[17]]&lt;&gt;"",IF(ISNUMBER(FIND(",",Tabela1[[#This Row],[17]])),LEN(Tabela1[[#This Row],[17]])-LEN(SUBSTITUTE(Tabela1[[#This Row],[17]],",",""))+1,1),"")</f>
        <v/>
      </c>
      <c r="AQ191" t="str">
        <f>IF(Tabela1[[#This Row],[18]]&lt;&gt;"",IF(ISNUMBER(FIND(",",Tabela1[[#This Row],[18]])),LEN(Tabela1[[#This Row],[18]])-LEN(SUBSTITUTE(Tabela1[[#This Row],[18]],",",""))+1,1),"")</f>
        <v/>
      </c>
      <c r="AR191" s="13" t="str">
        <f>IF(Tabela1[[#This Row],[19_LENGTH]]&lt;&gt;"",IF(ISNUMBER(FIND(",",Tabela1[[#This Row],[19_LENGTH]])),LEN(Tabela1[[#This Row],[19_LENGTH]])-LEN(SUBSTITUTE(Tabela1[[#This Row],[19_LENGTH]],",",""))+1,1),"")</f>
        <v/>
      </c>
      <c r="AS191" s="21">
        <f>SUM(Tabela1[[#This Row],[1_]:[19_]])</f>
        <v>3</v>
      </c>
    </row>
    <row r="192" spans="1:45" x14ac:dyDescent="0.25">
      <c r="A192" s="27" t="s">
        <v>1321</v>
      </c>
      <c r="B192" s="19" t="s">
        <v>396</v>
      </c>
      <c r="C192" s="19">
        <v>64</v>
      </c>
      <c r="D192" s="19" t="s">
        <v>1299</v>
      </c>
      <c r="E192" s="20">
        <v>43455</v>
      </c>
      <c r="F192" s="19"/>
      <c r="G192" s="19"/>
      <c r="H192" s="19"/>
      <c r="I192" s="19"/>
      <c r="J192" s="19"/>
      <c r="K192" s="19"/>
      <c r="L192" s="19"/>
      <c r="M192" s="19"/>
      <c r="N192" s="19">
        <v>57</v>
      </c>
      <c r="O192" s="19"/>
      <c r="P192" s="19"/>
      <c r="Q192" s="19"/>
      <c r="R192" s="19"/>
      <c r="S192" s="19"/>
      <c r="T192" s="19"/>
      <c r="U192" s="19"/>
      <c r="V192" s="19"/>
      <c r="W192" s="19"/>
      <c r="X192" s="19"/>
      <c r="Y192" s="19"/>
      <c r="Z192" t="str">
        <f>IF(Tabela1[[#This Row],[1]]&lt;&gt;"",IF(ISNUMBER(FIND(",",Tabela1[[#This Row],[1]])),LEN(Tabela1[[#This Row],[1]])-LEN(SUBSTITUTE(Tabela1[[#This Row],[1]],",",""))+1,1),"")</f>
        <v/>
      </c>
      <c r="AA192" t="str">
        <f>IF(Tabela1[[#This Row],[2]]&lt;&gt;"",IF(ISNUMBER(FIND(",",Tabela1[[#This Row],[2]])),LEN(Tabela1[[#This Row],[2]])-LEN(SUBSTITUTE(Tabela1[[#This Row],[2]],",",""))+1,1),"")</f>
        <v/>
      </c>
      <c r="AB192" t="str">
        <f>IF(Tabela1[[#This Row],[3]]&lt;&gt;"",IF(ISNUMBER(FIND(",",Tabela1[[#This Row],[3]])),LEN(Tabela1[[#This Row],[3]])-LEN(SUBSTITUTE(Tabela1[[#This Row],[3]],",",""))+1,1),"")</f>
        <v/>
      </c>
      <c r="AC192" t="str">
        <f>IF(Tabela1[[#This Row],[4]]&lt;&gt;"",IF(ISNUMBER(FIND(",",Tabela1[[#This Row],[4]])),LEN(Tabela1[[#This Row],[4]])-LEN(SUBSTITUTE(Tabela1[[#This Row],[4]],",",""))+1,1),"")</f>
        <v/>
      </c>
      <c r="AD192" t="str">
        <f>IF(Tabela1[[#This Row],[5]]&lt;&gt;"",IF(ISNUMBER(FIND(",",Tabela1[[#This Row],[5]])),LEN(Tabela1[[#This Row],[5]])-LEN(SUBSTITUTE(Tabela1[[#This Row],[5]],",",""))+1,1),"")</f>
        <v/>
      </c>
      <c r="AE192" t="str">
        <f>IF(Tabela1[[#This Row],[6]]&lt;&gt;"",IF(ISNUMBER(FIND(",",Tabela1[[#This Row],[6]])),LEN(Tabela1[[#This Row],[6]])-LEN(SUBSTITUTE(Tabela1[[#This Row],[6]],",",""))+1,1),"")</f>
        <v/>
      </c>
      <c r="AF192" t="str">
        <f>IF(Tabela1[[#This Row],[7]]&lt;&gt;"",IF(ISNUMBER(FIND(",",Tabela1[[#This Row],[7]])),LEN(Tabela1[[#This Row],[7]])-LEN(SUBSTITUTE(Tabela1[[#This Row],[7]],",",""))+1,1),"")</f>
        <v/>
      </c>
      <c r="AG192" t="str">
        <f>IF(Tabela1[[#This Row],[8]]&lt;&gt;"",IF(ISNUMBER(FIND(",",Tabela1[[#This Row],[8]])),LEN(Tabela1[[#This Row],[8]])-LEN(SUBSTITUTE(Tabela1[[#This Row],[8]],",",""))+1,1),"")</f>
        <v/>
      </c>
      <c r="AH192">
        <f>IF(Tabela1[[#This Row],[9]]&lt;&gt;"",IF(ISNUMBER(FIND(",",Tabela1[[#This Row],[9]])),LEN(Tabela1[[#This Row],[9]])-LEN(SUBSTITUTE(Tabela1[[#This Row],[9]],",",""))+1,1),"")</f>
        <v>1</v>
      </c>
      <c r="AI192" t="str">
        <f>IF(Tabela1[[#This Row],[10]]&lt;&gt;"",IF(ISNUMBER(FIND(",",Tabela1[[#This Row],[10]])),LEN(Tabela1[[#This Row],[10]])-LEN(SUBSTITUTE(Tabela1[[#This Row],[10]],",",""))+1,1),"")</f>
        <v/>
      </c>
      <c r="AJ192" t="str">
        <f>IF(Tabela1[[#This Row],[11]]&lt;&gt;"",IF(ISNUMBER(FIND(",",Tabela1[[#This Row],[11]])),LEN(Tabela1[[#This Row],[11]])-LEN(SUBSTITUTE(Tabela1[[#This Row],[11]],",",""))+1,1),"")</f>
        <v/>
      </c>
      <c r="AK192" t="str">
        <f>IF(Tabela1[[#This Row],[12]]&lt;&gt;"",IF(ISNUMBER(FIND(",",Tabela1[[#This Row],[12]])),LEN(Tabela1[[#This Row],[12]])-LEN(SUBSTITUTE(Tabela1[[#This Row],[12]],",",""))+1,1),"")</f>
        <v/>
      </c>
      <c r="AL192" t="str">
        <f>IF(Tabela1[[#This Row],[13]]&lt;&gt;"",IF(ISNUMBER(FIND(",",Tabela1[[#This Row],[13]])),LEN(Tabela1[[#This Row],[13]])-LEN(SUBSTITUTE(Tabela1[[#This Row],[13]],",",""))+1,1),"")</f>
        <v/>
      </c>
      <c r="AM192" t="str">
        <f>IF(Tabela1[[#This Row],[14]]&lt;&gt;"",IF(ISNUMBER(FIND(",",Tabela1[[#This Row],[14]])),LEN(Tabela1[[#This Row],[14]])-LEN(SUBSTITUTE(Tabela1[[#This Row],[14]],",",""))+1,1),"")</f>
        <v/>
      </c>
      <c r="AN192" t="str">
        <f>IF(Tabela1[[#This Row],[15]]&lt;&gt;"",IF(ISNUMBER(FIND(",",Tabela1[[#This Row],[15]])),LEN(Tabela1[[#This Row],[15]])-LEN(SUBSTITUTE(Tabela1[[#This Row],[15]],",",""))+1,1),"")</f>
        <v/>
      </c>
      <c r="AO192" t="str">
        <f>IF(Tabela1[[#This Row],[16]]&lt;&gt;"",IF(ISNUMBER(FIND(",",Tabela1[[#This Row],[16]])),LEN(Tabela1[[#This Row],[16]])-LEN(SUBSTITUTE(Tabela1[[#This Row],[16]],",",""))+1,1),"")</f>
        <v/>
      </c>
      <c r="AP192" t="str">
        <f>IF(Tabela1[[#This Row],[17]]&lt;&gt;"",IF(ISNUMBER(FIND(",",Tabela1[[#This Row],[17]])),LEN(Tabela1[[#This Row],[17]])-LEN(SUBSTITUTE(Tabela1[[#This Row],[17]],",",""))+1,1),"")</f>
        <v/>
      </c>
      <c r="AQ192" t="str">
        <f>IF(Tabela1[[#This Row],[18]]&lt;&gt;"",IF(ISNUMBER(FIND(",",Tabela1[[#This Row],[18]])),LEN(Tabela1[[#This Row],[18]])-LEN(SUBSTITUTE(Tabela1[[#This Row],[18]],",",""))+1,1),"")</f>
        <v/>
      </c>
      <c r="AR192" s="13" t="str">
        <f>IF(Tabela1[[#This Row],[19_LENGTH]]&lt;&gt;"",IF(ISNUMBER(FIND(",",Tabela1[[#This Row],[19_LENGTH]])),LEN(Tabela1[[#This Row],[19_LENGTH]])-LEN(SUBSTITUTE(Tabela1[[#This Row],[19_LENGTH]],",",""))+1,1),"")</f>
        <v/>
      </c>
      <c r="AS192" s="21">
        <f>SUM(Tabela1[[#This Row],[1_]:[19_]])</f>
        <v>1</v>
      </c>
    </row>
    <row r="193" spans="1:45" x14ac:dyDescent="0.25">
      <c r="A193" s="27" t="s">
        <v>1321</v>
      </c>
      <c r="B193" s="19" t="s">
        <v>397</v>
      </c>
      <c r="C193" s="19">
        <v>62</v>
      </c>
      <c r="D193" s="19" t="s">
        <v>1299</v>
      </c>
      <c r="E193" s="20">
        <v>43455</v>
      </c>
      <c r="F193" s="19"/>
      <c r="G193" s="19"/>
      <c r="H193" s="19"/>
      <c r="I193" s="19"/>
      <c r="J193" s="19">
        <v>32</v>
      </c>
      <c r="K193" s="19"/>
      <c r="L193" s="19"/>
      <c r="M193" s="19"/>
      <c r="N193" s="19"/>
      <c r="O193" s="19"/>
      <c r="P193" s="19"/>
      <c r="Q193" s="19"/>
      <c r="R193" s="19"/>
      <c r="S193" s="19"/>
      <c r="T193" s="19"/>
      <c r="U193" s="19"/>
      <c r="V193" s="19"/>
      <c r="W193" s="19"/>
      <c r="X193" s="19"/>
      <c r="Y193" s="19"/>
      <c r="Z193" t="str">
        <f>IF(Tabela1[[#This Row],[1]]&lt;&gt;"",IF(ISNUMBER(FIND(",",Tabela1[[#This Row],[1]])),LEN(Tabela1[[#This Row],[1]])-LEN(SUBSTITUTE(Tabela1[[#This Row],[1]],",",""))+1,1),"")</f>
        <v/>
      </c>
      <c r="AA193" t="str">
        <f>IF(Tabela1[[#This Row],[2]]&lt;&gt;"",IF(ISNUMBER(FIND(",",Tabela1[[#This Row],[2]])),LEN(Tabela1[[#This Row],[2]])-LEN(SUBSTITUTE(Tabela1[[#This Row],[2]],",",""))+1,1),"")</f>
        <v/>
      </c>
      <c r="AB193" t="str">
        <f>IF(Tabela1[[#This Row],[3]]&lt;&gt;"",IF(ISNUMBER(FIND(",",Tabela1[[#This Row],[3]])),LEN(Tabela1[[#This Row],[3]])-LEN(SUBSTITUTE(Tabela1[[#This Row],[3]],",",""))+1,1),"")</f>
        <v/>
      </c>
      <c r="AC193" t="str">
        <f>IF(Tabela1[[#This Row],[4]]&lt;&gt;"",IF(ISNUMBER(FIND(",",Tabela1[[#This Row],[4]])),LEN(Tabela1[[#This Row],[4]])-LEN(SUBSTITUTE(Tabela1[[#This Row],[4]],",",""))+1,1),"")</f>
        <v/>
      </c>
      <c r="AD193">
        <f>IF(Tabela1[[#This Row],[5]]&lt;&gt;"",IF(ISNUMBER(FIND(",",Tabela1[[#This Row],[5]])),LEN(Tabela1[[#This Row],[5]])-LEN(SUBSTITUTE(Tabela1[[#This Row],[5]],",",""))+1,1),"")</f>
        <v>1</v>
      </c>
      <c r="AE193" t="str">
        <f>IF(Tabela1[[#This Row],[6]]&lt;&gt;"",IF(ISNUMBER(FIND(",",Tabela1[[#This Row],[6]])),LEN(Tabela1[[#This Row],[6]])-LEN(SUBSTITUTE(Tabela1[[#This Row],[6]],",",""))+1,1),"")</f>
        <v/>
      </c>
      <c r="AF193" t="str">
        <f>IF(Tabela1[[#This Row],[7]]&lt;&gt;"",IF(ISNUMBER(FIND(",",Tabela1[[#This Row],[7]])),LEN(Tabela1[[#This Row],[7]])-LEN(SUBSTITUTE(Tabela1[[#This Row],[7]],",",""))+1,1),"")</f>
        <v/>
      </c>
      <c r="AG193" t="str">
        <f>IF(Tabela1[[#This Row],[8]]&lt;&gt;"",IF(ISNUMBER(FIND(",",Tabela1[[#This Row],[8]])),LEN(Tabela1[[#This Row],[8]])-LEN(SUBSTITUTE(Tabela1[[#This Row],[8]],",",""))+1,1),"")</f>
        <v/>
      </c>
      <c r="AH193" t="str">
        <f>IF(Tabela1[[#This Row],[9]]&lt;&gt;"",IF(ISNUMBER(FIND(",",Tabela1[[#This Row],[9]])),LEN(Tabela1[[#This Row],[9]])-LEN(SUBSTITUTE(Tabela1[[#This Row],[9]],",",""))+1,1),"")</f>
        <v/>
      </c>
      <c r="AI193" t="str">
        <f>IF(Tabela1[[#This Row],[10]]&lt;&gt;"",IF(ISNUMBER(FIND(",",Tabela1[[#This Row],[10]])),LEN(Tabela1[[#This Row],[10]])-LEN(SUBSTITUTE(Tabela1[[#This Row],[10]],",",""))+1,1),"")</f>
        <v/>
      </c>
      <c r="AJ193" t="str">
        <f>IF(Tabela1[[#This Row],[11]]&lt;&gt;"",IF(ISNUMBER(FIND(",",Tabela1[[#This Row],[11]])),LEN(Tabela1[[#This Row],[11]])-LEN(SUBSTITUTE(Tabela1[[#This Row],[11]],",",""))+1,1),"")</f>
        <v/>
      </c>
      <c r="AK193" t="str">
        <f>IF(Tabela1[[#This Row],[12]]&lt;&gt;"",IF(ISNUMBER(FIND(",",Tabela1[[#This Row],[12]])),LEN(Tabela1[[#This Row],[12]])-LEN(SUBSTITUTE(Tabela1[[#This Row],[12]],",",""))+1,1),"")</f>
        <v/>
      </c>
      <c r="AL193" t="str">
        <f>IF(Tabela1[[#This Row],[13]]&lt;&gt;"",IF(ISNUMBER(FIND(",",Tabela1[[#This Row],[13]])),LEN(Tabela1[[#This Row],[13]])-LEN(SUBSTITUTE(Tabela1[[#This Row],[13]],",",""))+1,1),"")</f>
        <v/>
      </c>
      <c r="AM193" t="str">
        <f>IF(Tabela1[[#This Row],[14]]&lt;&gt;"",IF(ISNUMBER(FIND(",",Tabela1[[#This Row],[14]])),LEN(Tabela1[[#This Row],[14]])-LEN(SUBSTITUTE(Tabela1[[#This Row],[14]],",",""))+1,1),"")</f>
        <v/>
      </c>
      <c r="AN193" t="str">
        <f>IF(Tabela1[[#This Row],[15]]&lt;&gt;"",IF(ISNUMBER(FIND(",",Tabela1[[#This Row],[15]])),LEN(Tabela1[[#This Row],[15]])-LEN(SUBSTITUTE(Tabela1[[#This Row],[15]],",",""))+1,1),"")</f>
        <v/>
      </c>
      <c r="AO193" t="str">
        <f>IF(Tabela1[[#This Row],[16]]&lt;&gt;"",IF(ISNUMBER(FIND(",",Tabela1[[#This Row],[16]])),LEN(Tabela1[[#This Row],[16]])-LEN(SUBSTITUTE(Tabela1[[#This Row],[16]],",",""))+1,1),"")</f>
        <v/>
      </c>
      <c r="AP193" t="str">
        <f>IF(Tabela1[[#This Row],[17]]&lt;&gt;"",IF(ISNUMBER(FIND(",",Tabela1[[#This Row],[17]])),LEN(Tabela1[[#This Row],[17]])-LEN(SUBSTITUTE(Tabela1[[#This Row],[17]],",",""))+1,1),"")</f>
        <v/>
      </c>
      <c r="AQ193" t="str">
        <f>IF(Tabela1[[#This Row],[18]]&lt;&gt;"",IF(ISNUMBER(FIND(",",Tabela1[[#This Row],[18]])),LEN(Tabela1[[#This Row],[18]])-LEN(SUBSTITUTE(Tabela1[[#This Row],[18]],",",""))+1,1),"")</f>
        <v/>
      </c>
      <c r="AR193" s="13" t="str">
        <f>IF(Tabela1[[#This Row],[19_LENGTH]]&lt;&gt;"",IF(ISNUMBER(FIND(",",Tabela1[[#This Row],[19_LENGTH]])),LEN(Tabela1[[#This Row],[19_LENGTH]])-LEN(SUBSTITUTE(Tabela1[[#This Row],[19_LENGTH]],",",""))+1,1),"")</f>
        <v/>
      </c>
      <c r="AS193" s="21">
        <f>SUM(Tabela1[[#This Row],[1_]:[19_]])</f>
        <v>1</v>
      </c>
    </row>
    <row r="194" spans="1:45" x14ac:dyDescent="0.25">
      <c r="A194" s="27" t="s">
        <v>1321</v>
      </c>
      <c r="B194" s="19" t="s">
        <v>398</v>
      </c>
      <c r="C194" s="19">
        <v>102</v>
      </c>
      <c r="D194" s="19" t="s">
        <v>1306</v>
      </c>
      <c r="E194" s="20">
        <v>43455</v>
      </c>
      <c r="F194" s="19"/>
      <c r="G194" s="19" t="s">
        <v>77</v>
      </c>
      <c r="H194" s="19"/>
      <c r="I194" s="19"/>
      <c r="J194" s="19"/>
      <c r="K194" s="19"/>
      <c r="L194" s="19"/>
      <c r="M194" s="19"/>
      <c r="N194" s="19"/>
      <c r="O194" s="19"/>
      <c r="P194" s="19"/>
      <c r="Q194" s="19"/>
      <c r="R194" s="19"/>
      <c r="S194" s="19"/>
      <c r="T194" s="19"/>
      <c r="U194" s="19">
        <v>25</v>
      </c>
      <c r="V194" s="19"/>
      <c r="W194" s="19"/>
      <c r="X194" s="19"/>
      <c r="Y194" s="19"/>
      <c r="Z194" t="str">
        <f>IF(Tabela1[[#This Row],[1]]&lt;&gt;"",IF(ISNUMBER(FIND(",",Tabela1[[#This Row],[1]])),LEN(Tabela1[[#This Row],[1]])-LEN(SUBSTITUTE(Tabela1[[#This Row],[1]],",",""))+1,1),"")</f>
        <v/>
      </c>
      <c r="AA194">
        <f>IF(Tabela1[[#This Row],[2]]&lt;&gt;"",IF(ISNUMBER(FIND(",",Tabela1[[#This Row],[2]])),LEN(Tabela1[[#This Row],[2]])-LEN(SUBSTITUTE(Tabela1[[#This Row],[2]],",",""))+1,1),"")</f>
        <v>2</v>
      </c>
      <c r="AB194" t="str">
        <f>IF(Tabela1[[#This Row],[3]]&lt;&gt;"",IF(ISNUMBER(FIND(",",Tabela1[[#This Row],[3]])),LEN(Tabela1[[#This Row],[3]])-LEN(SUBSTITUTE(Tabela1[[#This Row],[3]],",",""))+1,1),"")</f>
        <v/>
      </c>
      <c r="AC194" t="str">
        <f>IF(Tabela1[[#This Row],[4]]&lt;&gt;"",IF(ISNUMBER(FIND(",",Tabela1[[#This Row],[4]])),LEN(Tabela1[[#This Row],[4]])-LEN(SUBSTITUTE(Tabela1[[#This Row],[4]],",",""))+1,1),"")</f>
        <v/>
      </c>
      <c r="AD194" t="str">
        <f>IF(Tabela1[[#This Row],[5]]&lt;&gt;"",IF(ISNUMBER(FIND(",",Tabela1[[#This Row],[5]])),LEN(Tabela1[[#This Row],[5]])-LEN(SUBSTITUTE(Tabela1[[#This Row],[5]],",",""))+1,1),"")</f>
        <v/>
      </c>
      <c r="AE194" t="str">
        <f>IF(Tabela1[[#This Row],[6]]&lt;&gt;"",IF(ISNUMBER(FIND(",",Tabela1[[#This Row],[6]])),LEN(Tabela1[[#This Row],[6]])-LEN(SUBSTITUTE(Tabela1[[#This Row],[6]],",",""))+1,1),"")</f>
        <v/>
      </c>
      <c r="AF194" t="str">
        <f>IF(Tabela1[[#This Row],[7]]&lt;&gt;"",IF(ISNUMBER(FIND(",",Tabela1[[#This Row],[7]])),LEN(Tabela1[[#This Row],[7]])-LEN(SUBSTITUTE(Tabela1[[#This Row],[7]],",",""))+1,1),"")</f>
        <v/>
      </c>
      <c r="AG194" t="str">
        <f>IF(Tabela1[[#This Row],[8]]&lt;&gt;"",IF(ISNUMBER(FIND(",",Tabela1[[#This Row],[8]])),LEN(Tabela1[[#This Row],[8]])-LEN(SUBSTITUTE(Tabela1[[#This Row],[8]],",",""))+1,1),"")</f>
        <v/>
      </c>
      <c r="AH194" t="str">
        <f>IF(Tabela1[[#This Row],[9]]&lt;&gt;"",IF(ISNUMBER(FIND(",",Tabela1[[#This Row],[9]])),LEN(Tabela1[[#This Row],[9]])-LEN(SUBSTITUTE(Tabela1[[#This Row],[9]],",",""))+1,1),"")</f>
        <v/>
      </c>
      <c r="AI194" t="str">
        <f>IF(Tabela1[[#This Row],[10]]&lt;&gt;"",IF(ISNUMBER(FIND(",",Tabela1[[#This Row],[10]])),LEN(Tabela1[[#This Row],[10]])-LEN(SUBSTITUTE(Tabela1[[#This Row],[10]],",",""))+1,1),"")</f>
        <v/>
      </c>
      <c r="AJ194" t="str">
        <f>IF(Tabela1[[#This Row],[11]]&lt;&gt;"",IF(ISNUMBER(FIND(",",Tabela1[[#This Row],[11]])),LEN(Tabela1[[#This Row],[11]])-LEN(SUBSTITUTE(Tabela1[[#This Row],[11]],",",""))+1,1),"")</f>
        <v/>
      </c>
      <c r="AK194" t="str">
        <f>IF(Tabela1[[#This Row],[12]]&lt;&gt;"",IF(ISNUMBER(FIND(",",Tabela1[[#This Row],[12]])),LEN(Tabela1[[#This Row],[12]])-LEN(SUBSTITUTE(Tabela1[[#This Row],[12]],",",""))+1,1),"")</f>
        <v/>
      </c>
      <c r="AL194" t="str">
        <f>IF(Tabela1[[#This Row],[13]]&lt;&gt;"",IF(ISNUMBER(FIND(",",Tabela1[[#This Row],[13]])),LEN(Tabela1[[#This Row],[13]])-LEN(SUBSTITUTE(Tabela1[[#This Row],[13]],",",""))+1,1),"")</f>
        <v/>
      </c>
      <c r="AM194" t="str">
        <f>IF(Tabela1[[#This Row],[14]]&lt;&gt;"",IF(ISNUMBER(FIND(",",Tabela1[[#This Row],[14]])),LEN(Tabela1[[#This Row],[14]])-LEN(SUBSTITUTE(Tabela1[[#This Row],[14]],",",""))+1,1),"")</f>
        <v/>
      </c>
      <c r="AN194" t="str">
        <f>IF(Tabela1[[#This Row],[15]]&lt;&gt;"",IF(ISNUMBER(FIND(",",Tabela1[[#This Row],[15]])),LEN(Tabela1[[#This Row],[15]])-LEN(SUBSTITUTE(Tabela1[[#This Row],[15]],",",""))+1,1),"")</f>
        <v/>
      </c>
      <c r="AO194">
        <f>IF(Tabela1[[#This Row],[16]]&lt;&gt;"",IF(ISNUMBER(FIND(",",Tabela1[[#This Row],[16]])),LEN(Tabela1[[#This Row],[16]])-LEN(SUBSTITUTE(Tabela1[[#This Row],[16]],",",""))+1,1),"")</f>
        <v>1</v>
      </c>
      <c r="AP194" t="str">
        <f>IF(Tabela1[[#This Row],[17]]&lt;&gt;"",IF(ISNUMBER(FIND(",",Tabela1[[#This Row],[17]])),LEN(Tabela1[[#This Row],[17]])-LEN(SUBSTITUTE(Tabela1[[#This Row],[17]],",",""))+1,1),"")</f>
        <v/>
      </c>
      <c r="AQ194" t="str">
        <f>IF(Tabela1[[#This Row],[18]]&lt;&gt;"",IF(ISNUMBER(FIND(",",Tabela1[[#This Row],[18]])),LEN(Tabela1[[#This Row],[18]])-LEN(SUBSTITUTE(Tabela1[[#This Row],[18]],",",""))+1,1),"")</f>
        <v/>
      </c>
      <c r="AR194" s="13" t="str">
        <f>IF(Tabela1[[#This Row],[19_LENGTH]]&lt;&gt;"",IF(ISNUMBER(FIND(",",Tabela1[[#This Row],[19_LENGTH]])),LEN(Tabela1[[#This Row],[19_LENGTH]])-LEN(SUBSTITUTE(Tabela1[[#This Row],[19_LENGTH]],",",""))+1,1),"")</f>
        <v/>
      </c>
      <c r="AS194" s="21">
        <f>SUM(Tabela1[[#This Row],[1_]:[19_]])</f>
        <v>3</v>
      </c>
    </row>
    <row r="195" spans="1:45" x14ac:dyDescent="0.25">
      <c r="A195" s="27" t="s">
        <v>1321</v>
      </c>
      <c r="B195" s="19" t="s">
        <v>399</v>
      </c>
      <c r="C195" s="19">
        <v>102</v>
      </c>
      <c r="D195" s="19" t="s">
        <v>1306</v>
      </c>
      <c r="E195" s="20">
        <v>43455</v>
      </c>
      <c r="F195" s="19"/>
      <c r="G195" s="19"/>
      <c r="H195" s="19"/>
      <c r="I195" s="19"/>
      <c r="J195" s="19">
        <v>15</v>
      </c>
      <c r="K195" s="19"/>
      <c r="L195" s="19"/>
      <c r="M195" s="19"/>
      <c r="N195" s="19"/>
      <c r="O195" s="19"/>
      <c r="P195" s="19"/>
      <c r="Q195" s="19"/>
      <c r="R195" s="19"/>
      <c r="S195" s="19"/>
      <c r="T195" s="19"/>
      <c r="U195" s="19"/>
      <c r="V195" s="19"/>
      <c r="W195" s="19"/>
      <c r="X195" s="19"/>
      <c r="Y195" s="19"/>
      <c r="Z195" t="str">
        <f>IF(Tabela1[[#This Row],[1]]&lt;&gt;"",IF(ISNUMBER(FIND(",",Tabela1[[#This Row],[1]])),LEN(Tabela1[[#This Row],[1]])-LEN(SUBSTITUTE(Tabela1[[#This Row],[1]],",",""))+1,1),"")</f>
        <v/>
      </c>
      <c r="AA195" t="str">
        <f>IF(Tabela1[[#This Row],[2]]&lt;&gt;"",IF(ISNUMBER(FIND(",",Tabela1[[#This Row],[2]])),LEN(Tabela1[[#This Row],[2]])-LEN(SUBSTITUTE(Tabela1[[#This Row],[2]],",",""))+1,1),"")</f>
        <v/>
      </c>
      <c r="AB195" t="str">
        <f>IF(Tabela1[[#This Row],[3]]&lt;&gt;"",IF(ISNUMBER(FIND(",",Tabela1[[#This Row],[3]])),LEN(Tabela1[[#This Row],[3]])-LEN(SUBSTITUTE(Tabela1[[#This Row],[3]],",",""))+1,1),"")</f>
        <v/>
      </c>
      <c r="AC195" t="str">
        <f>IF(Tabela1[[#This Row],[4]]&lt;&gt;"",IF(ISNUMBER(FIND(",",Tabela1[[#This Row],[4]])),LEN(Tabela1[[#This Row],[4]])-LEN(SUBSTITUTE(Tabela1[[#This Row],[4]],",",""))+1,1),"")</f>
        <v/>
      </c>
      <c r="AD195">
        <f>IF(Tabela1[[#This Row],[5]]&lt;&gt;"",IF(ISNUMBER(FIND(",",Tabela1[[#This Row],[5]])),LEN(Tabela1[[#This Row],[5]])-LEN(SUBSTITUTE(Tabela1[[#This Row],[5]],",",""))+1,1),"")</f>
        <v>1</v>
      </c>
      <c r="AE195" t="str">
        <f>IF(Tabela1[[#This Row],[6]]&lt;&gt;"",IF(ISNUMBER(FIND(",",Tabela1[[#This Row],[6]])),LEN(Tabela1[[#This Row],[6]])-LEN(SUBSTITUTE(Tabela1[[#This Row],[6]],",",""))+1,1),"")</f>
        <v/>
      </c>
      <c r="AF195" t="str">
        <f>IF(Tabela1[[#This Row],[7]]&lt;&gt;"",IF(ISNUMBER(FIND(",",Tabela1[[#This Row],[7]])),LEN(Tabela1[[#This Row],[7]])-LEN(SUBSTITUTE(Tabela1[[#This Row],[7]],",",""))+1,1),"")</f>
        <v/>
      </c>
      <c r="AG195" t="str">
        <f>IF(Tabela1[[#This Row],[8]]&lt;&gt;"",IF(ISNUMBER(FIND(",",Tabela1[[#This Row],[8]])),LEN(Tabela1[[#This Row],[8]])-LEN(SUBSTITUTE(Tabela1[[#This Row],[8]],",",""))+1,1),"")</f>
        <v/>
      </c>
      <c r="AH195" t="str">
        <f>IF(Tabela1[[#This Row],[9]]&lt;&gt;"",IF(ISNUMBER(FIND(",",Tabela1[[#This Row],[9]])),LEN(Tabela1[[#This Row],[9]])-LEN(SUBSTITUTE(Tabela1[[#This Row],[9]],",",""))+1,1),"")</f>
        <v/>
      </c>
      <c r="AI195" t="str">
        <f>IF(Tabela1[[#This Row],[10]]&lt;&gt;"",IF(ISNUMBER(FIND(",",Tabela1[[#This Row],[10]])),LEN(Tabela1[[#This Row],[10]])-LEN(SUBSTITUTE(Tabela1[[#This Row],[10]],",",""))+1,1),"")</f>
        <v/>
      </c>
      <c r="AJ195" t="str">
        <f>IF(Tabela1[[#This Row],[11]]&lt;&gt;"",IF(ISNUMBER(FIND(",",Tabela1[[#This Row],[11]])),LEN(Tabela1[[#This Row],[11]])-LEN(SUBSTITUTE(Tabela1[[#This Row],[11]],",",""))+1,1),"")</f>
        <v/>
      </c>
      <c r="AK195" t="str">
        <f>IF(Tabela1[[#This Row],[12]]&lt;&gt;"",IF(ISNUMBER(FIND(",",Tabela1[[#This Row],[12]])),LEN(Tabela1[[#This Row],[12]])-LEN(SUBSTITUTE(Tabela1[[#This Row],[12]],",",""))+1,1),"")</f>
        <v/>
      </c>
      <c r="AL195" t="str">
        <f>IF(Tabela1[[#This Row],[13]]&lt;&gt;"",IF(ISNUMBER(FIND(",",Tabela1[[#This Row],[13]])),LEN(Tabela1[[#This Row],[13]])-LEN(SUBSTITUTE(Tabela1[[#This Row],[13]],",",""))+1,1),"")</f>
        <v/>
      </c>
      <c r="AM195" t="str">
        <f>IF(Tabela1[[#This Row],[14]]&lt;&gt;"",IF(ISNUMBER(FIND(",",Tabela1[[#This Row],[14]])),LEN(Tabela1[[#This Row],[14]])-LEN(SUBSTITUTE(Tabela1[[#This Row],[14]],",",""))+1,1),"")</f>
        <v/>
      </c>
      <c r="AN195" t="str">
        <f>IF(Tabela1[[#This Row],[15]]&lt;&gt;"",IF(ISNUMBER(FIND(",",Tabela1[[#This Row],[15]])),LEN(Tabela1[[#This Row],[15]])-LEN(SUBSTITUTE(Tabela1[[#This Row],[15]],",",""))+1,1),"")</f>
        <v/>
      </c>
      <c r="AO195" t="str">
        <f>IF(Tabela1[[#This Row],[16]]&lt;&gt;"",IF(ISNUMBER(FIND(",",Tabela1[[#This Row],[16]])),LEN(Tabela1[[#This Row],[16]])-LEN(SUBSTITUTE(Tabela1[[#This Row],[16]],",",""))+1,1),"")</f>
        <v/>
      </c>
      <c r="AP195" t="str">
        <f>IF(Tabela1[[#This Row],[17]]&lt;&gt;"",IF(ISNUMBER(FIND(",",Tabela1[[#This Row],[17]])),LEN(Tabela1[[#This Row],[17]])-LEN(SUBSTITUTE(Tabela1[[#This Row],[17]],",",""))+1,1),"")</f>
        <v/>
      </c>
      <c r="AQ195" t="str">
        <f>IF(Tabela1[[#This Row],[18]]&lt;&gt;"",IF(ISNUMBER(FIND(",",Tabela1[[#This Row],[18]])),LEN(Tabela1[[#This Row],[18]])-LEN(SUBSTITUTE(Tabela1[[#This Row],[18]],",",""))+1,1),"")</f>
        <v/>
      </c>
      <c r="AR195" s="13" t="str">
        <f>IF(Tabela1[[#This Row],[19_LENGTH]]&lt;&gt;"",IF(ISNUMBER(FIND(",",Tabela1[[#This Row],[19_LENGTH]])),LEN(Tabela1[[#This Row],[19_LENGTH]])-LEN(SUBSTITUTE(Tabela1[[#This Row],[19_LENGTH]],",",""))+1,1),"")</f>
        <v/>
      </c>
      <c r="AS195" s="21">
        <f>SUM(Tabela1[[#This Row],[1_]:[19_]])</f>
        <v>1</v>
      </c>
    </row>
    <row r="196" spans="1:45" x14ac:dyDescent="0.25">
      <c r="A196" s="27" t="s">
        <v>1321</v>
      </c>
      <c r="B196" s="19" t="s">
        <v>400</v>
      </c>
      <c r="C196" s="19">
        <v>102</v>
      </c>
      <c r="D196" s="19" t="s">
        <v>1306</v>
      </c>
      <c r="E196" s="20">
        <v>43455</v>
      </c>
      <c r="F196" s="19"/>
      <c r="G196" s="19"/>
      <c r="H196" s="19"/>
      <c r="I196" s="19" t="s">
        <v>78</v>
      </c>
      <c r="J196" s="19"/>
      <c r="K196" s="19"/>
      <c r="L196" s="19"/>
      <c r="M196" s="19"/>
      <c r="N196" s="19"/>
      <c r="O196" s="19"/>
      <c r="P196" s="19"/>
      <c r="Q196" s="19"/>
      <c r="R196" s="19"/>
      <c r="S196" s="19"/>
      <c r="T196" s="19"/>
      <c r="U196" s="19">
        <v>25</v>
      </c>
      <c r="V196" s="19"/>
      <c r="W196" s="19"/>
      <c r="X196" s="19"/>
      <c r="Y196" s="19"/>
      <c r="Z196" t="str">
        <f>IF(Tabela1[[#This Row],[1]]&lt;&gt;"",IF(ISNUMBER(FIND(",",Tabela1[[#This Row],[1]])),LEN(Tabela1[[#This Row],[1]])-LEN(SUBSTITUTE(Tabela1[[#This Row],[1]],",",""))+1,1),"")</f>
        <v/>
      </c>
      <c r="AA196" t="str">
        <f>IF(Tabela1[[#This Row],[2]]&lt;&gt;"",IF(ISNUMBER(FIND(",",Tabela1[[#This Row],[2]])),LEN(Tabela1[[#This Row],[2]])-LEN(SUBSTITUTE(Tabela1[[#This Row],[2]],",",""))+1,1),"")</f>
        <v/>
      </c>
      <c r="AB196" t="str">
        <f>IF(Tabela1[[#This Row],[3]]&lt;&gt;"",IF(ISNUMBER(FIND(",",Tabela1[[#This Row],[3]])),LEN(Tabela1[[#This Row],[3]])-LEN(SUBSTITUTE(Tabela1[[#This Row],[3]],",",""))+1,1),"")</f>
        <v/>
      </c>
      <c r="AC196">
        <f>IF(Tabela1[[#This Row],[4]]&lt;&gt;"",IF(ISNUMBER(FIND(",",Tabela1[[#This Row],[4]])),LEN(Tabela1[[#This Row],[4]])-LEN(SUBSTITUTE(Tabela1[[#This Row],[4]],",",""))+1,1),"")</f>
        <v>3</v>
      </c>
      <c r="AD196" t="str">
        <f>IF(Tabela1[[#This Row],[5]]&lt;&gt;"",IF(ISNUMBER(FIND(",",Tabela1[[#This Row],[5]])),LEN(Tabela1[[#This Row],[5]])-LEN(SUBSTITUTE(Tabela1[[#This Row],[5]],",",""))+1,1),"")</f>
        <v/>
      </c>
      <c r="AE196" t="str">
        <f>IF(Tabela1[[#This Row],[6]]&lt;&gt;"",IF(ISNUMBER(FIND(",",Tabela1[[#This Row],[6]])),LEN(Tabela1[[#This Row],[6]])-LEN(SUBSTITUTE(Tabela1[[#This Row],[6]],",",""))+1,1),"")</f>
        <v/>
      </c>
      <c r="AF196" t="str">
        <f>IF(Tabela1[[#This Row],[7]]&lt;&gt;"",IF(ISNUMBER(FIND(",",Tabela1[[#This Row],[7]])),LEN(Tabela1[[#This Row],[7]])-LEN(SUBSTITUTE(Tabela1[[#This Row],[7]],",",""))+1,1),"")</f>
        <v/>
      </c>
      <c r="AG196" t="str">
        <f>IF(Tabela1[[#This Row],[8]]&lt;&gt;"",IF(ISNUMBER(FIND(",",Tabela1[[#This Row],[8]])),LEN(Tabela1[[#This Row],[8]])-LEN(SUBSTITUTE(Tabela1[[#This Row],[8]],",",""))+1,1),"")</f>
        <v/>
      </c>
      <c r="AH196" t="str">
        <f>IF(Tabela1[[#This Row],[9]]&lt;&gt;"",IF(ISNUMBER(FIND(",",Tabela1[[#This Row],[9]])),LEN(Tabela1[[#This Row],[9]])-LEN(SUBSTITUTE(Tabela1[[#This Row],[9]],",",""))+1,1),"")</f>
        <v/>
      </c>
      <c r="AI196" t="str">
        <f>IF(Tabela1[[#This Row],[10]]&lt;&gt;"",IF(ISNUMBER(FIND(",",Tabela1[[#This Row],[10]])),LEN(Tabela1[[#This Row],[10]])-LEN(SUBSTITUTE(Tabela1[[#This Row],[10]],",",""))+1,1),"")</f>
        <v/>
      </c>
      <c r="AJ196" t="str">
        <f>IF(Tabela1[[#This Row],[11]]&lt;&gt;"",IF(ISNUMBER(FIND(",",Tabela1[[#This Row],[11]])),LEN(Tabela1[[#This Row],[11]])-LEN(SUBSTITUTE(Tabela1[[#This Row],[11]],",",""))+1,1),"")</f>
        <v/>
      </c>
      <c r="AK196" t="str">
        <f>IF(Tabela1[[#This Row],[12]]&lt;&gt;"",IF(ISNUMBER(FIND(",",Tabela1[[#This Row],[12]])),LEN(Tabela1[[#This Row],[12]])-LEN(SUBSTITUTE(Tabela1[[#This Row],[12]],",",""))+1,1),"")</f>
        <v/>
      </c>
      <c r="AL196" t="str">
        <f>IF(Tabela1[[#This Row],[13]]&lt;&gt;"",IF(ISNUMBER(FIND(",",Tabela1[[#This Row],[13]])),LEN(Tabela1[[#This Row],[13]])-LEN(SUBSTITUTE(Tabela1[[#This Row],[13]],",",""))+1,1),"")</f>
        <v/>
      </c>
      <c r="AM196" t="str">
        <f>IF(Tabela1[[#This Row],[14]]&lt;&gt;"",IF(ISNUMBER(FIND(",",Tabela1[[#This Row],[14]])),LEN(Tabela1[[#This Row],[14]])-LEN(SUBSTITUTE(Tabela1[[#This Row],[14]],",",""))+1,1),"")</f>
        <v/>
      </c>
      <c r="AN196" t="str">
        <f>IF(Tabela1[[#This Row],[15]]&lt;&gt;"",IF(ISNUMBER(FIND(",",Tabela1[[#This Row],[15]])),LEN(Tabela1[[#This Row],[15]])-LEN(SUBSTITUTE(Tabela1[[#This Row],[15]],",",""))+1,1),"")</f>
        <v/>
      </c>
      <c r="AO196">
        <f>IF(Tabela1[[#This Row],[16]]&lt;&gt;"",IF(ISNUMBER(FIND(",",Tabela1[[#This Row],[16]])),LEN(Tabela1[[#This Row],[16]])-LEN(SUBSTITUTE(Tabela1[[#This Row],[16]],",",""))+1,1),"")</f>
        <v>1</v>
      </c>
      <c r="AP196" t="str">
        <f>IF(Tabela1[[#This Row],[17]]&lt;&gt;"",IF(ISNUMBER(FIND(",",Tabela1[[#This Row],[17]])),LEN(Tabela1[[#This Row],[17]])-LEN(SUBSTITUTE(Tabela1[[#This Row],[17]],",",""))+1,1),"")</f>
        <v/>
      </c>
      <c r="AQ196" t="str">
        <f>IF(Tabela1[[#This Row],[18]]&lt;&gt;"",IF(ISNUMBER(FIND(",",Tabela1[[#This Row],[18]])),LEN(Tabela1[[#This Row],[18]])-LEN(SUBSTITUTE(Tabela1[[#This Row],[18]],",",""))+1,1),"")</f>
        <v/>
      </c>
      <c r="AR196" s="13" t="str">
        <f>IF(Tabela1[[#This Row],[19_LENGTH]]&lt;&gt;"",IF(ISNUMBER(FIND(",",Tabela1[[#This Row],[19_LENGTH]])),LEN(Tabela1[[#This Row],[19_LENGTH]])-LEN(SUBSTITUTE(Tabela1[[#This Row],[19_LENGTH]],",",""))+1,1),"")</f>
        <v/>
      </c>
      <c r="AS196" s="21">
        <f>SUM(Tabela1[[#This Row],[1_]:[19_]])</f>
        <v>4</v>
      </c>
    </row>
    <row r="197" spans="1:45" x14ac:dyDescent="0.25">
      <c r="A197" s="27" t="s">
        <v>1321</v>
      </c>
      <c r="B197" s="19" t="s">
        <v>401</v>
      </c>
      <c r="C197" s="19">
        <v>102</v>
      </c>
      <c r="D197" s="19" t="s">
        <v>1306</v>
      </c>
      <c r="E197" s="20">
        <v>43455</v>
      </c>
      <c r="F197" s="19"/>
      <c r="G197" s="19"/>
      <c r="H197" s="19"/>
      <c r="I197" s="19" t="s">
        <v>79</v>
      </c>
      <c r="J197" s="19"/>
      <c r="K197" s="19"/>
      <c r="L197" s="19"/>
      <c r="M197" s="19"/>
      <c r="N197" s="19"/>
      <c r="O197" s="19"/>
      <c r="P197" s="19"/>
      <c r="Q197" s="19"/>
      <c r="R197" s="19"/>
      <c r="S197" s="19"/>
      <c r="T197" s="19"/>
      <c r="U197" s="19">
        <v>69</v>
      </c>
      <c r="V197" s="19">
        <v>78</v>
      </c>
      <c r="W197" s="19"/>
      <c r="X197" s="19"/>
      <c r="Y197" s="19"/>
      <c r="Z197" t="str">
        <f>IF(Tabela1[[#This Row],[1]]&lt;&gt;"",IF(ISNUMBER(FIND(",",Tabela1[[#This Row],[1]])),LEN(Tabela1[[#This Row],[1]])-LEN(SUBSTITUTE(Tabela1[[#This Row],[1]],",",""))+1,1),"")</f>
        <v/>
      </c>
      <c r="AA197" t="str">
        <f>IF(Tabela1[[#This Row],[2]]&lt;&gt;"",IF(ISNUMBER(FIND(",",Tabela1[[#This Row],[2]])),LEN(Tabela1[[#This Row],[2]])-LEN(SUBSTITUTE(Tabela1[[#This Row],[2]],",",""))+1,1),"")</f>
        <v/>
      </c>
      <c r="AB197" t="str">
        <f>IF(Tabela1[[#This Row],[3]]&lt;&gt;"",IF(ISNUMBER(FIND(",",Tabela1[[#This Row],[3]])),LEN(Tabela1[[#This Row],[3]])-LEN(SUBSTITUTE(Tabela1[[#This Row],[3]],",",""))+1,1),"")</f>
        <v/>
      </c>
      <c r="AC197">
        <f>IF(Tabela1[[#This Row],[4]]&lt;&gt;"",IF(ISNUMBER(FIND(",",Tabela1[[#This Row],[4]])),LEN(Tabela1[[#This Row],[4]])-LEN(SUBSTITUTE(Tabela1[[#This Row],[4]],",",""))+1,1),"")</f>
        <v>2</v>
      </c>
      <c r="AD197" t="str">
        <f>IF(Tabela1[[#This Row],[5]]&lt;&gt;"",IF(ISNUMBER(FIND(",",Tabela1[[#This Row],[5]])),LEN(Tabela1[[#This Row],[5]])-LEN(SUBSTITUTE(Tabela1[[#This Row],[5]],",",""))+1,1),"")</f>
        <v/>
      </c>
      <c r="AE197" t="str">
        <f>IF(Tabela1[[#This Row],[6]]&lt;&gt;"",IF(ISNUMBER(FIND(",",Tabela1[[#This Row],[6]])),LEN(Tabela1[[#This Row],[6]])-LEN(SUBSTITUTE(Tabela1[[#This Row],[6]],",",""))+1,1),"")</f>
        <v/>
      </c>
      <c r="AF197" t="str">
        <f>IF(Tabela1[[#This Row],[7]]&lt;&gt;"",IF(ISNUMBER(FIND(",",Tabela1[[#This Row],[7]])),LEN(Tabela1[[#This Row],[7]])-LEN(SUBSTITUTE(Tabela1[[#This Row],[7]],",",""))+1,1),"")</f>
        <v/>
      </c>
      <c r="AG197" t="str">
        <f>IF(Tabela1[[#This Row],[8]]&lt;&gt;"",IF(ISNUMBER(FIND(",",Tabela1[[#This Row],[8]])),LEN(Tabela1[[#This Row],[8]])-LEN(SUBSTITUTE(Tabela1[[#This Row],[8]],",",""))+1,1),"")</f>
        <v/>
      </c>
      <c r="AH197" t="str">
        <f>IF(Tabela1[[#This Row],[9]]&lt;&gt;"",IF(ISNUMBER(FIND(",",Tabela1[[#This Row],[9]])),LEN(Tabela1[[#This Row],[9]])-LEN(SUBSTITUTE(Tabela1[[#This Row],[9]],",",""))+1,1),"")</f>
        <v/>
      </c>
      <c r="AI197" t="str">
        <f>IF(Tabela1[[#This Row],[10]]&lt;&gt;"",IF(ISNUMBER(FIND(",",Tabela1[[#This Row],[10]])),LEN(Tabela1[[#This Row],[10]])-LEN(SUBSTITUTE(Tabela1[[#This Row],[10]],",",""))+1,1),"")</f>
        <v/>
      </c>
      <c r="AJ197" t="str">
        <f>IF(Tabela1[[#This Row],[11]]&lt;&gt;"",IF(ISNUMBER(FIND(",",Tabela1[[#This Row],[11]])),LEN(Tabela1[[#This Row],[11]])-LEN(SUBSTITUTE(Tabela1[[#This Row],[11]],",",""))+1,1),"")</f>
        <v/>
      </c>
      <c r="AK197" t="str">
        <f>IF(Tabela1[[#This Row],[12]]&lt;&gt;"",IF(ISNUMBER(FIND(",",Tabela1[[#This Row],[12]])),LEN(Tabela1[[#This Row],[12]])-LEN(SUBSTITUTE(Tabela1[[#This Row],[12]],",",""))+1,1),"")</f>
        <v/>
      </c>
      <c r="AL197" t="str">
        <f>IF(Tabela1[[#This Row],[13]]&lt;&gt;"",IF(ISNUMBER(FIND(",",Tabela1[[#This Row],[13]])),LEN(Tabela1[[#This Row],[13]])-LEN(SUBSTITUTE(Tabela1[[#This Row],[13]],",",""))+1,1),"")</f>
        <v/>
      </c>
      <c r="AM197" t="str">
        <f>IF(Tabela1[[#This Row],[14]]&lt;&gt;"",IF(ISNUMBER(FIND(",",Tabela1[[#This Row],[14]])),LEN(Tabela1[[#This Row],[14]])-LEN(SUBSTITUTE(Tabela1[[#This Row],[14]],",",""))+1,1),"")</f>
        <v/>
      </c>
      <c r="AN197" t="str">
        <f>IF(Tabela1[[#This Row],[15]]&lt;&gt;"",IF(ISNUMBER(FIND(",",Tabela1[[#This Row],[15]])),LEN(Tabela1[[#This Row],[15]])-LEN(SUBSTITUTE(Tabela1[[#This Row],[15]],",",""))+1,1),"")</f>
        <v/>
      </c>
      <c r="AO197">
        <f>IF(Tabela1[[#This Row],[16]]&lt;&gt;"",IF(ISNUMBER(FIND(",",Tabela1[[#This Row],[16]])),LEN(Tabela1[[#This Row],[16]])-LEN(SUBSTITUTE(Tabela1[[#This Row],[16]],",",""))+1,1),"")</f>
        <v>1</v>
      </c>
      <c r="AP197">
        <f>IF(Tabela1[[#This Row],[17]]&lt;&gt;"",IF(ISNUMBER(FIND(",",Tabela1[[#This Row],[17]])),LEN(Tabela1[[#This Row],[17]])-LEN(SUBSTITUTE(Tabela1[[#This Row],[17]],",",""))+1,1),"")</f>
        <v>1</v>
      </c>
      <c r="AQ197" t="str">
        <f>IF(Tabela1[[#This Row],[18]]&lt;&gt;"",IF(ISNUMBER(FIND(",",Tabela1[[#This Row],[18]])),LEN(Tabela1[[#This Row],[18]])-LEN(SUBSTITUTE(Tabela1[[#This Row],[18]],",",""))+1,1),"")</f>
        <v/>
      </c>
      <c r="AR197" s="13" t="str">
        <f>IF(Tabela1[[#This Row],[19_LENGTH]]&lt;&gt;"",IF(ISNUMBER(FIND(",",Tabela1[[#This Row],[19_LENGTH]])),LEN(Tabela1[[#This Row],[19_LENGTH]])-LEN(SUBSTITUTE(Tabela1[[#This Row],[19_LENGTH]],",",""))+1,1),"")</f>
        <v/>
      </c>
      <c r="AS197" s="21">
        <f>SUM(Tabela1[[#This Row],[1_]:[19_]])</f>
        <v>4</v>
      </c>
    </row>
    <row r="198" spans="1:45" x14ac:dyDescent="0.25">
      <c r="A198" s="27" t="s">
        <v>1322</v>
      </c>
      <c r="B198" s="19" t="s">
        <v>402</v>
      </c>
      <c r="C198" s="19">
        <v>202</v>
      </c>
      <c r="D198" s="19" t="s">
        <v>1296</v>
      </c>
      <c r="E198" s="20">
        <v>43482</v>
      </c>
      <c r="F198" s="19"/>
      <c r="G198" s="19"/>
      <c r="H198" s="19"/>
      <c r="I198" s="19"/>
      <c r="J198" s="19">
        <v>134</v>
      </c>
      <c r="K198" s="19"/>
      <c r="L198" s="19"/>
      <c r="M198" s="19"/>
      <c r="N198" s="19"/>
      <c r="O198" s="19"/>
      <c r="P198" s="19"/>
      <c r="Q198" s="19"/>
      <c r="R198" s="19"/>
      <c r="S198" s="19"/>
      <c r="T198" s="19"/>
      <c r="U198" s="19"/>
      <c r="V198" s="19"/>
      <c r="W198" s="19"/>
      <c r="X198" s="19"/>
      <c r="Y198" s="19"/>
      <c r="Z198" t="str">
        <f>IF(Tabela1[[#This Row],[1]]&lt;&gt;"",IF(ISNUMBER(FIND(",",Tabela1[[#This Row],[1]])),LEN(Tabela1[[#This Row],[1]])-LEN(SUBSTITUTE(Tabela1[[#This Row],[1]],",",""))+1,1),"")</f>
        <v/>
      </c>
      <c r="AA198" t="str">
        <f>IF(Tabela1[[#This Row],[2]]&lt;&gt;"",IF(ISNUMBER(FIND(",",Tabela1[[#This Row],[2]])),LEN(Tabela1[[#This Row],[2]])-LEN(SUBSTITUTE(Tabela1[[#This Row],[2]],",",""))+1,1),"")</f>
        <v/>
      </c>
      <c r="AB198" t="str">
        <f>IF(Tabela1[[#This Row],[3]]&lt;&gt;"",IF(ISNUMBER(FIND(",",Tabela1[[#This Row],[3]])),LEN(Tabela1[[#This Row],[3]])-LEN(SUBSTITUTE(Tabela1[[#This Row],[3]],",",""))+1,1),"")</f>
        <v/>
      </c>
      <c r="AC198" t="str">
        <f>IF(Tabela1[[#This Row],[4]]&lt;&gt;"",IF(ISNUMBER(FIND(",",Tabela1[[#This Row],[4]])),LEN(Tabela1[[#This Row],[4]])-LEN(SUBSTITUTE(Tabela1[[#This Row],[4]],",",""))+1,1),"")</f>
        <v/>
      </c>
      <c r="AD198">
        <f>IF(Tabela1[[#This Row],[5]]&lt;&gt;"",IF(ISNUMBER(FIND(",",Tabela1[[#This Row],[5]])),LEN(Tabela1[[#This Row],[5]])-LEN(SUBSTITUTE(Tabela1[[#This Row],[5]],",",""))+1,1),"")</f>
        <v>1</v>
      </c>
      <c r="AE198" t="str">
        <f>IF(Tabela1[[#This Row],[6]]&lt;&gt;"",IF(ISNUMBER(FIND(",",Tabela1[[#This Row],[6]])),LEN(Tabela1[[#This Row],[6]])-LEN(SUBSTITUTE(Tabela1[[#This Row],[6]],",",""))+1,1),"")</f>
        <v/>
      </c>
      <c r="AF198" t="str">
        <f>IF(Tabela1[[#This Row],[7]]&lt;&gt;"",IF(ISNUMBER(FIND(",",Tabela1[[#This Row],[7]])),LEN(Tabela1[[#This Row],[7]])-LEN(SUBSTITUTE(Tabela1[[#This Row],[7]],",",""))+1,1),"")</f>
        <v/>
      </c>
      <c r="AG198" t="str">
        <f>IF(Tabela1[[#This Row],[8]]&lt;&gt;"",IF(ISNUMBER(FIND(",",Tabela1[[#This Row],[8]])),LEN(Tabela1[[#This Row],[8]])-LEN(SUBSTITUTE(Tabela1[[#This Row],[8]],",",""))+1,1),"")</f>
        <v/>
      </c>
      <c r="AH198" t="str">
        <f>IF(Tabela1[[#This Row],[9]]&lt;&gt;"",IF(ISNUMBER(FIND(",",Tabela1[[#This Row],[9]])),LEN(Tabela1[[#This Row],[9]])-LEN(SUBSTITUTE(Tabela1[[#This Row],[9]],",",""))+1,1),"")</f>
        <v/>
      </c>
      <c r="AI198" t="str">
        <f>IF(Tabela1[[#This Row],[10]]&lt;&gt;"",IF(ISNUMBER(FIND(",",Tabela1[[#This Row],[10]])),LEN(Tabela1[[#This Row],[10]])-LEN(SUBSTITUTE(Tabela1[[#This Row],[10]],",",""))+1,1),"")</f>
        <v/>
      </c>
      <c r="AJ198" t="str">
        <f>IF(Tabela1[[#This Row],[11]]&lt;&gt;"",IF(ISNUMBER(FIND(",",Tabela1[[#This Row],[11]])),LEN(Tabela1[[#This Row],[11]])-LEN(SUBSTITUTE(Tabela1[[#This Row],[11]],",",""))+1,1),"")</f>
        <v/>
      </c>
      <c r="AK198" t="str">
        <f>IF(Tabela1[[#This Row],[12]]&lt;&gt;"",IF(ISNUMBER(FIND(",",Tabela1[[#This Row],[12]])),LEN(Tabela1[[#This Row],[12]])-LEN(SUBSTITUTE(Tabela1[[#This Row],[12]],",",""))+1,1),"")</f>
        <v/>
      </c>
      <c r="AL198" t="str">
        <f>IF(Tabela1[[#This Row],[13]]&lt;&gt;"",IF(ISNUMBER(FIND(",",Tabela1[[#This Row],[13]])),LEN(Tabela1[[#This Row],[13]])-LEN(SUBSTITUTE(Tabela1[[#This Row],[13]],",",""))+1,1),"")</f>
        <v/>
      </c>
      <c r="AM198" t="str">
        <f>IF(Tabela1[[#This Row],[14]]&lt;&gt;"",IF(ISNUMBER(FIND(",",Tabela1[[#This Row],[14]])),LEN(Tabela1[[#This Row],[14]])-LEN(SUBSTITUTE(Tabela1[[#This Row],[14]],",",""))+1,1),"")</f>
        <v/>
      </c>
      <c r="AN198" t="str">
        <f>IF(Tabela1[[#This Row],[15]]&lt;&gt;"",IF(ISNUMBER(FIND(",",Tabela1[[#This Row],[15]])),LEN(Tabela1[[#This Row],[15]])-LEN(SUBSTITUTE(Tabela1[[#This Row],[15]],",",""))+1,1),"")</f>
        <v/>
      </c>
      <c r="AO198" t="str">
        <f>IF(Tabela1[[#This Row],[16]]&lt;&gt;"",IF(ISNUMBER(FIND(",",Tabela1[[#This Row],[16]])),LEN(Tabela1[[#This Row],[16]])-LEN(SUBSTITUTE(Tabela1[[#This Row],[16]],",",""))+1,1),"")</f>
        <v/>
      </c>
      <c r="AP198" t="str">
        <f>IF(Tabela1[[#This Row],[17]]&lt;&gt;"",IF(ISNUMBER(FIND(",",Tabela1[[#This Row],[17]])),LEN(Tabela1[[#This Row],[17]])-LEN(SUBSTITUTE(Tabela1[[#This Row],[17]],",",""))+1,1),"")</f>
        <v/>
      </c>
      <c r="AQ198" t="str">
        <f>IF(Tabela1[[#This Row],[18]]&lt;&gt;"",IF(ISNUMBER(FIND(",",Tabela1[[#This Row],[18]])),LEN(Tabela1[[#This Row],[18]])-LEN(SUBSTITUTE(Tabela1[[#This Row],[18]],",",""))+1,1),"")</f>
        <v/>
      </c>
      <c r="AR198" s="13" t="str">
        <f>IF(Tabela1[[#This Row],[19_LENGTH]]&lt;&gt;"",IF(ISNUMBER(FIND(",",Tabela1[[#This Row],[19_LENGTH]])),LEN(Tabela1[[#This Row],[19_LENGTH]])-LEN(SUBSTITUTE(Tabela1[[#This Row],[19_LENGTH]],",",""))+1,1),"")</f>
        <v/>
      </c>
      <c r="AS198" s="21">
        <f>SUM(Tabela1[[#This Row],[1_]:[19_]])</f>
        <v>1</v>
      </c>
    </row>
    <row r="199" spans="1:45" x14ac:dyDescent="0.25">
      <c r="A199" s="27" t="s">
        <v>1322</v>
      </c>
      <c r="B199" s="19" t="s">
        <v>403</v>
      </c>
      <c r="C199" s="19">
        <v>202</v>
      </c>
      <c r="D199" s="19" t="s">
        <v>1296</v>
      </c>
      <c r="E199" s="20">
        <v>43482</v>
      </c>
      <c r="F199" s="19"/>
      <c r="G199" s="19"/>
      <c r="H199" s="19"/>
      <c r="I199" s="19" t="s">
        <v>80</v>
      </c>
      <c r="J199" s="19">
        <v>67</v>
      </c>
      <c r="K199" s="19"/>
      <c r="L199" s="19"/>
      <c r="M199" s="19"/>
      <c r="N199" s="19"/>
      <c r="O199" s="19"/>
      <c r="P199" s="19"/>
      <c r="Q199" s="19"/>
      <c r="R199" s="19"/>
      <c r="S199" s="19"/>
      <c r="T199" s="19"/>
      <c r="U199" s="19"/>
      <c r="V199" s="19"/>
      <c r="W199" s="19"/>
      <c r="X199" s="19"/>
      <c r="Y199" s="19"/>
      <c r="Z199" t="str">
        <f>IF(Tabela1[[#This Row],[1]]&lt;&gt;"",IF(ISNUMBER(FIND(",",Tabela1[[#This Row],[1]])),LEN(Tabela1[[#This Row],[1]])-LEN(SUBSTITUTE(Tabela1[[#This Row],[1]],",",""))+1,1),"")</f>
        <v/>
      </c>
      <c r="AA199" t="str">
        <f>IF(Tabela1[[#This Row],[2]]&lt;&gt;"",IF(ISNUMBER(FIND(",",Tabela1[[#This Row],[2]])),LEN(Tabela1[[#This Row],[2]])-LEN(SUBSTITUTE(Tabela1[[#This Row],[2]],",",""))+1,1),"")</f>
        <v/>
      </c>
      <c r="AB199" t="str">
        <f>IF(Tabela1[[#This Row],[3]]&lt;&gt;"",IF(ISNUMBER(FIND(",",Tabela1[[#This Row],[3]])),LEN(Tabela1[[#This Row],[3]])-LEN(SUBSTITUTE(Tabela1[[#This Row],[3]],",",""))+1,1),"")</f>
        <v/>
      </c>
      <c r="AC199">
        <f>IF(Tabela1[[#This Row],[4]]&lt;&gt;"",IF(ISNUMBER(FIND(",",Tabela1[[#This Row],[4]])),LEN(Tabela1[[#This Row],[4]])-LEN(SUBSTITUTE(Tabela1[[#This Row],[4]],",",""))+1,1),"")</f>
        <v>2</v>
      </c>
      <c r="AD199">
        <f>IF(Tabela1[[#This Row],[5]]&lt;&gt;"",IF(ISNUMBER(FIND(",",Tabela1[[#This Row],[5]])),LEN(Tabela1[[#This Row],[5]])-LEN(SUBSTITUTE(Tabela1[[#This Row],[5]],",",""))+1,1),"")</f>
        <v>1</v>
      </c>
      <c r="AE199" t="str">
        <f>IF(Tabela1[[#This Row],[6]]&lt;&gt;"",IF(ISNUMBER(FIND(",",Tabela1[[#This Row],[6]])),LEN(Tabela1[[#This Row],[6]])-LEN(SUBSTITUTE(Tabela1[[#This Row],[6]],",",""))+1,1),"")</f>
        <v/>
      </c>
      <c r="AF199" t="str">
        <f>IF(Tabela1[[#This Row],[7]]&lt;&gt;"",IF(ISNUMBER(FIND(",",Tabela1[[#This Row],[7]])),LEN(Tabela1[[#This Row],[7]])-LEN(SUBSTITUTE(Tabela1[[#This Row],[7]],",",""))+1,1),"")</f>
        <v/>
      </c>
      <c r="AG199" t="str">
        <f>IF(Tabela1[[#This Row],[8]]&lt;&gt;"",IF(ISNUMBER(FIND(",",Tabela1[[#This Row],[8]])),LEN(Tabela1[[#This Row],[8]])-LEN(SUBSTITUTE(Tabela1[[#This Row],[8]],",",""))+1,1),"")</f>
        <v/>
      </c>
      <c r="AH199" t="str">
        <f>IF(Tabela1[[#This Row],[9]]&lt;&gt;"",IF(ISNUMBER(FIND(",",Tabela1[[#This Row],[9]])),LEN(Tabela1[[#This Row],[9]])-LEN(SUBSTITUTE(Tabela1[[#This Row],[9]],",",""))+1,1),"")</f>
        <v/>
      </c>
      <c r="AI199" t="str">
        <f>IF(Tabela1[[#This Row],[10]]&lt;&gt;"",IF(ISNUMBER(FIND(",",Tabela1[[#This Row],[10]])),LEN(Tabela1[[#This Row],[10]])-LEN(SUBSTITUTE(Tabela1[[#This Row],[10]],",",""))+1,1),"")</f>
        <v/>
      </c>
      <c r="AJ199" t="str">
        <f>IF(Tabela1[[#This Row],[11]]&lt;&gt;"",IF(ISNUMBER(FIND(",",Tabela1[[#This Row],[11]])),LEN(Tabela1[[#This Row],[11]])-LEN(SUBSTITUTE(Tabela1[[#This Row],[11]],",",""))+1,1),"")</f>
        <v/>
      </c>
      <c r="AK199" t="str">
        <f>IF(Tabela1[[#This Row],[12]]&lt;&gt;"",IF(ISNUMBER(FIND(",",Tabela1[[#This Row],[12]])),LEN(Tabela1[[#This Row],[12]])-LEN(SUBSTITUTE(Tabela1[[#This Row],[12]],",",""))+1,1),"")</f>
        <v/>
      </c>
      <c r="AL199" t="str">
        <f>IF(Tabela1[[#This Row],[13]]&lt;&gt;"",IF(ISNUMBER(FIND(",",Tabela1[[#This Row],[13]])),LEN(Tabela1[[#This Row],[13]])-LEN(SUBSTITUTE(Tabela1[[#This Row],[13]],",",""))+1,1),"")</f>
        <v/>
      </c>
      <c r="AM199" t="str">
        <f>IF(Tabela1[[#This Row],[14]]&lt;&gt;"",IF(ISNUMBER(FIND(",",Tabela1[[#This Row],[14]])),LEN(Tabela1[[#This Row],[14]])-LEN(SUBSTITUTE(Tabela1[[#This Row],[14]],",",""))+1,1),"")</f>
        <v/>
      </c>
      <c r="AN199" t="str">
        <f>IF(Tabela1[[#This Row],[15]]&lt;&gt;"",IF(ISNUMBER(FIND(",",Tabela1[[#This Row],[15]])),LEN(Tabela1[[#This Row],[15]])-LEN(SUBSTITUTE(Tabela1[[#This Row],[15]],",",""))+1,1),"")</f>
        <v/>
      </c>
      <c r="AO199" t="str">
        <f>IF(Tabela1[[#This Row],[16]]&lt;&gt;"",IF(ISNUMBER(FIND(",",Tabela1[[#This Row],[16]])),LEN(Tabela1[[#This Row],[16]])-LEN(SUBSTITUTE(Tabela1[[#This Row],[16]],",",""))+1,1),"")</f>
        <v/>
      </c>
      <c r="AP199" t="str">
        <f>IF(Tabela1[[#This Row],[17]]&lt;&gt;"",IF(ISNUMBER(FIND(",",Tabela1[[#This Row],[17]])),LEN(Tabela1[[#This Row],[17]])-LEN(SUBSTITUTE(Tabela1[[#This Row],[17]],",",""))+1,1),"")</f>
        <v/>
      </c>
      <c r="AQ199" t="str">
        <f>IF(Tabela1[[#This Row],[18]]&lt;&gt;"",IF(ISNUMBER(FIND(",",Tabela1[[#This Row],[18]])),LEN(Tabela1[[#This Row],[18]])-LEN(SUBSTITUTE(Tabela1[[#This Row],[18]],",",""))+1,1),"")</f>
        <v/>
      </c>
      <c r="AR199" s="13" t="str">
        <f>IF(Tabela1[[#This Row],[19_LENGTH]]&lt;&gt;"",IF(ISNUMBER(FIND(",",Tabela1[[#This Row],[19_LENGTH]])),LEN(Tabela1[[#This Row],[19_LENGTH]])-LEN(SUBSTITUTE(Tabela1[[#This Row],[19_LENGTH]],",",""))+1,1),"")</f>
        <v/>
      </c>
      <c r="AS199" s="21">
        <f>SUM(Tabela1[[#This Row],[1_]:[19_]])</f>
        <v>3</v>
      </c>
    </row>
    <row r="200" spans="1:45" x14ac:dyDescent="0.25">
      <c r="A200" s="27" t="s">
        <v>1322</v>
      </c>
      <c r="B200" s="19" t="s">
        <v>737</v>
      </c>
      <c r="C200" s="19">
        <v>220</v>
      </c>
      <c r="D200" s="19" t="s">
        <v>1314</v>
      </c>
      <c r="E200" s="20">
        <v>43482</v>
      </c>
      <c r="F200" s="19"/>
      <c r="G200" s="19"/>
      <c r="H200" s="19"/>
      <c r="I200" s="19"/>
      <c r="J200" s="19">
        <v>8</v>
      </c>
      <c r="K200" s="19"/>
      <c r="L200" s="19"/>
      <c r="M200" s="19"/>
      <c r="N200" s="19"/>
      <c r="O200" s="19"/>
      <c r="P200" s="19"/>
      <c r="Q200" s="19"/>
      <c r="R200" s="19"/>
      <c r="S200" s="19"/>
      <c r="T200" s="19"/>
      <c r="U200" s="19"/>
      <c r="V200" s="19"/>
      <c r="W200" s="19"/>
      <c r="X200" s="19"/>
      <c r="Y200" s="19"/>
      <c r="Z200" t="str">
        <f>IF(Tabela1[[#This Row],[1]]&lt;&gt;"",IF(ISNUMBER(FIND(",",Tabela1[[#This Row],[1]])),LEN(Tabela1[[#This Row],[1]])-LEN(SUBSTITUTE(Tabela1[[#This Row],[1]],",",""))+1,1),"")</f>
        <v/>
      </c>
      <c r="AA200" t="str">
        <f>IF(Tabela1[[#This Row],[2]]&lt;&gt;"",IF(ISNUMBER(FIND(",",Tabela1[[#This Row],[2]])),LEN(Tabela1[[#This Row],[2]])-LEN(SUBSTITUTE(Tabela1[[#This Row],[2]],",",""))+1,1),"")</f>
        <v/>
      </c>
      <c r="AB200" t="str">
        <f>IF(Tabela1[[#This Row],[3]]&lt;&gt;"",IF(ISNUMBER(FIND(",",Tabela1[[#This Row],[3]])),LEN(Tabela1[[#This Row],[3]])-LEN(SUBSTITUTE(Tabela1[[#This Row],[3]],",",""))+1,1),"")</f>
        <v/>
      </c>
      <c r="AC200" t="str">
        <f>IF(Tabela1[[#This Row],[4]]&lt;&gt;"",IF(ISNUMBER(FIND(",",Tabela1[[#This Row],[4]])),LEN(Tabela1[[#This Row],[4]])-LEN(SUBSTITUTE(Tabela1[[#This Row],[4]],",",""))+1,1),"")</f>
        <v/>
      </c>
      <c r="AD200">
        <f>IF(Tabela1[[#This Row],[5]]&lt;&gt;"",IF(ISNUMBER(FIND(",",Tabela1[[#This Row],[5]])),LEN(Tabela1[[#This Row],[5]])-LEN(SUBSTITUTE(Tabela1[[#This Row],[5]],",",""))+1,1),"")</f>
        <v>1</v>
      </c>
      <c r="AE200" t="str">
        <f>IF(Tabela1[[#This Row],[6]]&lt;&gt;"",IF(ISNUMBER(FIND(",",Tabela1[[#This Row],[6]])),LEN(Tabela1[[#This Row],[6]])-LEN(SUBSTITUTE(Tabela1[[#This Row],[6]],",",""))+1,1),"")</f>
        <v/>
      </c>
      <c r="AF200" t="str">
        <f>IF(Tabela1[[#This Row],[7]]&lt;&gt;"",IF(ISNUMBER(FIND(",",Tabela1[[#This Row],[7]])),LEN(Tabela1[[#This Row],[7]])-LEN(SUBSTITUTE(Tabela1[[#This Row],[7]],",",""))+1,1),"")</f>
        <v/>
      </c>
      <c r="AG200" t="str">
        <f>IF(Tabela1[[#This Row],[8]]&lt;&gt;"",IF(ISNUMBER(FIND(",",Tabela1[[#This Row],[8]])),LEN(Tabela1[[#This Row],[8]])-LEN(SUBSTITUTE(Tabela1[[#This Row],[8]],",",""))+1,1),"")</f>
        <v/>
      </c>
      <c r="AH200" t="str">
        <f>IF(Tabela1[[#This Row],[9]]&lt;&gt;"",IF(ISNUMBER(FIND(",",Tabela1[[#This Row],[9]])),LEN(Tabela1[[#This Row],[9]])-LEN(SUBSTITUTE(Tabela1[[#This Row],[9]],",",""))+1,1),"")</f>
        <v/>
      </c>
      <c r="AI200" t="str">
        <f>IF(Tabela1[[#This Row],[10]]&lt;&gt;"",IF(ISNUMBER(FIND(",",Tabela1[[#This Row],[10]])),LEN(Tabela1[[#This Row],[10]])-LEN(SUBSTITUTE(Tabela1[[#This Row],[10]],",",""))+1,1),"")</f>
        <v/>
      </c>
      <c r="AJ200" t="str">
        <f>IF(Tabela1[[#This Row],[11]]&lt;&gt;"",IF(ISNUMBER(FIND(",",Tabela1[[#This Row],[11]])),LEN(Tabela1[[#This Row],[11]])-LEN(SUBSTITUTE(Tabela1[[#This Row],[11]],",",""))+1,1),"")</f>
        <v/>
      </c>
      <c r="AK200" t="str">
        <f>IF(Tabela1[[#This Row],[12]]&lt;&gt;"",IF(ISNUMBER(FIND(",",Tabela1[[#This Row],[12]])),LEN(Tabela1[[#This Row],[12]])-LEN(SUBSTITUTE(Tabela1[[#This Row],[12]],",",""))+1,1),"")</f>
        <v/>
      </c>
      <c r="AL200" t="str">
        <f>IF(Tabela1[[#This Row],[13]]&lt;&gt;"",IF(ISNUMBER(FIND(",",Tabela1[[#This Row],[13]])),LEN(Tabela1[[#This Row],[13]])-LEN(SUBSTITUTE(Tabela1[[#This Row],[13]],",",""))+1,1),"")</f>
        <v/>
      </c>
      <c r="AM200" t="str">
        <f>IF(Tabela1[[#This Row],[14]]&lt;&gt;"",IF(ISNUMBER(FIND(",",Tabela1[[#This Row],[14]])),LEN(Tabela1[[#This Row],[14]])-LEN(SUBSTITUTE(Tabela1[[#This Row],[14]],",",""))+1,1),"")</f>
        <v/>
      </c>
      <c r="AN200" t="str">
        <f>IF(Tabela1[[#This Row],[15]]&lt;&gt;"",IF(ISNUMBER(FIND(",",Tabela1[[#This Row],[15]])),LEN(Tabela1[[#This Row],[15]])-LEN(SUBSTITUTE(Tabela1[[#This Row],[15]],",",""))+1,1),"")</f>
        <v/>
      </c>
      <c r="AO200" t="str">
        <f>IF(Tabela1[[#This Row],[16]]&lt;&gt;"",IF(ISNUMBER(FIND(",",Tabela1[[#This Row],[16]])),LEN(Tabela1[[#This Row],[16]])-LEN(SUBSTITUTE(Tabela1[[#This Row],[16]],",",""))+1,1),"")</f>
        <v/>
      </c>
      <c r="AP200" t="str">
        <f>IF(Tabela1[[#This Row],[17]]&lt;&gt;"",IF(ISNUMBER(FIND(",",Tabela1[[#This Row],[17]])),LEN(Tabela1[[#This Row],[17]])-LEN(SUBSTITUTE(Tabela1[[#This Row],[17]],",",""))+1,1),"")</f>
        <v/>
      </c>
      <c r="AQ200" t="str">
        <f>IF(Tabela1[[#This Row],[18]]&lt;&gt;"",IF(ISNUMBER(FIND(",",Tabela1[[#This Row],[18]])),LEN(Tabela1[[#This Row],[18]])-LEN(SUBSTITUTE(Tabela1[[#This Row],[18]],",",""))+1,1),"")</f>
        <v/>
      </c>
      <c r="AR200" s="13" t="str">
        <f>IF(Tabela1[[#This Row],[19_LENGTH]]&lt;&gt;"",IF(ISNUMBER(FIND(",",Tabela1[[#This Row],[19_LENGTH]])),LEN(Tabela1[[#This Row],[19_LENGTH]])-LEN(SUBSTITUTE(Tabela1[[#This Row],[19_LENGTH]],",",""))+1,1),"")</f>
        <v/>
      </c>
      <c r="AS200" s="21">
        <f>SUM(Tabela1[[#This Row],[1_]:[19_]])</f>
        <v>1</v>
      </c>
    </row>
    <row r="201" spans="1:45" x14ac:dyDescent="0.25">
      <c r="A201" s="27" t="s">
        <v>1322</v>
      </c>
      <c r="B201" s="19" t="s">
        <v>738</v>
      </c>
      <c r="C201" s="19">
        <v>202</v>
      </c>
      <c r="D201" s="19" t="s">
        <v>1314</v>
      </c>
      <c r="E201" s="20">
        <v>43482</v>
      </c>
      <c r="F201" s="19"/>
      <c r="G201" s="19"/>
      <c r="H201" s="19"/>
      <c r="I201" s="19"/>
      <c r="J201" s="19">
        <v>55</v>
      </c>
      <c r="K201" s="19"/>
      <c r="L201" s="19"/>
      <c r="M201" s="19"/>
      <c r="N201" s="19"/>
      <c r="O201" s="19"/>
      <c r="P201" s="19"/>
      <c r="Q201" s="19"/>
      <c r="R201" s="19"/>
      <c r="S201" s="19"/>
      <c r="T201" s="19"/>
      <c r="U201" s="19"/>
      <c r="V201" s="19"/>
      <c r="W201" s="19"/>
      <c r="X201" s="19"/>
      <c r="Y201" s="19"/>
      <c r="Z201" t="str">
        <f>IF(Tabela1[[#This Row],[1]]&lt;&gt;"",IF(ISNUMBER(FIND(",",Tabela1[[#This Row],[1]])),LEN(Tabela1[[#This Row],[1]])-LEN(SUBSTITUTE(Tabela1[[#This Row],[1]],",",""))+1,1),"")</f>
        <v/>
      </c>
      <c r="AA201" t="str">
        <f>IF(Tabela1[[#This Row],[2]]&lt;&gt;"",IF(ISNUMBER(FIND(",",Tabela1[[#This Row],[2]])),LEN(Tabela1[[#This Row],[2]])-LEN(SUBSTITUTE(Tabela1[[#This Row],[2]],",",""))+1,1),"")</f>
        <v/>
      </c>
      <c r="AB201" t="str">
        <f>IF(Tabela1[[#This Row],[3]]&lt;&gt;"",IF(ISNUMBER(FIND(",",Tabela1[[#This Row],[3]])),LEN(Tabela1[[#This Row],[3]])-LEN(SUBSTITUTE(Tabela1[[#This Row],[3]],",",""))+1,1),"")</f>
        <v/>
      </c>
      <c r="AC201" t="str">
        <f>IF(Tabela1[[#This Row],[4]]&lt;&gt;"",IF(ISNUMBER(FIND(",",Tabela1[[#This Row],[4]])),LEN(Tabela1[[#This Row],[4]])-LEN(SUBSTITUTE(Tabela1[[#This Row],[4]],",",""))+1,1),"")</f>
        <v/>
      </c>
      <c r="AD201">
        <f>IF(Tabela1[[#This Row],[5]]&lt;&gt;"",IF(ISNUMBER(FIND(",",Tabela1[[#This Row],[5]])),LEN(Tabela1[[#This Row],[5]])-LEN(SUBSTITUTE(Tabela1[[#This Row],[5]],",",""))+1,1),"")</f>
        <v>1</v>
      </c>
      <c r="AE201" t="str">
        <f>IF(Tabela1[[#This Row],[6]]&lt;&gt;"",IF(ISNUMBER(FIND(",",Tabela1[[#This Row],[6]])),LEN(Tabela1[[#This Row],[6]])-LEN(SUBSTITUTE(Tabela1[[#This Row],[6]],",",""))+1,1),"")</f>
        <v/>
      </c>
      <c r="AF201" t="str">
        <f>IF(Tabela1[[#This Row],[7]]&lt;&gt;"",IF(ISNUMBER(FIND(",",Tabela1[[#This Row],[7]])),LEN(Tabela1[[#This Row],[7]])-LEN(SUBSTITUTE(Tabela1[[#This Row],[7]],",",""))+1,1),"")</f>
        <v/>
      </c>
      <c r="AG201" t="str">
        <f>IF(Tabela1[[#This Row],[8]]&lt;&gt;"",IF(ISNUMBER(FIND(",",Tabela1[[#This Row],[8]])),LEN(Tabela1[[#This Row],[8]])-LEN(SUBSTITUTE(Tabela1[[#This Row],[8]],",",""))+1,1),"")</f>
        <v/>
      </c>
      <c r="AH201" t="str">
        <f>IF(Tabela1[[#This Row],[9]]&lt;&gt;"",IF(ISNUMBER(FIND(",",Tabela1[[#This Row],[9]])),LEN(Tabela1[[#This Row],[9]])-LEN(SUBSTITUTE(Tabela1[[#This Row],[9]],",",""))+1,1),"")</f>
        <v/>
      </c>
      <c r="AI201" t="str">
        <f>IF(Tabela1[[#This Row],[10]]&lt;&gt;"",IF(ISNUMBER(FIND(",",Tabela1[[#This Row],[10]])),LEN(Tabela1[[#This Row],[10]])-LEN(SUBSTITUTE(Tabela1[[#This Row],[10]],",",""))+1,1),"")</f>
        <v/>
      </c>
      <c r="AJ201" t="str">
        <f>IF(Tabela1[[#This Row],[11]]&lt;&gt;"",IF(ISNUMBER(FIND(",",Tabela1[[#This Row],[11]])),LEN(Tabela1[[#This Row],[11]])-LEN(SUBSTITUTE(Tabela1[[#This Row],[11]],",",""))+1,1),"")</f>
        <v/>
      </c>
      <c r="AK201" t="str">
        <f>IF(Tabela1[[#This Row],[12]]&lt;&gt;"",IF(ISNUMBER(FIND(",",Tabela1[[#This Row],[12]])),LEN(Tabela1[[#This Row],[12]])-LEN(SUBSTITUTE(Tabela1[[#This Row],[12]],",",""))+1,1),"")</f>
        <v/>
      </c>
      <c r="AL201" t="str">
        <f>IF(Tabela1[[#This Row],[13]]&lt;&gt;"",IF(ISNUMBER(FIND(",",Tabela1[[#This Row],[13]])),LEN(Tabela1[[#This Row],[13]])-LEN(SUBSTITUTE(Tabela1[[#This Row],[13]],",",""))+1,1),"")</f>
        <v/>
      </c>
      <c r="AM201" t="str">
        <f>IF(Tabela1[[#This Row],[14]]&lt;&gt;"",IF(ISNUMBER(FIND(",",Tabela1[[#This Row],[14]])),LEN(Tabela1[[#This Row],[14]])-LEN(SUBSTITUTE(Tabela1[[#This Row],[14]],",",""))+1,1),"")</f>
        <v/>
      </c>
      <c r="AN201" t="str">
        <f>IF(Tabela1[[#This Row],[15]]&lt;&gt;"",IF(ISNUMBER(FIND(",",Tabela1[[#This Row],[15]])),LEN(Tabela1[[#This Row],[15]])-LEN(SUBSTITUTE(Tabela1[[#This Row],[15]],",",""))+1,1),"")</f>
        <v/>
      </c>
      <c r="AO201" t="str">
        <f>IF(Tabela1[[#This Row],[16]]&lt;&gt;"",IF(ISNUMBER(FIND(",",Tabela1[[#This Row],[16]])),LEN(Tabela1[[#This Row],[16]])-LEN(SUBSTITUTE(Tabela1[[#This Row],[16]],",",""))+1,1),"")</f>
        <v/>
      </c>
      <c r="AP201" t="str">
        <f>IF(Tabela1[[#This Row],[17]]&lt;&gt;"",IF(ISNUMBER(FIND(",",Tabela1[[#This Row],[17]])),LEN(Tabela1[[#This Row],[17]])-LEN(SUBSTITUTE(Tabela1[[#This Row],[17]],",",""))+1,1),"")</f>
        <v/>
      </c>
      <c r="AQ201" t="str">
        <f>IF(Tabela1[[#This Row],[18]]&lt;&gt;"",IF(ISNUMBER(FIND(",",Tabela1[[#This Row],[18]])),LEN(Tabela1[[#This Row],[18]])-LEN(SUBSTITUTE(Tabela1[[#This Row],[18]],",",""))+1,1),"")</f>
        <v/>
      </c>
      <c r="AR201" s="13" t="str">
        <f>IF(Tabela1[[#This Row],[19_LENGTH]]&lt;&gt;"",IF(ISNUMBER(FIND(",",Tabela1[[#This Row],[19_LENGTH]])),LEN(Tabela1[[#This Row],[19_LENGTH]])-LEN(SUBSTITUTE(Tabela1[[#This Row],[19_LENGTH]],",",""))+1,1),"")</f>
        <v/>
      </c>
      <c r="AS201" s="21">
        <f>SUM(Tabela1[[#This Row],[1_]:[19_]])</f>
        <v>1</v>
      </c>
    </row>
    <row r="202" spans="1:45" x14ac:dyDescent="0.25">
      <c r="A202" s="27" t="s">
        <v>1322</v>
      </c>
      <c r="B202" s="19" t="s">
        <v>404</v>
      </c>
      <c r="C202" s="19">
        <v>202</v>
      </c>
      <c r="D202" s="19" t="s">
        <v>1300</v>
      </c>
      <c r="E202" s="20">
        <v>43481</v>
      </c>
      <c r="F202" s="19"/>
      <c r="G202" s="19"/>
      <c r="H202" s="19"/>
      <c r="I202" s="19"/>
      <c r="J202" s="19">
        <v>20</v>
      </c>
      <c r="K202" s="19"/>
      <c r="L202" s="19"/>
      <c r="M202" s="19"/>
      <c r="N202" s="19"/>
      <c r="O202" s="19"/>
      <c r="P202" s="19"/>
      <c r="Q202" s="19"/>
      <c r="R202" s="19"/>
      <c r="S202" s="19"/>
      <c r="T202" s="19"/>
      <c r="U202" s="19"/>
      <c r="V202" s="19"/>
      <c r="W202" s="19">
        <v>31</v>
      </c>
      <c r="X202" s="19"/>
      <c r="Y202" s="19"/>
      <c r="Z202" t="str">
        <f>IF(Tabela1[[#This Row],[1]]&lt;&gt;"",IF(ISNUMBER(FIND(",",Tabela1[[#This Row],[1]])),LEN(Tabela1[[#This Row],[1]])-LEN(SUBSTITUTE(Tabela1[[#This Row],[1]],",",""))+1,1),"")</f>
        <v/>
      </c>
      <c r="AA202" t="str">
        <f>IF(Tabela1[[#This Row],[2]]&lt;&gt;"",IF(ISNUMBER(FIND(",",Tabela1[[#This Row],[2]])),LEN(Tabela1[[#This Row],[2]])-LEN(SUBSTITUTE(Tabela1[[#This Row],[2]],",",""))+1,1),"")</f>
        <v/>
      </c>
      <c r="AB202" t="str">
        <f>IF(Tabela1[[#This Row],[3]]&lt;&gt;"",IF(ISNUMBER(FIND(",",Tabela1[[#This Row],[3]])),LEN(Tabela1[[#This Row],[3]])-LEN(SUBSTITUTE(Tabela1[[#This Row],[3]],",",""))+1,1),"")</f>
        <v/>
      </c>
      <c r="AC202" t="str">
        <f>IF(Tabela1[[#This Row],[4]]&lt;&gt;"",IF(ISNUMBER(FIND(",",Tabela1[[#This Row],[4]])),LEN(Tabela1[[#This Row],[4]])-LEN(SUBSTITUTE(Tabela1[[#This Row],[4]],",",""))+1,1),"")</f>
        <v/>
      </c>
      <c r="AD202">
        <f>IF(Tabela1[[#This Row],[5]]&lt;&gt;"",IF(ISNUMBER(FIND(",",Tabela1[[#This Row],[5]])),LEN(Tabela1[[#This Row],[5]])-LEN(SUBSTITUTE(Tabela1[[#This Row],[5]],",",""))+1,1),"")</f>
        <v>1</v>
      </c>
      <c r="AE202" t="str">
        <f>IF(Tabela1[[#This Row],[6]]&lt;&gt;"",IF(ISNUMBER(FIND(",",Tabela1[[#This Row],[6]])),LEN(Tabela1[[#This Row],[6]])-LEN(SUBSTITUTE(Tabela1[[#This Row],[6]],",",""))+1,1),"")</f>
        <v/>
      </c>
      <c r="AF202" t="str">
        <f>IF(Tabela1[[#This Row],[7]]&lt;&gt;"",IF(ISNUMBER(FIND(",",Tabela1[[#This Row],[7]])),LEN(Tabela1[[#This Row],[7]])-LEN(SUBSTITUTE(Tabela1[[#This Row],[7]],",",""))+1,1),"")</f>
        <v/>
      </c>
      <c r="AG202" t="str">
        <f>IF(Tabela1[[#This Row],[8]]&lt;&gt;"",IF(ISNUMBER(FIND(",",Tabela1[[#This Row],[8]])),LEN(Tabela1[[#This Row],[8]])-LEN(SUBSTITUTE(Tabela1[[#This Row],[8]],",",""))+1,1),"")</f>
        <v/>
      </c>
      <c r="AH202" t="str">
        <f>IF(Tabela1[[#This Row],[9]]&lt;&gt;"",IF(ISNUMBER(FIND(",",Tabela1[[#This Row],[9]])),LEN(Tabela1[[#This Row],[9]])-LEN(SUBSTITUTE(Tabela1[[#This Row],[9]],",",""))+1,1),"")</f>
        <v/>
      </c>
      <c r="AI202" t="str">
        <f>IF(Tabela1[[#This Row],[10]]&lt;&gt;"",IF(ISNUMBER(FIND(",",Tabela1[[#This Row],[10]])),LEN(Tabela1[[#This Row],[10]])-LEN(SUBSTITUTE(Tabela1[[#This Row],[10]],",",""))+1,1),"")</f>
        <v/>
      </c>
      <c r="AJ202" t="str">
        <f>IF(Tabela1[[#This Row],[11]]&lt;&gt;"",IF(ISNUMBER(FIND(",",Tabela1[[#This Row],[11]])),LEN(Tabela1[[#This Row],[11]])-LEN(SUBSTITUTE(Tabela1[[#This Row],[11]],",",""))+1,1),"")</f>
        <v/>
      </c>
      <c r="AK202" t="str">
        <f>IF(Tabela1[[#This Row],[12]]&lt;&gt;"",IF(ISNUMBER(FIND(",",Tabela1[[#This Row],[12]])),LEN(Tabela1[[#This Row],[12]])-LEN(SUBSTITUTE(Tabela1[[#This Row],[12]],",",""))+1,1),"")</f>
        <v/>
      </c>
      <c r="AL202" t="str">
        <f>IF(Tabela1[[#This Row],[13]]&lt;&gt;"",IF(ISNUMBER(FIND(",",Tabela1[[#This Row],[13]])),LEN(Tabela1[[#This Row],[13]])-LEN(SUBSTITUTE(Tabela1[[#This Row],[13]],",",""))+1,1),"")</f>
        <v/>
      </c>
      <c r="AM202" t="str">
        <f>IF(Tabela1[[#This Row],[14]]&lt;&gt;"",IF(ISNUMBER(FIND(",",Tabela1[[#This Row],[14]])),LEN(Tabela1[[#This Row],[14]])-LEN(SUBSTITUTE(Tabela1[[#This Row],[14]],",",""))+1,1),"")</f>
        <v/>
      </c>
      <c r="AN202" t="str">
        <f>IF(Tabela1[[#This Row],[15]]&lt;&gt;"",IF(ISNUMBER(FIND(",",Tabela1[[#This Row],[15]])),LEN(Tabela1[[#This Row],[15]])-LEN(SUBSTITUTE(Tabela1[[#This Row],[15]],",",""))+1,1),"")</f>
        <v/>
      </c>
      <c r="AO202" t="str">
        <f>IF(Tabela1[[#This Row],[16]]&lt;&gt;"",IF(ISNUMBER(FIND(",",Tabela1[[#This Row],[16]])),LEN(Tabela1[[#This Row],[16]])-LEN(SUBSTITUTE(Tabela1[[#This Row],[16]],",",""))+1,1),"")</f>
        <v/>
      </c>
      <c r="AP202" t="str">
        <f>IF(Tabela1[[#This Row],[17]]&lt;&gt;"",IF(ISNUMBER(FIND(",",Tabela1[[#This Row],[17]])),LEN(Tabela1[[#This Row],[17]])-LEN(SUBSTITUTE(Tabela1[[#This Row],[17]],",",""))+1,1),"")</f>
        <v/>
      </c>
      <c r="AQ202">
        <f>IF(Tabela1[[#This Row],[18]]&lt;&gt;"",IF(ISNUMBER(FIND(",",Tabela1[[#This Row],[18]])),LEN(Tabela1[[#This Row],[18]])-LEN(SUBSTITUTE(Tabela1[[#This Row],[18]],",",""))+1,1),"")</f>
        <v>1</v>
      </c>
      <c r="AR202" s="13" t="str">
        <f>IF(Tabela1[[#This Row],[19_LENGTH]]&lt;&gt;"",IF(ISNUMBER(FIND(",",Tabela1[[#This Row],[19_LENGTH]])),LEN(Tabela1[[#This Row],[19_LENGTH]])-LEN(SUBSTITUTE(Tabela1[[#This Row],[19_LENGTH]],",",""))+1,1),"")</f>
        <v/>
      </c>
      <c r="AS202" s="21">
        <f>SUM(Tabela1[[#This Row],[1_]:[19_]])</f>
        <v>2</v>
      </c>
    </row>
    <row r="203" spans="1:45" x14ac:dyDescent="0.25">
      <c r="A203" s="27" t="s">
        <v>1322</v>
      </c>
      <c r="B203" s="19" t="s">
        <v>739</v>
      </c>
      <c r="C203" s="19">
        <v>138</v>
      </c>
      <c r="D203" s="19" t="s">
        <v>1315</v>
      </c>
      <c r="E203" s="20">
        <v>43482</v>
      </c>
      <c r="F203" s="19"/>
      <c r="G203" s="19"/>
      <c r="H203" s="19"/>
      <c r="I203" s="19"/>
      <c r="J203" s="19"/>
      <c r="K203" s="19">
        <v>130</v>
      </c>
      <c r="L203" s="19"/>
      <c r="M203" s="19"/>
      <c r="N203" s="19"/>
      <c r="O203" s="19"/>
      <c r="P203" s="19"/>
      <c r="Q203" s="19"/>
      <c r="R203" s="19"/>
      <c r="S203" s="19"/>
      <c r="T203" s="19"/>
      <c r="U203" s="19"/>
      <c r="V203" s="19"/>
      <c r="W203" s="19"/>
      <c r="X203" s="19"/>
      <c r="Y203" s="19"/>
      <c r="Z203" t="str">
        <f>IF(Tabela1[[#This Row],[1]]&lt;&gt;"",IF(ISNUMBER(FIND(",",Tabela1[[#This Row],[1]])),LEN(Tabela1[[#This Row],[1]])-LEN(SUBSTITUTE(Tabela1[[#This Row],[1]],",",""))+1,1),"")</f>
        <v/>
      </c>
      <c r="AA203" t="str">
        <f>IF(Tabela1[[#This Row],[2]]&lt;&gt;"",IF(ISNUMBER(FIND(",",Tabela1[[#This Row],[2]])),LEN(Tabela1[[#This Row],[2]])-LEN(SUBSTITUTE(Tabela1[[#This Row],[2]],",",""))+1,1),"")</f>
        <v/>
      </c>
      <c r="AB203" t="str">
        <f>IF(Tabela1[[#This Row],[3]]&lt;&gt;"",IF(ISNUMBER(FIND(",",Tabela1[[#This Row],[3]])),LEN(Tabela1[[#This Row],[3]])-LEN(SUBSTITUTE(Tabela1[[#This Row],[3]],",",""))+1,1),"")</f>
        <v/>
      </c>
      <c r="AC203" t="str">
        <f>IF(Tabela1[[#This Row],[4]]&lt;&gt;"",IF(ISNUMBER(FIND(",",Tabela1[[#This Row],[4]])),LEN(Tabela1[[#This Row],[4]])-LEN(SUBSTITUTE(Tabela1[[#This Row],[4]],",",""))+1,1),"")</f>
        <v/>
      </c>
      <c r="AD203" t="str">
        <f>IF(Tabela1[[#This Row],[5]]&lt;&gt;"",IF(ISNUMBER(FIND(",",Tabela1[[#This Row],[5]])),LEN(Tabela1[[#This Row],[5]])-LEN(SUBSTITUTE(Tabela1[[#This Row],[5]],",",""))+1,1),"")</f>
        <v/>
      </c>
      <c r="AE203">
        <f>IF(Tabela1[[#This Row],[6]]&lt;&gt;"",IF(ISNUMBER(FIND(",",Tabela1[[#This Row],[6]])),LEN(Tabela1[[#This Row],[6]])-LEN(SUBSTITUTE(Tabela1[[#This Row],[6]],",",""))+1,1),"")</f>
        <v>1</v>
      </c>
      <c r="AF203" t="str">
        <f>IF(Tabela1[[#This Row],[7]]&lt;&gt;"",IF(ISNUMBER(FIND(",",Tabela1[[#This Row],[7]])),LEN(Tabela1[[#This Row],[7]])-LEN(SUBSTITUTE(Tabela1[[#This Row],[7]],",",""))+1,1),"")</f>
        <v/>
      </c>
      <c r="AG203" t="str">
        <f>IF(Tabela1[[#This Row],[8]]&lt;&gt;"",IF(ISNUMBER(FIND(",",Tabela1[[#This Row],[8]])),LEN(Tabela1[[#This Row],[8]])-LEN(SUBSTITUTE(Tabela1[[#This Row],[8]],",",""))+1,1),"")</f>
        <v/>
      </c>
      <c r="AH203" t="str">
        <f>IF(Tabela1[[#This Row],[9]]&lt;&gt;"",IF(ISNUMBER(FIND(",",Tabela1[[#This Row],[9]])),LEN(Tabela1[[#This Row],[9]])-LEN(SUBSTITUTE(Tabela1[[#This Row],[9]],",",""))+1,1),"")</f>
        <v/>
      </c>
      <c r="AI203" t="str">
        <f>IF(Tabela1[[#This Row],[10]]&lt;&gt;"",IF(ISNUMBER(FIND(",",Tabela1[[#This Row],[10]])),LEN(Tabela1[[#This Row],[10]])-LEN(SUBSTITUTE(Tabela1[[#This Row],[10]],",",""))+1,1),"")</f>
        <v/>
      </c>
      <c r="AJ203" t="str">
        <f>IF(Tabela1[[#This Row],[11]]&lt;&gt;"",IF(ISNUMBER(FIND(",",Tabela1[[#This Row],[11]])),LEN(Tabela1[[#This Row],[11]])-LEN(SUBSTITUTE(Tabela1[[#This Row],[11]],",",""))+1,1),"")</f>
        <v/>
      </c>
      <c r="AK203" t="str">
        <f>IF(Tabela1[[#This Row],[12]]&lt;&gt;"",IF(ISNUMBER(FIND(",",Tabela1[[#This Row],[12]])),LEN(Tabela1[[#This Row],[12]])-LEN(SUBSTITUTE(Tabela1[[#This Row],[12]],",",""))+1,1),"")</f>
        <v/>
      </c>
      <c r="AL203" t="str">
        <f>IF(Tabela1[[#This Row],[13]]&lt;&gt;"",IF(ISNUMBER(FIND(",",Tabela1[[#This Row],[13]])),LEN(Tabela1[[#This Row],[13]])-LEN(SUBSTITUTE(Tabela1[[#This Row],[13]],",",""))+1,1),"")</f>
        <v/>
      </c>
      <c r="AM203" t="str">
        <f>IF(Tabela1[[#This Row],[14]]&lt;&gt;"",IF(ISNUMBER(FIND(",",Tabela1[[#This Row],[14]])),LEN(Tabela1[[#This Row],[14]])-LEN(SUBSTITUTE(Tabela1[[#This Row],[14]],",",""))+1,1),"")</f>
        <v/>
      </c>
      <c r="AN203" t="str">
        <f>IF(Tabela1[[#This Row],[15]]&lt;&gt;"",IF(ISNUMBER(FIND(",",Tabela1[[#This Row],[15]])),LEN(Tabela1[[#This Row],[15]])-LEN(SUBSTITUTE(Tabela1[[#This Row],[15]],",",""))+1,1),"")</f>
        <v/>
      </c>
      <c r="AO203" t="str">
        <f>IF(Tabela1[[#This Row],[16]]&lt;&gt;"",IF(ISNUMBER(FIND(",",Tabela1[[#This Row],[16]])),LEN(Tabela1[[#This Row],[16]])-LEN(SUBSTITUTE(Tabela1[[#This Row],[16]],",",""))+1,1),"")</f>
        <v/>
      </c>
      <c r="AP203" t="str">
        <f>IF(Tabela1[[#This Row],[17]]&lt;&gt;"",IF(ISNUMBER(FIND(",",Tabela1[[#This Row],[17]])),LEN(Tabela1[[#This Row],[17]])-LEN(SUBSTITUTE(Tabela1[[#This Row],[17]],",",""))+1,1),"")</f>
        <v/>
      </c>
      <c r="AQ203" t="str">
        <f>IF(Tabela1[[#This Row],[18]]&lt;&gt;"",IF(ISNUMBER(FIND(",",Tabela1[[#This Row],[18]])),LEN(Tabela1[[#This Row],[18]])-LEN(SUBSTITUTE(Tabela1[[#This Row],[18]],",",""))+1,1),"")</f>
        <v/>
      </c>
      <c r="AR203" s="13" t="str">
        <f>IF(Tabela1[[#This Row],[19_LENGTH]]&lt;&gt;"",IF(ISNUMBER(FIND(",",Tabela1[[#This Row],[19_LENGTH]])),LEN(Tabela1[[#This Row],[19_LENGTH]])-LEN(SUBSTITUTE(Tabela1[[#This Row],[19_LENGTH]],",",""))+1,1),"")</f>
        <v/>
      </c>
      <c r="AS203" s="21">
        <f>SUM(Tabela1[[#This Row],[1_]:[19_]])</f>
        <v>1</v>
      </c>
    </row>
    <row r="204" spans="1:45" x14ac:dyDescent="0.25">
      <c r="A204" s="27" t="s">
        <v>1322</v>
      </c>
      <c r="B204" s="19" t="s">
        <v>405</v>
      </c>
      <c r="C204" s="19">
        <v>226</v>
      </c>
      <c r="D204" s="19" t="s">
        <v>1315</v>
      </c>
      <c r="E204" s="20">
        <v>43482</v>
      </c>
      <c r="F204" s="19"/>
      <c r="G204" s="19"/>
      <c r="H204" s="19"/>
      <c r="I204" s="19"/>
      <c r="J204" s="19"/>
      <c r="K204" s="19"/>
      <c r="L204" s="19"/>
      <c r="M204" s="19"/>
      <c r="N204" s="19"/>
      <c r="O204" s="19"/>
      <c r="P204" s="19"/>
      <c r="Q204" s="19"/>
      <c r="R204" s="19"/>
      <c r="S204" s="19"/>
      <c r="T204" s="19"/>
      <c r="U204" s="19"/>
      <c r="V204" s="19"/>
      <c r="W204" s="19">
        <v>70</v>
      </c>
      <c r="X204" s="19"/>
      <c r="Y204" s="19"/>
      <c r="Z204" t="str">
        <f>IF(Tabela1[[#This Row],[1]]&lt;&gt;"",IF(ISNUMBER(FIND(",",Tabela1[[#This Row],[1]])),LEN(Tabela1[[#This Row],[1]])-LEN(SUBSTITUTE(Tabela1[[#This Row],[1]],",",""))+1,1),"")</f>
        <v/>
      </c>
      <c r="AA204" t="str">
        <f>IF(Tabela1[[#This Row],[2]]&lt;&gt;"",IF(ISNUMBER(FIND(",",Tabela1[[#This Row],[2]])),LEN(Tabela1[[#This Row],[2]])-LEN(SUBSTITUTE(Tabela1[[#This Row],[2]],",",""))+1,1),"")</f>
        <v/>
      </c>
      <c r="AB204" t="str">
        <f>IF(Tabela1[[#This Row],[3]]&lt;&gt;"",IF(ISNUMBER(FIND(",",Tabela1[[#This Row],[3]])),LEN(Tabela1[[#This Row],[3]])-LEN(SUBSTITUTE(Tabela1[[#This Row],[3]],",",""))+1,1),"")</f>
        <v/>
      </c>
      <c r="AC204" t="str">
        <f>IF(Tabela1[[#This Row],[4]]&lt;&gt;"",IF(ISNUMBER(FIND(",",Tabela1[[#This Row],[4]])),LEN(Tabela1[[#This Row],[4]])-LEN(SUBSTITUTE(Tabela1[[#This Row],[4]],",",""))+1,1),"")</f>
        <v/>
      </c>
      <c r="AD204" t="str">
        <f>IF(Tabela1[[#This Row],[5]]&lt;&gt;"",IF(ISNUMBER(FIND(",",Tabela1[[#This Row],[5]])),LEN(Tabela1[[#This Row],[5]])-LEN(SUBSTITUTE(Tabela1[[#This Row],[5]],",",""))+1,1),"")</f>
        <v/>
      </c>
      <c r="AE204" t="str">
        <f>IF(Tabela1[[#This Row],[6]]&lt;&gt;"",IF(ISNUMBER(FIND(",",Tabela1[[#This Row],[6]])),LEN(Tabela1[[#This Row],[6]])-LEN(SUBSTITUTE(Tabela1[[#This Row],[6]],",",""))+1,1),"")</f>
        <v/>
      </c>
      <c r="AF204" t="str">
        <f>IF(Tabela1[[#This Row],[7]]&lt;&gt;"",IF(ISNUMBER(FIND(",",Tabela1[[#This Row],[7]])),LEN(Tabela1[[#This Row],[7]])-LEN(SUBSTITUTE(Tabela1[[#This Row],[7]],",",""))+1,1),"")</f>
        <v/>
      </c>
      <c r="AG204" t="str">
        <f>IF(Tabela1[[#This Row],[8]]&lt;&gt;"",IF(ISNUMBER(FIND(",",Tabela1[[#This Row],[8]])),LEN(Tabela1[[#This Row],[8]])-LEN(SUBSTITUTE(Tabela1[[#This Row],[8]],",",""))+1,1),"")</f>
        <v/>
      </c>
      <c r="AH204" t="str">
        <f>IF(Tabela1[[#This Row],[9]]&lt;&gt;"",IF(ISNUMBER(FIND(",",Tabela1[[#This Row],[9]])),LEN(Tabela1[[#This Row],[9]])-LEN(SUBSTITUTE(Tabela1[[#This Row],[9]],",",""))+1,1),"")</f>
        <v/>
      </c>
      <c r="AI204" t="str">
        <f>IF(Tabela1[[#This Row],[10]]&lt;&gt;"",IF(ISNUMBER(FIND(",",Tabela1[[#This Row],[10]])),LEN(Tabela1[[#This Row],[10]])-LEN(SUBSTITUTE(Tabela1[[#This Row],[10]],",",""))+1,1),"")</f>
        <v/>
      </c>
      <c r="AJ204" t="str">
        <f>IF(Tabela1[[#This Row],[11]]&lt;&gt;"",IF(ISNUMBER(FIND(",",Tabela1[[#This Row],[11]])),LEN(Tabela1[[#This Row],[11]])-LEN(SUBSTITUTE(Tabela1[[#This Row],[11]],",",""))+1,1),"")</f>
        <v/>
      </c>
      <c r="AK204" t="str">
        <f>IF(Tabela1[[#This Row],[12]]&lt;&gt;"",IF(ISNUMBER(FIND(",",Tabela1[[#This Row],[12]])),LEN(Tabela1[[#This Row],[12]])-LEN(SUBSTITUTE(Tabela1[[#This Row],[12]],",",""))+1,1),"")</f>
        <v/>
      </c>
      <c r="AL204" t="str">
        <f>IF(Tabela1[[#This Row],[13]]&lt;&gt;"",IF(ISNUMBER(FIND(",",Tabela1[[#This Row],[13]])),LEN(Tabela1[[#This Row],[13]])-LEN(SUBSTITUTE(Tabela1[[#This Row],[13]],",",""))+1,1),"")</f>
        <v/>
      </c>
      <c r="AM204" t="str">
        <f>IF(Tabela1[[#This Row],[14]]&lt;&gt;"",IF(ISNUMBER(FIND(",",Tabela1[[#This Row],[14]])),LEN(Tabela1[[#This Row],[14]])-LEN(SUBSTITUTE(Tabela1[[#This Row],[14]],",",""))+1,1),"")</f>
        <v/>
      </c>
      <c r="AN204" t="str">
        <f>IF(Tabela1[[#This Row],[15]]&lt;&gt;"",IF(ISNUMBER(FIND(",",Tabela1[[#This Row],[15]])),LEN(Tabela1[[#This Row],[15]])-LEN(SUBSTITUTE(Tabela1[[#This Row],[15]],",",""))+1,1),"")</f>
        <v/>
      </c>
      <c r="AO204" t="str">
        <f>IF(Tabela1[[#This Row],[16]]&lt;&gt;"",IF(ISNUMBER(FIND(",",Tabela1[[#This Row],[16]])),LEN(Tabela1[[#This Row],[16]])-LEN(SUBSTITUTE(Tabela1[[#This Row],[16]],",",""))+1,1),"")</f>
        <v/>
      </c>
      <c r="AP204" t="str">
        <f>IF(Tabela1[[#This Row],[17]]&lt;&gt;"",IF(ISNUMBER(FIND(",",Tabela1[[#This Row],[17]])),LEN(Tabela1[[#This Row],[17]])-LEN(SUBSTITUTE(Tabela1[[#This Row],[17]],",",""))+1,1),"")</f>
        <v/>
      </c>
      <c r="AQ204">
        <f>IF(Tabela1[[#This Row],[18]]&lt;&gt;"",IF(ISNUMBER(FIND(",",Tabela1[[#This Row],[18]])),LEN(Tabela1[[#This Row],[18]])-LEN(SUBSTITUTE(Tabela1[[#This Row],[18]],",",""))+1,1),"")</f>
        <v>1</v>
      </c>
      <c r="AR204" s="13" t="str">
        <f>IF(Tabela1[[#This Row],[19_LENGTH]]&lt;&gt;"",IF(ISNUMBER(FIND(",",Tabela1[[#This Row],[19_LENGTH]])),LEN(Tabela1[[#This Row],[19_LENGTH]])-LEN(SUBSTITUTE(Tabela1[[#This Row],[19_LENGTH]],",",""))+1,1),"")</f>
        <v/>
      </c>
      <c r="AS204" s="21">
        <f>SUM(Tabela1[[#This Row],[1_]:[19_]])</f>
        <v>1</v>
      </c>
    </row>
    <row r="205" spans="1:45" x14ac:dyDescent="0.25">
      <c r="A205" s="27" t="s">
        <v>1322</v>
      </c>
      <c r="B205" s="19" t="s">
        <v>406</v>
      </c>
      <c r="C205" s="19">
        <v>202</v>
      </c>
      <c r="D205" s="19" t="s">
        <v>1315</v>
      </c>
      <c r="E205" s="20">
        <v>43482</v>
      </c>
      <c r="F205" s="19"/>
      <c r="G205" s="19"/>
      <c r="H205" s="19"/>
      <c r="I205" s="19"/>
      <c r="J205" s="19"/>
      <c r="K205" s="19"/>
      <c r="L205" s="19"/>
      <c r="M205" s="19"/>
      <c r="N205" s="19"/>
      <c r="O205" s="19"/>
      <c r="P205" s="19"/>
      <c r="Q205" s="19"/>
      <c r="R205" s="19"/>
      <c r="S205" s="19"/>
      <c r="T205" s="19"/>
      <c r="U205" s="19">
        <v>129</v>
      </c>
      <c r="V205" s="19"/>
      <c r="W205" s="19"/>
      <c r="X205" s="19"/>
      <c r="Y205" s="19"/>
      <c r="Z205" t="str">
        <f>IF(Tabela1[[#This Row],[1]]&lt;&gt;"",IF(ISNUMBER(FIND(",",Tabela1[[#This Row],[1]])),LEN(Tabela1[[#This Row],[1]])-LEN(SUBSTITUTE(Tabela1[[#This Row],[1]],",",""))+1,1),"")</f>
        <v/>
      </c>
      <c r="AA205" t="str">
        <f>IF(Tabela1[[#This Row],[2]]&lt;&gt;"",IF(ISNUMBER(FIND(",",Tabela1[[#This Row],[2]])),LEN(Tabela1[[#This Row],[2]])-LEN(SUBSTITUTE(Tabela1[[#This Row],[2]],",",""))+1,1),"")</f>
        <v/>
      </c>
      <c r="AB205" t="str">
        <f>IF(Tabela1[[#This Row],[3]]&lt;&gt;"",IF(ISNUMBER(FIND(",",Tabela1[[#This Row],[3]])),LEN(Tabela1[[#This Row],[3]])-LEN(SUBSTITUTE(Tabela1[[#This Row],[3]],",",""))+1,1),"")</f>
        <v/>
      </c>
      <c r="AC205" t="str">
        <f>IF(Tabela1[[#This Row],[4]]&lt;&gt;"",IF(ISNUMBER(FIND(",",Tabela1[[#This Row],[4]])),LEN(Tabela1[[#This Row],[4]])-LEN(SUBSTITUTE(Tabela1[[#This Row],[4]],",",""))+1,1),"")</f>
        <v/>
      </c>
      <c r="AD205" t="str">
        <f>IF(Tabela1[[#This Row],[5]]&lt;&gt;"",IF(ISNUMBER(FIND(",",Tabela1[[#This Row],[5]])),LEN(Tabela1[[#This Row],[5]])-LEN(SUBSTITUTE(Tabela1[[#This Row],[5]],",",""))+1,1),"")</f>
        <v/>
      </c>
      <c r="AE205" t="str">
        <f>IF(Tabela1[[#This Row],[6]]&lt;&gt;"",IF(ISNUMBER(FIND(",",Tabela1[[#This Row],[6]])),LEN(Tabela1[[#This Row],[6]])-LEN(SUBSTITUTE(Tabela1[[#This Row],[6]],",",""))+1,1),"")</f>
        <v/>
      </c>
      <c r="AF205" t="str">
        <f>IF(Tabela1[[#This Row],[7]]&lt;&gt;"",IF(ISNUMBER(FIND(",",Tabela1[[#This Row],[7]])),LEN(Tabela1[[#This Row],[7]])-LEN(SUBSTITUTE(Tabela1[[#This Row],[7]],",",""))+1,1),"")</f>
        <v/>
      </c>
      <c r="AG205" t="str">
        <f>IF(Tabela1[[#This Row],[8]]&lt;&gt;"",IF(ISNUMBER(FIND(",",Tabela1[[#This Row],[8]])),LEN(Tabela1[[#This Row],[8]])-LEN(SUBSTITUTE(Tabela1[[#This Row],[8]],",",""))+1,1),"")</f>
        <v/>
      </c>
      <c r="AH205" t="str">
        <f>IF(Tabela1[[#This Row],[9]]&lt;&gt;"",IF(ISNUMBER(FIND(",",Tabela1[[#This Row],[9]])),LEN(Tabela1[[#This Row],[9]])-LEN(SUBSTITUTE(Tabela1[[#This Row],[9]],",",""))+1,1),"")</f>
        <v/>
      </c>
      <c r="AI205" t="str">
        <f>IF(Tabela1[[#This Row],[10]]&lt;&gt;"",IF(ISNUMBER(FIND(",",Tabela1[[#This Row],[10]])),LEN(Tabela1[[#This Row],[10]])-LEN(SUBSTITUTE(Tabela1[[#This Row],[10]],",",""))+1,1),"")</f>
        <v/>
      </c>
      <c r="AJ205" t="str">
        <f>IF(Tabela1[[#This Row],[11]]&lt;&gt;"",IF(ISNUMBER(FIND(",",Tabela1[[#This Row],[11]])),LEN(Tabela1[[#This Row],[11]])-LEN(SUBSTITUTE(Tabela1[[#This Row],[11]],",",""))+1,1),"")</f>
        <v/>
      </c>
      <c r="AK205" t="str">
        <f>IF(Tabela1[[#This Row],[12]]&lt;&gt;"",IF(ISNUMBER(FIND(",",Tabela1[[#This Row],[12]])),LEN(Tabela1[[#This Row],[12]])-LEN(SUBSTITUTE(Tabela1[[#This Row],[12]],",",""))+1,1),"")</f>
        <v/>
      </c>
      <c r="AL205" t="str">
        <f>IF(Tabela1[[#This Row],[13]]&lt;&gt;"",IF(ISNUMBER(FIND(",",Tabela1[[#This Row],[13]])),LEN(Tabela1[[#This Row],[13]])-LEN(SUBSTITUTE(Tabela1[[#This Row],[13]],",",""))+1,1),"")</f>
        <v/>
      </c>
      <c r="AM205" t="str">
        <f>IF(Tabela1[[#This Row],[14]]&lt;&gt;"",IF(ISNUMBER(FIND(",",Tabela1[[#This Row],[14]])),LEN(Tabela1[[#This Row],[14]])-LEN(SUBSTITUTE(Tabela1[[#This Row],[14]],",",""))+1,1),"")</f>
        <v/>
      </c>
      <c r="AN205" t="str">
        <f>IF(Tabela1[[#This Row],[15]]&lt;&gt;"",IF(ISNUMBER(FIND(",",Tabela1[[#This Row],[15]])),LEN(Tabela1[[#This Row],[15]])-LEN(SUBSTITUTE(Tabela1[[#This Row],[15]],",",""))+1,1),"")</f>
        <v/>
      </c>
      <c r="AO205">
        <f>IF(Tabela1[[#This Row],[16]]&lt;&gt;"",IF(ISNUMBER(FIND(",",Tabela1[[#This Row],[16]])),LEN(Tabela1[[#This Row],[16]])-LEN(SUBSTITUTE(Tabela1[[#This Row],[16]],",",""))+1,1),"")</f>
        <v>1</v>
      </c>
      <c r="AP205" t="str">
        <f>IF(Tabela1[[#This Row],[17]]&lt;&gt;"",IF(ISNUMBER(FIND(",",Tabela1[[#This Row],[17]])),LEN(Tabela1[[#This Row],[17]])-LEN(SUBSTITUTE(Tabela1[[#This Row],[17]],",",""))+1,1),"")</f>
        <v/>
      </c>
      <c r="AQ205" t="str">
        <f>IF(Tabela1[[#This Row],[18]]&lt;&gt;"",IF(ISNUMBER(FIND(",",Tabela1[[#This Row],[18]])),LEN(Tabela1[[#This Row],[18]])-LEN(SUBSTITUTE(Tabela1[[#This Row],[18]],",",""))+1,1),"")</f>
        <v/>
      </c>
      <c r="AR205" s="13" t="str">
        <f>IF(Tabela1[[#This Row],[19_LENGTH]]&lt;&gt;"",IF(ISNUMBER(FIND(",",Tabela1[[#This Row],[19_LENGTH]])),LEN(Tabela1[[#This Row],[19_LENGTH]])-LEN(SUBSTITUTE(Tabela1[[#This Row],[19_LENGTH]],",",""))+1,1),"")</f>
        <v/>
      </c>
      <c r="AS205" s="21">
        <f>SUM(Tabela1[[#This Row],[1_]:[19_]])</f>
        <v>1</v>
      </c>
    </row>
    <row r="206" spans="1:45" x14ac:dyDescent="0.25">
      <c r="A206" s="27" t="s">
        <v>1322</v>
      </c>
      <c r="B206" s="19" t="s">
        <v>740</v>
      </c>
      <c r="C206" s="19">
        <v>198</v>
      </c>
      <c r="D206" s="19" t="s">
        <v>1315</v>
      </c>
      <c r="E206" s="20">
        <v>43482</v>
      </c>
      <c r="F206" s="19"/>
      <c r="G206" s="19"/>
      <c r="H206" s="19"/>
      <c r="I206" s="19">
        <v>97</v>
      </c>
      <c r="J206" s="19"/>
      <c r="K206" s="19"/>
      <c r="L206" s="19"/>
      <c r="M206" s="19"/>
      <c r="N206" s="19"/>
      <c r="O206" s="19"/>
      <c r="P206" s="19"/>
      <c r="Q206" s="19"/>
      <c r="R206" s="19"/>
      <c r="S206" s="19"/>
      <c r="T206" s="19"/>
      <c r="U206" s="19"/>
      <c r="V206" s="19"/>
      <c r="W206" s="19"/>
      <c r="X206" s="19"/>
      <c r="Y206" s="19"/>
      <c r="Z206" t="str">
        <f>IF(Tabela1[[#This Row],[1]]&lt;&gt;"",IF(ISNUMBER(FIND(",",Tabela1[[#This Row],[1]])),LEN(Tabela1[[#This Row],[1]])-LEN(SUBSTITUTE(Tabela1[[#This Row],[1]],",",""))+1,1),"")</f>
        <v/>
      </c>
      <c r="AA206" t="str">
        <f>IF(Tabela1[[#This Row],[2]]&lt;&gt;"",IF(ISNUMBER(FIND(",",Tabela1[[#This Row],[2]])),LEN(Tabela1[[#This Row],[2]])-LEN(SUBSTITUTE(Tabela1[[#This Row],[2]],",",""))+1,1),"")</f>
        <v/>
      </c>
      <c r="AB206" t="str">
        <f>IF(Tabela1[[#This Row],[3]]&lt;&gt;"",IF(ISNUMBER(FIND(",",Tabela1[[#This Row],[3]])),LEN(Tabela1[[#This Row],[3]])-LEN(SUBSTITUTE(Tabela1[[#This Row],[3]],",",""))+1,1),"")</f>
        <v/>
      </c>
      <c r="AC206">
        <f>IF(Tabela1[[#This Row],[4]]&lt;&gt;"",IF(ISNUMBER(FIND(",",Tabela1[[#This Row],[4]])),LEN(Tabela1[[#This Row],[4]])-LEN(SUBSTITUTE(Tabela1[[#This Row],[4]],",",""))+1,1),"")</f>
        <v>1</v>
      </c>
      <c r="AD206" t="str">
        <f>IF(Tabela1[[#This Row],[5]]&lt;&gt;"",IF(ISNUMBER(FIND(",",Tabela1[[#This Row],[5]])),LEN(Tabela1[[#This Row],[5]])-LEN(SUBSTITUTE(Tabela1[[#This Row],[5]],",",""))+1,1),"")</f>
        <v/>
      </c>
      <c r="AE206" t="str">
        <f>IF(Tabela1[[#This Row],[6]]&lt;&gt;"",IF(ISNUMBER(FIND(",",Tabela1[[#This Row],[6]])),LEN(Tabela1[[#This Row],[6]])-LEN(SUBSTITUTE(Tabela1[[#This Row],[6]],",",""))+1,1),"")</f>
        <v/>
      </c>
      <c r="AF206" t="str">
        <f>IF(Tabela1[[#This Row],[7]]&lt;&gt;"",IF(ISNUMBER(FIND(",",Tabela1[[#This Row],[7]])),LEN(Tabela1[[#This Row],[7]])-LEN(SUBSTITUTE(Tabela1[[#This Row],[7]],",",""))+1,1),"")</f>
        <v/>
      </c>
      <c r="AG206" t="str">
        <f>IF(Tabela1[[#This Row],[8]]&lt;&gt;"",IF(ISNUMBER(FIND(",",Tabela1[[#This Row],[8]])),LEN(Tabela1[[#This Row],[8]])-LEN(SUBSTITUTE(Tabela1[[#This Row],[8]],",",""))+1,1),"")</f>
        <v/>
      </c>
      <c r="AH206" t="str">
        <f>IF(Tabela1[[#This Row],[9]]&lt;&gt;"",IF(ISNUMBER(FIND(",",Tabela1[[#This Row],[9]])),LEN(Tabela1[[#This Row],[9]])-LEN(SUBSTITUTE(Tabela1[[#This Row],[9]],",",""))+1,1),"")</f>
        <v/>
      </c>
      <c r="AI206" t="str">
        <f>IF(Tabela1[[#This Row],[10]]&lt;&gt;"",IF(ISNUMBER(FIND(",",Tabela1[[#This Row],[10]])),LEN(Tabela1[[#This Row],[10]])-LEN(SUBSTITUTE(Tabela1[[#This Row],[10]],",",""))+1,1),"")</f>
        <v/>
      </c>
      <c r="AJ206" t="str">
        <f>IF(Tabela1[[#This Row],[11]]&lt;&gt;"",IF(ISNUMBER(FIND(",",Tabela1[[#This Row],[11]])),LEN(Tabela1[[#This Row],[11]])-LEN(SUBSTITUTE(Tabela1[[#This Row],[11]],",",""))+1,1),"")</f>
        <v/>
      </c>
      <c r="AK206" t="str">
        <f>IF(Tabela1[[#This Row],[12]]&lt;&gt;"",IF(ISNUMBER(FIND(",",Tabela1[[#This Row],[12]])),LEN(Tabela1[[#This Row],[12]])-LEN(SUBSTITUTE(Tabela1[[#This Row],[12]],",",""))+1,1),"")</f>
        <v/>
      </c>
      <c r="AL206" t="str">
        <f>IF(Tabela1[[#This Row],[13]]&lt;&gt;"",IF(ISNUMBER(FIND(",",Tabela1[[#This Row],[13]])),LEN(Tabela1[[#This Row],[13]])-LEN(SUBSTITUTE(Tabela1[[#This Row],[13]],",",""))+1,1),"")</f>
        <v/>
      </c>
      <c r="AM206" t="str">
        <f>IF(Tabela1[[#This Row],[14]]&lt;&gt;"",IF(ISNUMBER(FIND(",",Tabela1[[#This Row],[14]])),LEN(Tabela1[[#This Row],[14]])-LEN(SUBSTITUTE(Tabela1[[#This Row],[14]],",",""))+1,1),"")</f>
        <v/>
      </c>
      <c r="AN206" t="str">
        <f>IF(Tabela1[[#This Row],[15]]&lt;&gt;"",IF(ISNUMBER(FIND(",",Tabela1[[#This Row],[15]])),LEN(Tabela1[[#This Row],[15]])-LEN(SUBSTITUTE(Tabela1[[#This Row],[15]],",",""))+1,1),"")</f>
        <v/>
      </c>
      <c r="AO206" t="str">
        <f>IF(Tabela1[[#This Row],[16]]&lt;&gt;"",IF(ISNUMBER(FIND(",",Tabela1[[#This Row],[16]])),LEN(Tabela1[[#This Row],[16]])-LEN(SUBSTITUTE(Tabela1[[#This Row],[16]],",",""))+1,1),"")</f>
        <v/>
      </c>
      <c r="AP206" t="str">
        <f>IF(Tabela1[[#This Row],[17]]&lt;&gt;"",IF(ISNUMBER(FIND(",",Tabela1[[#This Row],[17]])),LEN(Tabela1[[#This Row],[17]])-LEN(SUBSTITUTE(Tabela1[[#This Row],[17]],",",""))+1,1),"")</f>
        <v/>
      </c>
      <c r="AQ206" t="str">
        <f>IF(Tabela1[[#This Row],[18]]&lt;&gt;"",IF(ISNUMBER(FIND(",",Tabela1[[#This Row],[18]])),LEN(Tabela1[[#This Row],[18]])-LEN(SUBSTITUTE(Tabela1[[#This Row],[18]],",",""))+1,1),"")</f>
        <v/>
      </c>
      <c r="AR206" s="13" t="str">
        <f>IF(Tabela1[[#This Row],[19_LENGTH]]&lt;&gt;"",IF(ISNUMBER(FIND(",",Tabela1[[#This Row],[19_LENGTH]])),LEN(Tabela1[[#This Row],[19_LENGTH]])-LEN(SUBSTITUTE(Tabela1[[#This Row],[19_LENGTH]],",",""))+1,1),"")</f>
        <v/>
      </c>
      <c r="AS206" s="21">
        <f>SUM(Tabela1[[#This Row],[1_]:[19_]])</f>
        <v>1</v>
      </c>
    </row>
    <row r="207" spans="1:45" x14ac:dyDescent="0.25">
      <c r="A207" s="27" t="s">
        <v>1322</v>
      </c>
      <c r="B207" s="19" t="s">
        <v>407</v>
      </c>
      <c r="C207" s="19">
        <v>202</v>
      </c>
      <c r="D207" s="19" t="s">
        <v>1314</v>
      </c>
      <c r="E207" s="20">
        <v>43482</v>
      </c>
      <c r="F207" s="19"/>
      <c r="G207" s="19"/>
      <c r="H207" s="19"/>
      <c r="I207" s="19"/>
      <c r="J207" s="19">
        <v>41</v>
      </c>
      <c r="K207" s="19"/>
      <c r="L207" s="19"/>
      <c r="M207" s="19"/>
      <c r="N207" s="19"/>
      <c r="O207" s="19"/>
      <c r="P207" s="19"/>
      <c r="Q207" s="19"/>
      <c r="R207" s="19"/>
      <c r="S207" s="19"/>
      <c r="T207" s="19"/>
      <c r="U207" s="19"/>
      <c r="V207" s="19"/>
      <c r="W207" s="19"/>
      <c r="X207" s="19"/>
      <c r="Y207" s="19"/>
      <c r="Z207" t="str">
        <f>IF(Tabela1[[#This Row],[1]]&lt;&gt;"",IF(ISNUMBER(FIND(",",Tabela1[[#This Row],[1]])),LEN(Tabela1[[#This Row],[1]])-LEN(SUBSTITUTE(Tabela1[[#This Row],[1]],",",""))+1,1),"")</f>
        <v/>
      </c>
      <c r="AA207" t="str">
        <f>IF(Tabela1[[#This Row],[2]]&lt;&gt;"",IF(ISNUMBER(FIND(",",Tabela1[[#This Row],[2]])),LEN(Tabela1[[#This Row],[2]])-LEN(SUBSTITUTE(Tabela1[[#This Row],[2]],",",""))+1,1),"")</f>
        <v/>
      </c>
      <c r="AB207" t="str">
        <f>IF(Tabela1[[#This Row],[3]]&lt;&gt;"",IF(ISNUMBER(FIND(",",Tabela1[[#This Row],[3]])),LEN(Tabela1[[#This Row],[3]])-LEN(SUBSTITUTE(Tabela1[[#This Row],[3]],",",""))+1,1),"")</f>
        <v/>
      </c>
      <c r="AC207" t="str">
        <f>IF(Tabela1[[#This Row],[4]]&lt;&gt;"",IF(ISNUMBER(FIND(",",Tabela1[[#This Row],[4]])),LEN(Tabela1[[#This Row],[4]])-LEN(SUBSTITUTE(Tabela1[[#This Row],[4]],",",""))+1,1),"")</f>
        <v/>
      </c>
      <c r="AD207">
        <f>IF(Tabela1[[#This Row],[5]]&lt;&gt;"",IF(ISNUMBER(FIND(",",Tabela1[[#This Row],[5]])),LEN(Tabela1[[#This Row],[5]])-LEN(SUBSTITUTE(Tabela1[[#This Row],[5]],",",""))+1,1),"")</f>
        <v>1</v>
      </c>
      <c r="AE207" t="str">
        <f>IF(Tabela1[[#This Row],[6]]&lt;&gt;"",IF(ISNUMBER(FIND(",",Tabela1[[#This Row],[6]])),LEN(Tabela1[[#This Row],[6]])-LEN(SUBSTITUTE(Tabela1[[#This Row],[6]],",",""))+1,1),"")</f>
        <v/>
      </c>
      <c r="AF207" t="str">
        <f>IF(Tabela1[[#This Row],[7]]&lt;&gt;"",IF(ISNUMBER(FIND(",",Tabela1[[#This Row],[7]])),LEN(Tabela1[[#This Row],[7]])-LEN(SUBSTITUTE(Tabela1[[#This Row],[7]],",",""))+1,1),"")</f>
        <v/>
      </c>
      <c r="AG207" t="str">
        <f>IF(Tabela1[[#This Row],[8]]&lt;&gt;"",IF(ISNUMBER(FIND(",",Tabela1[[#This Row],[8]])),LEN(Tabela1[[#This Row],[8]])-LEN(SUBSTITUTE(Tabela1[[#This Row],[8]],",",""))+1,1),"")</f>
        <v/>
      </c>
      <c r="AH207" t="str">
        <f>IF(Tabela1[[#This Row],[9]]&lt;&gt;"",IF(ISNUMBER(FIND(",",Tabela1[[#This Row],[9]])),LEN(Tabela1[[#This Row],[9]])-LEN(SUBSTITUTE(Tabela1[[#This Row],[9]],",",""))+1,1),"")</f>
        <v/>
      </c>
      <c r="AI207" t="str">
        <f>IF(Tabela1[[#This Row],[10]]&lt;&gt;"",IF(ISNUMBER(FIND(",",Tabela1[[#This Row],[10]])),LEN(Tabela1[[#This Row],[10]])-LEN(SUBSTITUTE(Tabela1[[#This Row],[10]],",",""))+1,1),"")</f>
        <v/>
      </c>
      <c r="AJ207" t="str">
        <f>IF(Tabela1[[#This Row],[11]]&lt;&gt;"",IF(ISNUMBER(FIND(",",Tabela1[[#This Row],[11]])),LEN(Tabela1[[#This Row],[11]])-LEN(SUBSTITUTE(Tabela1[[#This Row],[11]],",",""))+1,1),"")</f>
        <v/>
      </c>
      <c r="AK207" t="str">
        <f>IF(Tabela1[[#This Row],[12]]&lt;&gt;"",IF(ISNUMBER(FIND(",",Tabela1[[#This Row],[12]])),LEN(Tabela1[[#This Row],[12]])-LEN(SUBSTITUTE(Tabela1[[#This Row],[12]],",",""))+1,1),"")</f>
        <v/>
      </c>
      <c r="AL207" t="str">
        <f>IF(Tabela1[[#This Row],[13]]&lt;&gt;"",IF(ISNUMBER(FIND(",",Tabela1[[#This Row],[13]])),LEN(Tabela1[[#This Row],[13]])-LEN(SUBSTITUTE(Tabela1[[#This Row],[13]],",",""))+1,1),"")</f>
        <v/>
      </c>
      <c r="AM207" t="str">
        <f>IF(Tabela1[[#This Row],[14]]&lt;&gt;"",IF(ISNUMBER(FIND(",",Tabela1[[#This Row],[14]])),LEN(Tabela1[[#This Row],[14]])-LEN(SUBSTITUTE(Tabela1[[#This Row],[14]],",",""))+1,1),"")</f>
        <v/>
      </c>
      <c r="AN207" t="str">
        <f>IF(Tabela1[[#This Row],[15]]&lt;&gt;"",IF(ISNUMBER(FIND(",",Tabela1[[#This Row],[15]])),LEN(Tabela1[[#This Row],[15]])-LEN(SUBSTITUTE(Tabela1[[#This Row],[15]],",",""))+1,1),"")</f>
        <v/>
      </c>
      <c r="AO207" t="str">
        <f>IF(Tabela1[[#This Row],[16]]&lt;&gt;"",IF(ISNUMBER(FIND(",",Tabela1[[#This Row],[16]])),LEN(Tabela1[[#This Row],[16]])-LEN(SUBSTITUTE(Tabela1[[#This Row],[16]],",",""))+1,1),"")</f>
        <v/>
      </c>
      <c r="AP207" t="str">
        <f>IF(Tabela1[[#This Row],[17]]&lt;&gt;"",IF(ISNUMBER(FIND(",",Tabela1[[#This Row],[17]])),LEN(Tabela1[[#This Row],[17]])-LEN(SUBSTITUTE(Tabela1[[#This Row],[17]],",",""))+1,1),"")</f>
        <v/>
      </c>
      <c r="AQ207" t="str">
        <f>IF(Tabela1[[#This Row],[18]]&lt;&gt;"",IF(ISNUMBER(FIND(",",Tabela1[[#This Row],[18]])),LEN(Tabela1[[#This Row],[18]])-LEN(SUBSTITUTE(Tabela1[[#This Row],[18]],",",""))+1,1),"")</f>
        <v/>
      </c>
      <c r="AR207" s="13" t="str">
        <f>IF(Tabela1[[#This Row],[19_LENGTH]]&lt;&gt;"",IF(ISNUMBER(FIND(",",Tabela1[[#This Row],[19_LENGTH]])),LEN(Tabela1[[#This Row],[19_LENGTH]])-LEN(SUBSTITUTE(Tabela1[[#This Row],[19_LENGTH]],",",""))+1,1),"")</f>
        <v/>
      </c>
      <c r="AS207" s="21">
        <f>SUM(Tabela1[[#This Row],[1_]:[19_]])</f>
        <v>1</v>
      </c>
    </row>
    <row r="208" spans="1:45" x14ac:dyDescent="0.25">
      <c r="A208" s="27" t="s">
        <v>1322</v>
      </c>
      <c r="B208" s="19" t="s">
        <v>408</v>
      </c>
      <c r="C208" s="19">
        <v>202</v>
      </c>
      <c r="D208" s="19" t="s">
        <v>1314</v>
      </c>
      <c r="E208" s="20">
        <v>43482</v>
      </c>
      <c r="F208" s="19"/>
      <c r="G208" s="19"/>
      <c r="H208" s="19"/>
      <c r="I208" s="19"/>
      <c r="J208" s="19" t="s">
        <v>81</v>
      </c>
      <c r="K208" s="19"/>
      <c r="L208" s="19"/>
      <c r="M208" s="19"/>
      <c r="N208" s="19"/>
      <c r="O208" s="19"/>
      <c r="P208" s="19"/>
      <c r="Q208" s="19"/>
      <c r="R208" s="19"/>
      <c r="S208" s="19"/>
      <c r="T208" s="19"/>
      <c r="U208" s="19"/>
      <c r="V208" s="19"/>
      <c r="W208" s="19"/>
      <c r="X208" s="19"/>
      <c r="Y208" s="19"/>
      <c r="Z208" t="str">
        <f>IF(Tabela1[[#This Row],[1]]&lt;&gt;"",IF(ISNUMBER(FIND(",",Tabela1[[#This Row],[1]])),LEN(Tabela1[[#This Row],[1]])-LEN(SUBSTITUTE(Tabela1[[#This Row],[1]],",",""))+1,1),"")</f>
        <v/>
      </c>
      <c r="AA208" t="str">
        <f>IF(Tabela1[[#This Row],[2]]&lt;&gt;"",IF(ISNUMBER(FIND(",",Tabela1[[#This Row],[2]])),LEN(Tabela1[[#This Row],[2]])-LEN(SUBSTITUTE(Tabela1[[#This Row],[2]],",",""))+1,1),"")</f>
        <v/>
      </c>
      <c r="AB208" t="str">
        <f>IF(Tabela1[[#This Row],[3]]&lt;&gt;"",IF(ISNUMBER(FIND(",",Tabela1[[#This Row],[3]])),LEN(Tabela1[[#This Row],[3]])-LEN(SUBSTITUTE(Tabela1[[#This Row],[3]],",",""))+1,1),"")</f>
        <v/>
      </c>
      <c r="AC208" t="str">
        <f>IF(Tabela1[[#This Row],[4]]&lt;&gt;"",IF(ISNUMBER(FIND(",",Tabela1[[#This Row],[4]])),LEN(Tabela1[[#This Row],[4]])-LEN(SUBSTITUTE(Tabela1[[#This Row],[4]],",",""))+1,1),"")</f>
        <v/>
      </c>
      <c r="AD208">
        <f>IF(Tabela1[[#This Row],[5]]&lt;&gt;"",IF(ISNUMBER(FIND(",",Tabela1[[#This Row],[5]])),LEN(Tabela1[[#This Row],[5]])-LEN(SUBSTITUTE(Tabela1[[#This Row],[5]],",",""))+1,1),"")</f>
        <v>2</v>
      </c>
      <c r="AE208" t="str">
        <f>IF(Tabela1[[#This Row],[6]]&lt;&gt;"",IF(ISNUMBER(FIND(",",Tabela1[[#This Row],[6]])),LEN(Tabela1[[#This Row],[6]])-LEN(SUBSTITUTE(Tabela1[[#This Row],[6]],",",""))+1,1),"")</f>
        <v/>
      </c>
      <c r="AF208" t="str">
        <f>IF(Tabela1[[#This Row],[7]]&lt;&gt;"",IF(ISNUMBER(FIND(",",Tabela1[[#This Row],[7]])),LEN(Tabela1[[#This Row],[7]])-LEN(SUBSTITUTE(Tabela1[[#This Row],[7]],",",""))+1,1),"")</f>
        <v/>
      </c>
      <c r="AG208" t="str">
        <f>IF(Tabela1[[#This Row],[8]]&lt;&gt;"",IF(ISNUMBER(FIND(",",Tabela1[[#This Row],[8]])),LEN(Tabela1[[#This Row],[8]])-LEN(SUBSTITUTE(Tabela1[[#This Row],[8]],",",""))+1,1),"")</f>
        <v/>
      </c>
      <c r="AH208" t="str">
        <f>IF(Tabela1[[#This Row],[9]]&lt;&gt;"",IF(ISNUMBER(FIND(",",Tabela1[[#This Row],[9]])),LEN(Tabela1[[#This Row],[9]])-LEN(SUBSTITUTE(Tabela1[[#This Row],[9]],",",""))+1,1),"")</f>
        <v/>
      </c>
      <c r="AI208" t="str">
        <f>IF(Tabela1[[#This Row],[10]]&lt;&gt;"",IF(ISNUMBER(FIND(",",Tabela1[[#This Row],[10]])),LEN(Tabela1[[#This Row],[10]])-LEN(SUBSTITUTE(Tabela1[[#This Row],[10]],",",""))+1,1),"")</f>
        <v/>
      </c>
      <c r="AJ208" t="str">
        <f>IF(Tabela1[[#This Row],[11]]&lt;&gt;"",IF(ISNUMBER(FIND(",",Tabela1[[#This Row],[11]])),LEN(Tabela1[[#This Row],[11]])-LEN(SUBSTITUTE(Tabela1[[#This Row],[11]],",",""))+1,1),"")</f>
        <v/>
      </c>
      <c r="AK208" t="str">
        <f>IF(Tabela1[[#This Row],[12]]&lt;&gt;"",IF(ISNUMBER(FIND(",",Tabela1[[#This Row],[12]])),LEN(Tabela1[[#This Row],[12]])-LEN(SUBSTITUTE(Tabela1[[#This Row],[12]],",",""))+1,1),"")</f>
        <v/>
      </c>
      <c r="AL208" t="str">
        <f>IF(Tabela1[[#This Row],[13]]&lt;&gt;"",IF(ISNUMBER(FIND(",",Tabela1[[#This Row],[13]])),LEN(Tabela1[[#This Row],[13]])-LEN(SUBSTITUTE(Tabela1[[#This Row],[13]],",",""))+1,1),"")</f>
        <v/>
      </c>
      <c r="AM208" t="str">
        <f>IF(Tabela1[[#This Row],[14]]&lt;&gt;"",IF(ISNUMBER(FIND(",",Tabela1[[#This Row],[14]])),LEN(Tabela1[[#This Row],[14]])-LEN(SUBSTITUTE(Tabela1[[#This Row],[14]],",",""))+1,1),"")</f>
        <v/>
      </c>
      <c r="AN208" t="str">
        <f>IF(Tabela1[[#This Row],[15]]&lt;&gt;"",IF(ISNUMBER(FIND(",",Tabela1[[#This Row],[15]])),LEN(Tabela1[[#This Row],[15]])-LEN(SUBSTITUTE(Tabela1[[#This Row],[15]],",",""))+1,1),"")</f>
        <v/>
      </c>
      <c r="AO208" t="str">
        <f>IF(Tabela1[[#This Row],[16]]&lt;&gt;"",IF(ISNUMBER(FIND(",",Tabela1[[#This Row],[16]])),LEN(Tabela1[[#This Row],[16]])-LEN(SUBSTITUTE(Tabela1[[#This Row],[16]],",",""))+1,1),"")</f>
        <v/>
      </c>
      <c r="AP208" t="str">
        <f>IF(Tabela1[[#This Row],[17]]&lt;&gt;"",IF(ISNUMBER(FIND(",",Tabela1[[#This Row],[17]])),LEN(Tabela1[[#This Row],[17]])-LEN(SUBSTITUTE(Tabela1[[#This Row],[17]],",",""))+1,1),"")</f>
        <v/>
      </c>
      <c r="AQ208" t="str">
        <f>IF(Tabela1[[#This Row],[18]]&lt;&gt;"",IF(ISNUMBER(FIND(",",Tabela1[[#This Row],[18]])),LEN(Tabela1[[#This Row],[18]])-LEN(SUBSTITUTE(Tabela1[[#This Row],[18]],",",""))+1,1),"")</f>
        <v/>
      </c>
      <c r="AR208" s="13" t="str">
        <f>IF(Tabela1[[#This Row],[19_LENGTH]]&lt;&gt;"",IF(ISNUMBER(FIND(",",Tabela1[[#This Row],[19_LENGTH]])),LEN(Tabela1[[#This Row],[19_LENGTH]])-LEN(SUBSTITUTE(Tabela1[[#This Row],[19_LENGTH]],",",""))+1,1),"")</f>
        <v/>
      </c>
      <c r="AS208" s="21">
        <f>SUM(Tabela1[[#This Row],[1_]:[19_]])</f>
        <v>2</v>
      </c>
    </row>
    <row r="209" spans="1:45" x14ac:dyDescent="0.25">
      <c r="A209" s="27" t="s">
        <v>1322</v>
      </c>
      <c r="B209" s="19" t="s">
        <v>409</v>
      </c>
      <c r="C209" s="19">
        <v>202</v>
      </c>
      <c r="D209" s="19" t="s">
        <v>1292</v>
      </c>
      <c r="E209" s="20">
        <v>43481</v>
      </c>
      <c r="F209" s="19"/>
      <c r="G209" s="19"/>
      <c r="H209" s="19"/>
      <c r="I209" s="19"/>
      <c r="J209" s="19"/>
      <c r="K209" s="19"/>
      <c r="L209" s="19"/>
      <c r="M209" s="19"/>
      <c r="N209" s="19"/>
      <c r="O209" s="19"/>
      <c r="P209" s="19"/>
      <c r="Q209" s="19"/>
      <c r="R209" s="19"/>
      <c r="S209" s="19"/>
      <c r="T209" s="19"/>
      <c r="U209" s="19">
        <v>145</v>
      </c>
      <c r="V209" s="19"/>
      <c r="W209" s="19"/>
      <c r="X209" s="19"/>
      <c r="Y209" s="19"/>
      <c r="Z209" t="str">
        <f>IF(Tabela1[[#This Row],[1]]&lt;&gt;"",IF(ISNUMBER(FIND(",",Tabela1[[#This Row],[1]])),LEN(Tabela1[[#This Row],[1]])-LEN(SUBSTITUTE(Tabela1[[#This Row],[1]],",",""))+1,1),"")</f>
        <v/>
      </c>
      <c r="AA209" t="str">
        <f>IF(Tabela1[[#This Row],[2]]&lt;&gt;"",IF(ISNUMBER(FIND(",",Tabela1[[#This Row],[2]])),LEN(Tabela1[[#This Row],[2]])-LEN(SUBSTITUTE(Tabela1[[#This Row],[2]],",",""))+1,1),"")</f>
        <v/>
      </c>
      <c r="AB209" t="str">
        <f>IF(Tabela1[[#This Row],[3]]&lt;&gt;"",IF(ISNUMBER(FIND(",",Tabela1[[#This Row],[3]])),LEN(Tabela1[[#This Row],[3]])-LEN(SUBSTITUTE(Tabela1[[#This Row],[3]],",",""))+1,1),"")</f>
        <v/>
      </c>
      <c r="AC209" t="str">
        <f>IF(Tabela1[[#This Row],[4]]&lt;&gt;"",IF(ISNUMBER(FIND(",",Tabela1[[#This Row],[4]])),LEN(Tabela1[[#This Row],[4]])-LEN(SUBSTITUTE(Tabela1[[#This Row],[4]],",",""))+1,1),"")</f>
        <v/>
      </c>
      <c r="AD209" t="str">
        <f>IF(Tabela1[[#This Row],[5]]&lt;&gt;"",IF(ISNUMBER(FIND(",",Tabela1[[#This Row],[5]])),LEN(Tabela1[[#This Row],[5]])-LEN(SUBSTITUTE(Tabela1[[#This Row],[5]],",",""))+1,1),"")</f>
        <v/>
      </c>
      <c r="AE209" t="str">
        <f>IF(Tabela1[[#This Row],[6]]&lt;&gt;"",IF(ISNUMBER(FIND(",",Tabela1[[#This Row],[6]])),LEN(Tabela1[[#This Row],[6]])-LEN(SUBSTITUTE(Tabela1[[#This Row],[6]],",",""))+1,1),"")</f>
        <v/>
      </c>
      <c r="AF209" t="str">
        <f>IF(Tabela1[[#This Row],[7]]&lt;&gt;"",IF(ISNUMBER(FIND(",",Tabela1[[#This Row],[7]])),LEN(Tabela1[[#This Row],[7]])-LEN(SUBSTITUTE(Tabela1[[#This Row],[7]],",",""))+1,1),"")</f>
        <v/>
      </c>
      <c r="AG209" t="str">
        <f>IF(Tabela1[[#This Row],[8]]&lt;&gt;"",IF(ISNUMBER(FIND(",",Tabela1[[#This Row],[8]])),LEN(Tabela1[[#This Row],[8]])-LEN(SUBSTITUTE(Tabela1[[#This Row],[8]],",",""))+1,1),"")</f>
        <v/>
      </c>
      <c r="AH209" t="str">
        <f>IF(Tabela1[[#This Row],[9]]&lt;&gt;"",IF(ISNUMBER(FIND(",",Tabela1[[#This Row],[9]])),LEN(Tabela1[[#This Row],[9]])-LEN(SUBSTITUTE(Tabela1[[#This Row],[9]],",",""))+1,1),"")</f>
        <v/>
      </c>
      <c r="AI209" t="str">
        <f>IF(Tabela1[[#This Row],[10]]&lt;&gt;"",IF(ISNUMBER(FIND(",",Tabela1[[#This Row],[10]])),LEN(Tabela1[[#This Row],[10]])-LEN(SUBSTITUTE(Tabela1[[#This Row],[10]],",",""))+1,1),"")</f>
        <v/>
      </c>
      <c r="AJ209" t="str">
        <f>IF(Tabela1[[#This Row],[11]]&lt;&gt;"",IF(ISNUMBER(FIND(",",Tabela1[[#This Row],[11]])),LEN(Tabela1[[#This Row],[11]])-LEN(SUBSTITUTE(Tabela1[[#This Row],[11]],",",""))+1,1),"")</f>
        <v/>
      </c>
      <c r="AK209" t="str">
        <f>IF(Tabela1[[#This Row],[12]]&lt;&gt;"",IF(ISNUMBER(FIND(",",Tabela1[[#This Row],[12]])),LEN(Tabela1[[#This Row],[12]])-LEN(SUBSTITUTE(Tabela1[[#This Row],[12]],",",""))+1,1),"")</f>
        <v/>
      </c>
      <c r="AL209" t="str">
        <f>IF(Tabela1[[#This Row],[13]]&lt;&gt;"",IF(ISNUMBER(FIND(",",Tabela1[[#This Row],[13]])),LEN(Tabela1[[#This Row],[13]])-LEN(SUBSTITUTE(Tabela1[[#This Row],[13]],",",""))+1,1),"")</f>
        <v/>
      </c>
      <c r="AM209" t="str">
        <f>IF(Tabela1[[#This Row],[14]]&lt;&gt;"",IF(ISNUMBER(FIND(",",Tabela1[[#This Row],[14]])),LEN(Tabela1[[#This Row],[14]])-LEN(SUBSTITUTE(Tabela1[[#This Row],[14]],",",""))+1,1),"")</f>
        <v/>
      </c>
      <c r="AN209" t="str">
        <f>IF(Tabela1[[#This Row],[15]]&lt;&gt;"",IF(ISNUMBER(FIND(",",Tabela1[[#This Row],[15]])),LEN(Tabela1[[#This Row],[15]])-LEN(SUBSTITUTE(Tabela1[[#This Row],[15]],",",""))+1,1),"")</f>
        <v/>
      </c>
      <c r="AO209">
        <f>IF(Tabela1[[#This Row],[16]]&lt;&gt;"",IF(ISNUMBER(FIND(",",Tabela1[[#This Row],[16]])),LEN(Tabela1[[#This Row],[16]])-LEN(SUBSTITUTE(Tabela1[[#This Row],[16]],",",""))+1,1),"")</f>
        <v>1</v>
      </c>
      <c r="AP209" t="str">
        <f>IF(Tabela1[[#This Row],[17]]&lt;&gt;"",IF(ISNUMBER(FIND(",",Tabela1[[#This Row],[17]])),LEN(Tabela1[[#This Row],[17]])-LEN(SUBSTITUTE(Tabela1[[#This Row],[17]],",",""))+1,1),"")</f>
        <v/>
      </c>
      <c r="AQ209" t="str">
        <f>IF(Tabela1[[#This Row],[18]]&lt;&gt;"",IF(ISNUMBER(FIND(",",Tabela1[[#This Row],[18]])),LEN(Tabela1[[#This Row],[18]])-LEN(SUBSTITUTE(Tabela1[[#This Row],[18]],",",""))+1,1),"")</f>
        <v/>
      </c>
      <c r="AR209" s="13" t="str">
        <f>IF(Tabela1[[#This Row],[19_LENGTH]]&lt;&gt;"",IF(ISNUMBER(FIND(",",Tabela1[[#This Row],[19_LENGTH]])),LEN(Tabela1[[#This Row],[19_LENGTH]])-LEN(SUBSTITUTE(Tabela1[[#This Row],[19_LENGTH]],",",""))+1,1),"")</f>
        <v/>
      </c>
      <c r="AS209" s="21">
        <f>SUM(Tabela1[[#This Row],[1_]:[19_]])</f>
        <v>1</v>
      </c>
    </row>
    <row r="210" spans="1:45" x14ac:dyDescent="0.25">
      <c r="A210" s="27" t="s">
        <v>1322</v>
      </c>
      <c r="B210" s="19" t="s">
        <v>410</v>
      </c>
      <c r="C210" s="19">
        <v>202</v>
      </c>
      <c r="D210" s="19" t="s">
        <v>1292</v>
      </c>
      <c r="E210" s="20">
        <v>43481</v>
      </c>
      <c r="F210" s="19"/>
      <c r="G210" s="19"/>
      <c r="H210" s="19"/>
      <c r="I210" s="19"/>
      <c r="J210" s="19"/>
      <c r="K210" s="19"/>
      <c r="L210" s="19"/>
      <c r="M210" s="19">
        <v>38</v>
      </c>
      <c r="N210" s="19"/>
      <c r="O210" s="19"/>
      <c r="P210" s="19"/>
      <c r="Q210" s="19"/>
      <c r="R210" s="19"/>
      <c r="S210" s="19"/>
      <c r="T210" s="19"/>
      <c r="U210" s="19">
        <v>11</v>
      </c>
      <c r="V210" s="19"/>
      <c r="W210" s="19"/>
      <c r="X210" s="19"/>
      <c r="Y210" s="19"/>
      <c r="Z210" t="str">
        <f>IF(Tabela1[[#This Row],[1]]&lt;&gt;"",IF(ISNUMBER(FIND(",",Tabela1[[#This Row],[1]])),LEN(Tabela1[[#This Row],[1]])-LEN(SUBSTITUTE(Tabela1[[#This Row],[1]],",",""))+1,1),"")</f>
        <v/>
      </c>
      <c r="AA210" t="str">
        <f>IF(Tabela1[[#This Row],[2]]&lt;&gt;"",IF(ISNUMBER(FIND(",",Tabela1[[#This Row],[2]])),LEN(Tabela1[[#This Row],[2]])-LEN(SUBSTITUTE(Tabela1[[#This Row],[2]],",",""))+1,1),"")</f>
        <v/>
      </c>
      <c r="AB210" t="str">
        <f>IF(Tabela1[[#This Row],[3]]&lt;&gt;"",IF(ISNUMBER(FIND(",",Tabela1[[#This Row],[3]])),LEN(Tabela1[[#This Row],[3]])-LEN(SUBSTITUTE(Tabela1[[#This Row],[3]],",",""))+1,1),"")</f>
        <v/>
      </c>
      <c r="AC210" t="str">
        <f>IF(Tabela1[[#This Row],[4]]&lt;&gt;"",IF(ISNUMBER(FIND(",",Tabela1[[#This Row],[4]])),LEN(Tabela1[[#This Row],[4]])-LEN(SUBSTITUTE(Tabela1[[#This Row],[4]],",",""))+1,1),"")</f>
        <v/>
      </c>
      <c r="AD210" t="str">
        <f>IF(Tabela1[[#This Row],[5]]&lt;&gt;"",IF(ISNUMBER(FIND(",",Tabela1[[#This Row],[5]])),LEN(Tabela1[[#This Row],[5]])-LEN(SUBSTITUTE(Tabela1[[#This Row],[5]],",",""))+1,1),"")</f>
        <v/>
      </c>
      <c r="AE210" t="str">
        <f>IF(Tabela1[[#This Row],[6]]&lt;&gt;"",IF(ISNUMBER(FIND(",",Tabela1[[#This Row],[6]])),LEN(Tabela1[[#This Row],[6]])-LEN(SUBSTITUTE(Tabela1[[#This Row],[6]],",",""))+1,1),"")</f>
        <v/>
      </c>
      <c r="AF210" t="str">
        <f>IF(Tabela1[[#This Row],[7]]&lt;&gt;"",IF(ISNUMBER(FIND(",",Tabela1[[#This Row],[7]])),LEN(Tabela1[[#This Row],[7]])-LEN(SUBSTITUTE(Tabela1[[#This Row],[7]],",",""))+1,1),"")</f>
        <v/>
      </c>
      <c r="AG210">
        <f>IF(Tabela1[[#This Row],[8]]&lt;&gt;"",IF(ISNUMBER(FIND(",",Tabela1[[#This Row],[8]])),LEN(Tabela1[[#This Row],[8]])-LEN(SUBSTITUTE(Tabela1[[#This Row],[8]],",",""))+1,1),"")</f>
        <v>1</v>
      </c>
      <c r="AH210" t="str">
        <f>IF(Tabela1[[#This Row],[9]]&lt;&gt;"",IF(ISNUMBER(FIND(",",Tabela1[[#This Row],[9]])),LEN(Tabela1[[#This Row],[9]])-LEN(SUBSTITUTE(Tabela1[[#This Row],[9]],",",""))+1,1),"")</f>
        <v/>
      </c>
      <c r="AI210" t="str">
        <f>IF(Tabela1[[#This Row],[10]]&lt;&gt;"",IF(ISNUMBER(FIND(",",Tabela1[[#This Row],[10]])),LEN(Tabela1[[#This Row],[10]])-LEN(SUBSTITUTE(Tabela1[[#This Row],[10]],",",""))+1,1),"")</f>
        <v/>
      </c>
      <c r="AJ210" t="str">
        <f>IF(Tabela1[[#This Row],[11]]&lt;&gt;"",IF(ISNUMBER(FIND(",",Tabela1[[#This Row],[11]])),LEN(Tabela1[[#This Row],[11]])-LEN(SUBSTITUTE(Tabela1[[#This Row],[11]],",",""))+1,1),"")</f>
        <v/>
      </c>
      <c r="AK210" t="str">
        <f>IF(Tabela1[[#This Row],[12]]&lt;&gt;"",IF(ISNUMBER(FIND(",",Tabela1[[#This Row],[12]])),LEN(Tabela1[[#This Row],[12]])-LEN(SUBSTITUTE(Tabela1[[#This Row],[12]],",",""))+1,1),"")</f>
        <v/>
      </c>
      <c r="AL210" t="str">
        <f>IF(Tabela1[[#This Row],[13]]&lt;&gt;"",IF(ISNUMBER(FIND(",",Tabela1[[#This Row],[13]])),LEN(Tabela1[[#This Row],[13]])-LEN(SUBSTITUTE(Tabela1[[#This Row],[13]],",",""))+1,1),"")</f>
        <v/>
      </c>
      <c r="AM210" t="str">
        <f>IF(Tabela1[[#This Row],[14]]&lt;&gt;"",IF(ISNUMBER(FIND(",",Tabela1[[#This Row],[14]])),LEN(Tabela1[[#This Row],[14]])-LEN(SUBSTITUTE(Tabela1[[#This Row],[14]],",",""))+1,1),"")</f>
        <v/>
      </c>
      <c r="AN210" t="str">
        <f>IF(Tabela1[[#This Row],[15]]&lt;&gt;"",IF(ISNUMBER(FIND(",",Tabela1[[#This Row],[15]])),LEN(Tabela1[[#This Row],[15]])-LEN(SUBSTITUTE(Tabela1[[#This Row],[15]],",",""))+1,1),"")</f>
        <v/>
      </c>
      <c r="AO210">
        <f>IF(Tabela1[[#This Row],[16]]&lt;&gt;"",IF(ISNUMBER(FIND(",",Tabela1[[#This Row],[16]])),LEN(Tabela1[[#This Row],[16]])-LEN(SUBSTITUTE(Tabela1[[#This Row],[16]],",",""))+1,1),"")</f>
        <v>1</v>
      </c>
      <c r="AP210" t="str">
        <f>IF(Tabela1[[#This Row],[17]]&lt;&gt;"",IF(ISNUMBER(FIND(",",Tabela1[[#This Row],[17]])),LEN(Tabela1[[#This Row],[17]])-LEN(SUBSTITUTE(Tabela1[[#This Row],[17]],",",""))+1,1),"")</f>
        <v/>
      </c>
      <c r="AQ210" t="str">
        <f>IF(Tabela1[[#This Row],[18]]&lt;&gt;"",IF(ISNUMBER(FIND(",",Tabela1[[#This Row],[18]])),LEN(Tabela1[[#This Row],[18]])-LEN(SUBSTITUTE(Tabela1[[#This Row],[18]],",",""))+1,1),"")</f>
        <v/>
      </c>
      <c r="AR210" s="13" t="str">
        <f>IF(Tabela1[[#This Row],[19_LENGTH]]&lt;&gt;"",IF(ISNUMBER(FIND(",",Tabela1[[#This Row],[19_LENGTH]])),LEN(Tabela1[[#This Row],[19_LENGTH]])-LEN(SUBSTITUTE(Tabela1[[#This Row],[19_LENGTH]],",",""))+1,1),"")</f>
        <v/>
      </c>
      <c r="AS210" s="21">
        <f>SUM(Tabela1[[#This Row],[1_]:[19_]])</f>
        <v>2</v>
      </c>
    </row>
    <row r="211" spans="1:45" x14ac:dyDescent="0.25">
      <c r="A211" s="27" t="s">
        <v>1322</v>
      </c>
      <c r="B211" s="19" t="s">
        <v>411</v>
      </c>
      <c r="C211" s="19">
        <v>202</v>
      </c>
      <c r="D211" s="19" t="s">
        <v>1300</v>
      </c>
      <c r="E211" s="20">
        <v>43481</v>
      </c>
      <c r="F211" s="19"/>
      <c r="G211" s="19">
        <v>7</v>
      </c>
      <c r="H211" s="19"/>
      <c r="I211" s="19" t="s">
        <v>82</v>
      </c>
      <c r="J211" s="19"/>
      <c r="K211" s="19"/>
      <c r="L211" s="19"/>
      <c r="M211" s="19"/>
      <c r="N211" s="19"/>
      <c r="O211" s="19"/>
      <c r="P211" s="19"/>
      <c r="Q211" s="19"/>
      <c r="R211" s="19"/>
      <c r="S211" s="19"/>
      <c r="T211" s="19"/>
      <c r="U211" s="19"/>
      <c r="V211" s="19"/>
      <c r="W211" s="19"/>
      <c r="X211" s="19"/>
      <c r="Y211" s="19"/>
      <c r="Z211" t="str">
        <f>IF(Tabela1[[#This Row],[1]]&lt;&gt;"",IF(ISNUMBER(FIND(",",Tabela1[[#This Row],[1]])),LEN(Tabela1[[#This Row],[1]])-LEN(SUBSTITUTE(Tabela1[[#This Row],[1]],",",""))+1,1),"")</f>
        <v/>
      </c>
      <c r="AA211">
        <f>IF(Tabela1[[#This Row],[2]]&lt;&gt;"",IF(ISNUMBER(FIND(",",Tabela1[[#This Row],[2]])),LEN(Tabela1[[#This Row],[2]])-LEN(SUBSTITUTE(Tabela1[[#This Row],[2]],",",""))+1,1),"")</f>
        <v>1</v>
      </c>
      <c r="AB211" t="str">
        <f>IF(Tabela1[[#This Row],[3]]&lt;&gt;"",IF(ISNUMBER(FIND(",",Tabela1[[#This Row],[3]])),LEN(Tabela1[[#This Row],[3]])-LEN(SUBSTITUTE(Tabela1[[#This Row],[3]],",",""))+1,1),"")</f>
        <v/>
      </c>
      <c r="AC211">
        <f>IF(Tabela1[[#This Row],[4]]&lt;&gt;"",IF(ISNUMBER(FIND(",",Tabela1[[#This Row],[4]])),LEN(Tabela1[[#This Row],[4]])-LEN(SUBSTITUTE(Tabela1[[#This Row],[4]],",",""))+1,1),"")</f>
        <v>2</v>
      </c>
      <c r="AD211" t="str">
        <f>IF(Tabela1[[#This Row],[5]]&lt;&gt;"",IF(ISNUMBER(FIND(",",Tabela1[[#This Row],[5]])),LEN(Tabela1[[#This Row],[5]])-LEN(SUBSTITUTE(Tabela1[[#This Row],[5]],",",""))+1,1),"")</f>
        <v/>
      </c>
      <c r="AE211" t="str">
        <f>IF(Tabela1[[#This Row],[6]]&lt;&gt;"",IF(ISNUMBER(FIND(",",Tabela1[[#This Row],[6]])),LEN(Tabela1[[#This Row],[6]])-LEN(SUBSTITUTE(Tabela1[[#This Row],[6]],",",""))+1,1),"")</f>
        <v/>
      </c>
      <c r="AF211" t="str">
        <f>IF(Tabela1[[#This Row],[7]]&lt;&gt;"",IF(ISNUMBER(FIND(",",Tabela1[[#This Row],[7]])),LEN(Tabela1[[#This Row],[7]])-LEN(SUBSTITUTE(Tabela1[[#This Row],[7]],",",""))+1,1),"")</f>
        <v/>
      </c>
      <c r="AG211" t="str">
        <f>IF(Tabela1[[#This Row],[8]]&lt;&gt;"",IF(ISNUMBER(FIND(",",Tabela1[[#This Row],[8]])),LEN(Tabela1[[#This Row],[8]])-LEN(SUBSTITUTE(Tabela1[[#This Row],[8]],",",""))+1,1),"")</f>
        <v/>
      </c>
      <c r="AH211" t="str">
        <f>IF(Tabela1[[#This Row],[9]]&lt;&gt;"",IF(ISNUMBER(FIND(",",Tabela1[[#This Row],[9]])),LEN(Tabela1[[#This Row],[9]])-LEN(SUBSTITUTE(Tabela1[[#This Row],[9]],",",""))+1,1),"")</f>
        <v/>
      </c>
      <c r="AI211" t="str">
        <f>IF(Tabela1[[#This Row],[10]]&lt;&gt;"",IF(ISNUMBER(FIND(",",Tabela1[[#This Row],[10]])),LEN(Tabela1[[#This Row],[10]])-LEN(SUBSTITUTE(Tabela1[[#This Row],[10]],",",""))+1,1),"")</f>
        <v/>
      </c>
      <c r="AJ211" t="str">
        <f>IF(Tabela1[[#This Row],[11]]&lt;&gt;"",IF(ISNUMBER(FIND(",",Tabela1[[#This Row],[11]])),LEN(Tabela1[[#This Row],[11]])-LEN(SUBSTITUTE(Tabela1[[#This Row],[11]],",",""))+1,1),"")</f>
        <v/>
      </c>
      <c r="AK211" t="str">
        <f>IF(Tabela1[[#This Row],[12]]&lt;&gt;"",IF(ISNUMBER(FIND(",",Tabela1[[#This Row],[12]])),LEN(Tabela1[[#This Row],[12]])-LEN(SUBSTITUTE(Tabela1[[#This Row],[12]],",",""))+1,1),"")</f>
        <v/>
      </c>
      <c r="AL211" t="str">
        <f>IF(Tabela1[[#This Row],[13]]&lt;&gt;"",IF(ISNUMBER(FIND(",",Tabela1[[#This Row],[13]])),LEN(Tabela1[[#This Row],[13]])-LEN(SUBSTITUTE(Tabela1[[#This Row],[13]],",",""))+1,1),"")</f>
        <v/>
      </c>
      <c r="AM211" t="str">
        <f>IF(Tabela1[[#This Row],[14]]&lt;&gt;"",IF(ISNUMBER(FIND(",",Tabela1[[#This Row],[14]])),LEN(Tabela1[[#This Row],[14]])-LEN(SUBSTITUTE(Tabela1[[#This Row],[14]],",",""))+1,1),"")</f>
        <v/>
      </c>
      <c r="AN211" t="str">
        <f>IF(Tabela1[[#This Row],[15]]&lt;&gt;"",IF(ISNUMBER(FIND(",",Tabela1[[#This Row],[15]])),LEN(Tabela1[[#This Row],[15]])-LEN(SUBSTITUTE(Tabela1[[#This Row],[15]],",",""))+1,1),"")</f>
        <v/>
      </c>
      <c r="AO211" t="str">
        <f>IF(Tabela1[[#This Row],[16]]&lt;&gt;"",IF(ISNUMBER(FIND(",",Tabela1[[#This Row],[16]])),LEN(Tabela1[[#This Row],[16]])-LEN(SUBSTITUTE(Tabela1[[#This Row],[16]],",",""))+1,1),"")</f>
        <v/>
      </c>
      <c r="AP211" t="str">
        <f>IF(Tabela1[[#This Row],[17]]&lt;&gt;"",IF(ISNUMBER(FIND(",",Tabela1[[#This Row],[17]])),LEN(Tabela1[[#This Row],[17]])-LEN(SUBSTITUTE(Tabela1[[#This Row],[17]],",",""))+1,1),"")</f>
        <v/>
      </c>
      <c r="AQ211" t="str">
        <f>IF(Tabela1[[#This Row],[18]]&lt;&gt;"",IF(ISNUMBER(FIND(",",Tabela1[[#This Row],[18]])),LEN(Tabela1[[#This Row],[18]])-LEN(SUBSTITUTE(Tabela1[[#This Row],[18]],",",""))+1,1),"")</f>
        <v/>
      </c>
      <c r="AR211" s="13" t="str">
        <f>IF(Tabela1[[#This Row],[19_LENGTH]]&lt;&gt;"",IF(ISNUMBER(FIND(",",Tabela1[[#This Row],[19_LENGTH]])),LEN(Tabela1[[#This Row],[19_LENGTH]])-LEN(SUBSTITUTE(Tabela1[[#This Row],[19_LENGTH]],",",""))+1,1),"")</f>
        <v/>
      </c>
      <c r="AS211" s="21">
        <f>SUM(Tabela1[[#This Row],[1_]:[19_]])</f>
        <v>3</v>
      </c>
    </row>
    <row r="212" spans="1:45" x14ac:dyDescent="0.25">
      <c r="A212" s="27" t="s">
        <v>1322</v>
      </c>
      <c r="B212" s="19" t="s">
        <v>412</v>
      </c>
      <c r="C212" s="19">
        <v>202</v>
      </c>
      <c r="D212" s="19" t="s">
        <v>1315</v>
      </c>
      <c r="E212" s="20">
        <v>43482</v>
      </c>
      <c r="F212" s="19"/>
      <c r="G212" s="19">
        <v>88</v>
      </c>
      <c r="H212" s="19"/>
      <c r="I212" s="19"/>
      <c r="J212" s="19"/>
      <c r="K212" s="19"/>
      <c r="L212" s="19"/>
      <c r="M212" s="19"/>
      <c r="N212" s="19"/>
      <c r="O212" s="19"/>
      <c r="P212" s="19"/>
      <c r="Q212" s="19"/>
      <c r="R212" s="19"/>
      <c r="S212" s="19"/>
      <c r="T212" s="19"/>
      <c r="U212" s="19">
        <v>89</v>
      </c>
      <c r="V212" s="19"/>
      <c r="W212" s="19"/>
      <c r="X212" s="19"/>
      <c r="Y212" s="19"/>
      <c r="Z212" t="str">
        <f>IF(Tabela1[[#This Row],[1]]&lt;&gt;"",IF(ISNUMBER(FIND(",",Tabela1[[#This Row],[1]])),LEN(Tabela1[[#This Row],[1]])-LEN(SUBSTITUTE(Tabela1[[#This Row],[1]],",",""))+1,1),"")</f>
        <v/>
      </c>
      <c r="AA212">
        <f>IF(Tabela1[[#This Row],[2]]&lt;&gt;"",IF(ISNUMBER(FIND(",",Tabela1[[#This Row],[2]])),LEN(Tabela1[[#This Row],[2]])-LEN(SUBSTITUTE(Tabela1[[#This Row],[2]],",",""))+1,1),"")</f>
        <v>1</v>
      </c>
      <c r="AB212" t="str">
        <f>IF(Tabela1[[#This Row],[3]]&lt;&gt;"",IF(ISNUMBER(FIND(",",Tabela1[[#This Row],[3]])),LEN(Tabela1[[#This Row],[3]])-LEN(SUBSTITUTE(Tabela1[[#This Row],[3]],",",""))+1,1),"")</f>
        <v/>
      </c>
      <c r="AC212" t="str">
        <f>IF(Tabela1[[#This Row],[4]]&lt;&gt;"",IF(ISNUMBER(FIND(",",Tabela1[[#This Row],[4]])),LEN(Tabela1[[#This Row],[4]])-LEN(SUBSTITUTE(Tabela1[[#This Row],[4]],",",""))+1,1),"")</f>
        <v/>
      </c>
      <c r="AD212" t="str">
        <f>IF(Tabela1[[#This Row],[5]]&lt;&gt;"",IF(ISNUMBER(FIND(",",Tabela1[[#This Row],[5]])),LEN(Tabela1[[#This Row],[5]])-LEN(SUBSTITUTE(Tabela1[[#This Row],[5]],",",""))+1,1),"")</f>
        <v/>
      </c>
      <c r="AE212" t="str">
        <f>IF(Tabela1[[#This Row],[6]]&lt;&gt;"",IF(ISNUMBER(FIND(",",Tabela1[[#This Row],[6]])),LEN(Tabela1[[#This Row],[6]])-LEN(SUBSTITUTE(Tabela1[[#This Row],[6]],",",""))+1,1),"")</f>
        <v/>
      </c>
      <c r="AF212" t="str">
        <f>IF(Tabela1[[#This Row],[7]]&lt;&gt;"",IF(ISNUMBER(FIND(",",Tabela1[[#This Row],[7]])),LEN(Tabela1[[#This Row],[7]])-LEN(SUBSTITUTE(Tabela1[[#This Row],[7]],",",""))+1,1),"")</f>
        <v/>
      </c>
      <c r="AG212" t="str">
        <f>IF(Tabela1[[#This Row],[8]]&lt;&gt;"",IF(ISNUMBER(FIND(",",Tabela1[[#This Row],[8]])),LEN(Tabela1[[#This Row],[8]])-LEN(SUBSTITUTE(Tabela1[[#This Row],[8]],",",""))+1,1),"")</f>
        <v/>
      </c>
      <c r="AH212" t="str">
        <f>IF(Tabela1[[#This Row],[9]]&lt;&gt;"",IF(ISNUMBER(FIND(",",Tabela1[[#This Row],[9]])),LEN(Tabela1[[#This Row],[9]])-LEN(SUBSTITUTE(Tabela1[[#This Row],[9]],",",""))+1,1),"")</f>
        <v/>
      </c>
      <c r="AI212" t="str">
        <f>IF(Tabela1[[#This Row],[10]]&lt;&gt;"",IF(ISNUMBER(FIND(",",Tabela1[[#This Row],[10]])),LEN(Tabela1[[#This Row],[10]])-LEN(SUBSTITUTE(Tabela1[[#This Row],[10]],",",""))+1,1),"")</f>
        <v/>
      </c>
      <c r="AJ212" t="str">
        <f>IF(Tabela1[[#This Row],[11]]&lt;&gt;"",IF(ISNUMBER(FIND(",",Tabela1[[#This Row],[11]])),LEN(Tabela1[[#This Row],[11]])-LEN(SUBSTITUTE(Tabela1[[#This Row],[11]],",",""))+1,1),"")</f>
        <v/>
      </c>
      <c r="AK212" t="str">
        <f>IF(Tabela1[[#This Row],[12]]&lt;&gt;"",IF(ISNUMBER(FIND(",",Tabela1[[#This Row],[12]])),LEN(Tabela1[[#This Row],[12]])-LEN(SUBSTITUTE(Tabela1[[#This Row],[12]],",",""))+1,1),"")</f>
        <v/>
      </c>
      <c r="AL212" t="str">
        <f>IF(Tabela1[[#This Row],[13]]&lt;&gt;"",IF(ISNUMBER(FIND(",",Tabela1[[#This Row],[13]])),LEN(Tabela1[[#This Row],[13]])-LEN(SUBSTITUTE(Tabela1[[#This Row],[13]],",",""))+1,1),"")</f>
        <v/>
      </c>
      <c r="AM212" t="str">
        <f>IF(Tabela1[[#This Row],[14]]&lt;&gt;"",IF(ISNUMBER(FIND(",",Tabela1[[#This Row],[14]])),LEN(Tabela1[[#This Row],[14]])-LEN(SUBSTITUTE(Tabela1[[#This Row],[14]],",",""))+1,1),"")</f>
        <v/>
      </c>
      <c r="AN212" t="str">
        <f>IF(Tabela1[[#This Row],[15]]&lt;&gt;"",IF(ISNUMBER(FIND(",",Tabela1[[#This Row],[15]])),LEN(Tabela1[[#This Row],[15]])-LEN(SUBSTITUTE(Tabela1[[#This Row],[15]],",",""))+1,1),"")</f>
        <v/>
      </c>
      <c r="AO212">
        <f>IF(Tabela1[[#This Row],[16]]&lt;&gt;"",IF(ISNUMBER(FIND(",",Tabela1[[#This Row],[16]])),LEN(Tabela1[[#This Row],[16]])-LEN(SUBSTITUTE(Tabela1[[#This Row],[16]],",",""))+1,1),"")</f>
        <v>1</v>
      </c>
      <c r="AP212" t="str">
        <f>IF(Tabela1[[#This Row],[17]]&lt;&gt;"",IF(ISNUMBER(FIND(",",Tabela1[[#This Row],[17]])),LEN(Tabela1[[#This Row],[17]])-LEN(SUBSTITUTE(Tabela1[[#This Row],[17]],",",""))+1,1),"")</f>
        <v/>
      </c>
      <c r="AQ212" t="str">
        <f>IF(Tabela1[[#This Row],[18]]&lt;&gt;"",IF(ISNUMBER(FIND(",",Tabela1[[#This Row],[18]])),LEN(Tabela1[[#This Row],[18]])-LEN(SUBSTITUTE(Tabela1[[#This Row],[18]],",",""))+1,1),"")</f>
        <v/>
      </c>
      <c r="AR212" s="13" t="str">
        <f>IF(Tabela1[[#This Row],[19_LENGTH]]&lt;&gt;"",IF(ISNUMBER(FIND(",",Tabela1[[#This Row],[19_LENGTH]])),LEN(Tabela1[[#This Row],[19_LENGTH]])-LEN(SUBSTITUTE(Tabela1[[#This Row],[19_LENGTH]],",",""))+1,1),"")</f>
        <v/>
      </c>
      <c r="AS212" s="21">
        <f>SUM(Tabela1[[#This Row],[1_]:[19_]])</f>
        <v>2</v>
      </c>
    </row>
    <row r="213" spans="1:45" x14ac:dyDescent="0.25">
      <c r="A213" s="27" t="s">
        <v>1322</v>
      </c>
      <c r="B213" s="19" t="s">
        <v>413</v>
      </c>
      <c r="C213" s="19">
        <v>202</v>
      </c>
      <c r="D213" s="19" t="s">
        <v>1300</v>
      </c>
      <c r="E213" s="20">
        <v>43482</v>
      </c>
      <c r="F213" s="19"/>
      <c r="G213" s="19"/>
      <c r="H213" s="19"/>
      <c r="I213" s="19"/>
      <c r="J213" s="19">
        <v>19</v>
      </c>
      <c r="K213" s="19"/>
      <c r="L213" s="19"/>
      <c r="M213" s="19"/>
      <c r="N213" s="19"/>
      <c r="O213" s="19"/>
      <c r="P213" s="19"/>
      <c r="Q213" s="19"/>
      <c r="R213" s="19"/>
      <c r="S213" s="19"/>
      <c r="T213" s="19"/>
      <c r="U213" s="19"/>
      <c r="V213" s="19"/>
      <c r="W213" s="19"/>
      <c r="X213" s="19"/>
      <c r="Y213" s="19"/>
      <c r="Z213" t="str">
        <f>IF(Tabela1[[#This Row],[1]]&lt;&gt;"",IF(ISNUMBER(FIND(",",Tabela1[[#This Row],[1]])),LEN(Tabela1[[#This Row],[1]])-LEN(SUBSTITUTE(Tabela1[[#This Row],[1]],",",""))+1,1),"")</f>
        <v/>
      </c>
      <c r="AA213" t="str">
        <f>IF(Tabela1[[#This Row],[2]]&lt;&gt;"",IF(ISNUMBER(FIND(",",Tabela1[[#This Row],[2]])),LEN(Tabela1[[#This Row],[2]])-LEN(SUBSTITUTE(Tabela1[[#This Row],[2]],",",""))+1,1),"")</f>
        <v/>
      </c>
      <c r="AB213" t="str">
        <f>IF(Tabela1[[#This Row],[3]]&lt;&gt;"",IF(ISNUMBER(FIND(",",Tabela1[[#This Row],[3]])),LEN(Tabela1[[#This Row],[3]])-LEN(SUBSTITUTE(Tabela1[[#This Row],[3]],",",""))+1,1),"")</f>
        <v/>
      </c>
      <c r="AC213" t="str">
        <f>IF(Tabela1[[#This Row],[4]]&lt;&gt;"",IF(ISNUMBER(FIND(",",Tabela1[[#This Row],[4]])),LEN(Tabela1[[#This Row],[4]])-LEN(SUBSTITUTE(Tabela1[[#This Row],[4]],",",""))+1,1),"")</f>
        <v/>
      </c>
      <c r="AD213">
        <f>IF(Tabela1[[#This Row],[5]]&lt;&gt;"",IF(ISNUMBER(FIND(",",Tabela1[[#This Row],[5]])),LEN(Tabela1[[#This Row],[5]])-LEN(SUBSTITUTE(Tabela1[[#This Row],[5]],",",""))+1,1),"")</f>
        <v>1</v>
      </c>
      <c r="AE213" t="str">
        <f>IF(Tabela1[[#This Row],[6]]&lt;&gt;"",IF(ISNUMBER(FIND(",",Tabela1[[#This Row],[6]])),LEN(Tabela1[[#This Row],[6]])-LEN(SUBSTITUTE(Tabela1[[#This Row],[6]],",",""))+1,1),"")</f>
        <v/>
      </c>
      <c r="AF213" t="str">
        <f>IF(Tabela1[[#This Row],[7]]&lt;&gt;"",IF(ISNUMBER(FIND(",",Tabela1[[#This Row],[7]])),LEN(Tabela1[[#This Row],[7]])-LEN(SUBSTITUTE(Tabela1[[#This Row],[7]],",",""))+1,1),"")</f>
        <v/>
      </c>
      <c r="AG213" t="str">
        <f>IF(Tabela1[[#This Row],[8]]&lt;&gt;"",IF(ISNUMBER(FIND(",",Tabela1[[#This Row],[8]])),LEN(Tabela1[[#This Row],[8]])-LEN(SUBSTITUTE(Tabela1[[#This Row],[8]],",",""))+1,1),"")</f>
        <v/>
      </c>
      <c r="AH213" t="str">
        <f>IF(Tabela1[[#This Row],[9]]&lt;&gt;"",IF(ISNUMBER(FIND(",",Tabela1[[#This Row],[9]])),LEN(Tabela1[[#This Row],[9]])-LEN(SUBSTITUTE(Tabela1[[#This Row],[9]],",",""))+1,1),"")</f>
        <v/>
      </c>
      <c r="AI213" t="str">
        <f>IF(Tabela1[[#This Row],[10]]&lt;&gt;"",IF(ISNUMBER(FIND(",",Tabela1[[#This Row],[10]])),LEN(Tabela1[[#This Row],[10]])-LEN(SUBSTITUTE(Tabela1[[#This Row],[10]],",",""))+1,1),"")</f>
        <v/>
      </c>
      <c r="AJ213" t="str">
        <f>IF(Tabela1[[#This Row],[11]]&lt;&gt;"",IF(ISNUMBER(FIND(",",Tabela1[[#This Row],[11]])),LEN(Tabela1[[#This Row],[11]])-LEN(SUBSTITUTE(Tabela1[[#This Row],[11]],",",""))+1,1),"")</f>
        <v/>
      </c>
      <c r="AK213" t="str">
        <f>IF(Tabela1[[#This Row],[12]]&lt;&gt;"",IF(ISNUMBER(FIND(",",Tabela1[[#This Row],[12]])),LEN(Tabela1[[#This Row],[12]])-LEN(SUBSTITUTE(Tabela1[[#This Row],[12]],",",""))+1,1),"")</f>
        <v/>
      </c>
      <c r="AL213" t="str">
        <f>IF(Tabela1[[#This Row],[13]]&lt;&gt;"",IF(ISNUMBER(FIND(",",Tabela1[[#This Row],[13]])),LEN(Tabela1[[#This Row],[13]])-LEN(SUBSTITUTE(Tabela1[[#This Row],[13]],",",""))+1,1),"")</f>
        <v/>
      </c>
      <c r="AM213" t="str">
        <f>IF(Tabela1[[#This Row],[14]]&lt;&gt;"",IF(ISNUMBER(FIND(",",Tabela1[[#This Row],[14]])),LEN(Tabela1[[#This Row],[14]])-LEN(SUBSTITUTE(Tabela1[[#This Row],[14]],",",""))+1,1),"")</f>
        <v/>
      </c>
      <c r="AN213" t="str">
        <f>IF(Tabela1[[#This Row],[15]]&lt;&gt;"",IF(ISNUMBER(FIND(",",Tabela1[[#This Row],[15]])),LEN(Tabela1[[#This Row],[15]])-LEN(SUBSTITUTE(Tabela1[[#This Row],[15]],",",""))+1,1),"")</f>
        <v/>
      </c>
      <c r="AO213" t="str">
        <f>IF(Tabela1[[#This Row],[16]]&lt;&gt;"",IF(ISNUMBER(FIND(",",Tabela1[[#This Row],[16]])),LEN(Tabela1[[#This Row],[16]])-LEN(SUBSTITUTE(Tabela1[[#This Row],[16]],",",""))+1,1),"")</f>
        <v/>
      </c>
      <c r="AP213" t="str">
        <f>IF(Tabela1[[#This Row],[17]]&lt;&gt;"",IF(ISNUMBER(FIND(",",Tabela1[[#This Row],[17]])),LEN(Tabela1[[#This Row],[17]])-LEN(SUBSTITUTE(Tabela1[[#This Row],[17]],",",""))+1,1),"")</f>
        <v/>
      </c>
      <c r="AQ213" t="str">
        <f>IF(Tabela1[[#This Row],[18]]&lt;&gt;"",IF(ISNUMBER(FIND(",",Tabela1[[#This Row],[18]])),LEN(Tabela1[[#This Row],[18]])-LEN(SUBSTITUTE(Tabela1[[#This Row],[18]],",",""))+1,1),"")</f>
        <v/>
      </c>
      <c r="AR213" s="13" t="str">
        <f>IF(Tabela1[[#This Row],[19_LENGTH]]&lt;&gt;"",IF(ISNUMBER(FIND(",",Tabela1[[#This Row],[19_LENGTH]])),LEN(Tabela1[[#This Row],[19_LENGTH]])-LEN(SUBSTITUTE(Tabela1[[#This Row],[19_LENGTH]],",",""))+1,1),"")</f>
        <v/>
      </c>
      <c r="AS213" s="21">
        <f>SUM(Tabela1[[#This Row],[1_]:[19_]])</f>
        <v>1</v>
      </c>
    </row>
    <row r="214" spans="1:45" x14ac:dyDescent="0.25">
      <c r="A214" s="27" t="s">
        <v>1322</v>
      </c>
      <c r="B214" s="19" t="s">
        <v>741</v>
      </c>
      <c r="C214" s="19">
        <v>202</v>
      </c>
      <c r="D214" s="19" t="s">
        <v>1315</v>
      </c>
      <c r="E214" s="20">
        <v>43482</v>
      </c>
      <c r="F214" s="19"/>
      <c r="G214" s="19"/>
      <c r="H214" s="19"/>
      <c r="I214" s="19"/>
      <c r="J214" s="19"/>
      <c r="K214" s="19"/>
      <c r="L214" s="19"/>
      <c r="M214" s="19"/>
      <c r="N214" s="19"/>
      <c r="O214" s="19" t="s">
        <v>83</v>
      </c>
      <c r="P214" s="19"/>
      <c r="Q214" s="19"/>
      <c r="R214" s="19"/>
      <c r="S214" s="19"/>
      <c r="T214" s="19"/>
      <c r="U214" s="19"/>
      <c r="V214" s="19">
        <v>141</v>
      </c>
      <c r="W214" s="19"/>
      <c r="X214" s="19"/>
      <c r="Y214" s="19"/>
      <c r="Z214" t="str">
        <f>IF(Tabela1[[#This Row],[1]]&lt;&gt;"",IF(ISNUMBER(FIND(",",Tabela1[[#This Row],[1]])),LEN(Tabela1[[#This Row],[1]])-LEN(SUBSTITUTE(Tabela1[[#This Row],[1]],",",""))+1,1),"")</f>
        <v/>
      </c>
      <c r="AA214" t="str">
        <f>IF(Tabela1[[#This Row],[2]]&lt;&gt;"",IF(ISNUMBER(FIND(",",Tabela1[[#This Row],[2]])),LEN(Tabela1[[#This Row],[2]])-LEN(SUBSTITUTE(Tabela1[[#This Row],[2]],",",""))+1,1),"")</f>
        <v/>
      </c>
      <c r="AB214" t="str">
        <f>IF(Tabela1[[#This Row],[3]]&lt;&gt;"",IF(ISNUMBER(FIND(",",Tabela1[[#This Row],[3]])),LEN(Tabela1[[#This Row],[3]])-LEN(SUBSTITUTE(Tabela1[[#This Row],[3]],",",""))+1,1),"")</f>
        <v/>
      </c>
      <c r="AC214" t="str">
        <f>IF(Tabela1[[#This Row],[4]]&lt;&gt;"",IF(ISNUMBER(FIND(",",Tabela1[[#This Row],[4]])),LEN(Tabela1[[#This Row],[4]])-LEN(SUBSTITUTE(Tabela1[[#This Row],[4]],",",""))+1,1),"")</f>
        <v/>
      </c>
      <c r="AD214" t="str">
        <f>IF(Tabela1[[#This Row],[5]]&lt;&gt;"",IF(ISNUMBER(FIND(",",Tabela1[[#This Row],[5]])),LEN(Tabela1[[#This Row],[5]])-LEN(SUBSTITUTE(Tabela1[[#This Row],[5]],",",""))+1,1),"")</f>
        <v/>
      </c>
      <c r="AE214" t="str">
        <f>IF(Tabela1[[#This Row],[6]]&lt;&gt;"",IF(ISNUMBER(FIND(",",Tabela1[[#This Row],[6]])),LEN(Tabela1[[#This Row],[6]])-LEN(SUBSTITUTE(Tabela1[[#This Row],[6]],",",""))+1,1),"")</f>
        <v/>
      </c>
      <c r="AF214" t="str">
        <f>IF(Tabela1[[#This Row],[7]]&lt;&gt;"",IF(ISNUMBER(FIND(",",Tabela1[[#This Row],[7]])),LEN(Tabela1[[#This Row],[7]])-LEN(SUBSTITUTE(Tabela1[[#This Row],[7]],",",""))+1,1),"")</f>
        <v/>
      </c>
      <c r="AG214" t="str">
        <f>IF(Tabela1[[#This Row],[8]]&lt;&gt;"",IF(ISNUMBER(FIND(",",Tabela1[[#This Row],[8]])),LEN(Tabela1[[#This Row],[8]])-LEN(SUBSTITUTE(Tabela1[[#This Row],[8]],",",""))+1,1),"")</f>
        <v/>
      </c>
      <c r="AH214" t="str">
        <f>IF(Tabela1[[#This Row],[9]]&lt;&gt;"",IF(ISNUMBER(FIND(",",Tabela1[[#This Row],[9]])),LEN(Tabela1[[#This Row],[9]])-LEN(SUBSTITUTE(Tabela1[[#This Row],[9]],",",""))+1,1),"")</f>
        <v/>
      </c>
      <c r="AI214">
        <f>IF(Tabela1[[#This Row],[10]]&lt;&gt;"",IF(ISNUMBER(FIND(",",Tabela1[[#This Row],[10]])),LEN(Tabela1[[#This Row],[10]])-LEN(SUBSTITUTE(Tabela1[[#This Row],[10]],",",""))+1,1),"")</f>
        <v>1</v>
      </c>
      <c r="AJ214" t="str">
        <f>IF(Tabela1[[#This Row],[11]]&lt;&gt;"",IF(ISNUMBER(FIND(",",Tabela1[[#This Row],[11]])),LEN(Tabela1[[#This Row],[11]])-LEN(SUBSTITUTE(Tabela1[[#This Row],[11]],",",""))+1,1),"")</f>
        <v/>
      </c>
      <c r="AK214" t="str">
        <f>IF(Tabela1[[#This Row],[12]]&lt;&gt;"",IF(ISNUMBER(FIND(",",Tabela1[[#This Row],[12]])),LEN(Tabela1[[#This Row],[12]])-LEN(SUBSTITUTE(Tabela1[[#This Row],[12]],",",""))+1,1),"")</f>
        <v/>
      </c>
      <c r="AL214" t="str">
        <f>IF(Tabela1[[#This Row],[13]]&lt;&gt;"",IF(ISNUMBER(FIND(",",Tabela1[[#This Row],[13]])),LEN(Tabela1[[#This Row],[13]])-LEN(SUBSTITUTE(Tabela1[[#This Row],[13]],",",""))+1,1),"")</f>
        <v/>
      </c>
      <c r="AM214" t="str">
        <f>IF(Tabela1[[#This Row],[14]]&lt;&gt;"",IF(ISNUMBER(FIND(",",Tabela1[[#This Row],[14]])),LEN(Tabela1[[#This Row],[14]])-LEN(SUBSTITUTE(Tabela1[[#This Row],[14]],",",""))+1,1),"")</f>
        <v/>
      </c>
      <c r="AN214" t="str">
        <f>IF(Tabela1[[#This Row],[15]]&lt;&gt;"",IF(ISNUMBER(FIND(",",Tabela1[[#This Row],[15]])),LEN(Tabela1[[#This Row],[15]])-LEN(SUBSTITUTE(Tabela1[[#This Row],[15]],",",""))+1,1),"")</f>
        <v/>
      </c>
      <c r="AO214" t="str">
        <f>IF(Tabela1[[#This Row],[16]]&lt;&gt;"",IF(ISNUMBER(FIND(",",Tabela1[[#This Row],[16]])),LEN(Tabela1[[#This Row],[16]])-LEN(SUBSTITUTE(Tabela1[[#This Row],[16]],",",""))+1,1),"")</f>
        <v/>
      </c>
      <c r="AP214">
        <f>IF(Tabela1[[#This Row],[17]]&lt;&gt;"",IF(ISNUMBER(FIND(",",Tabela1[[#This Row],[17]])),LEN(Tabela1[[#This Row],[17]])-LEN(SUBSTITUTE(Tabela1[[#This Row],[17]],",",""))+1,1),"")</f>
        <v>1</v>
      </c>
      <c r="AQ214" t="str">
        <f>IF(Tabela1[[#This Row],[18]]&lt;&gt;"",IF(ISNUMBER(FIND(",",Tabela1[[#This Row],[18]])),LEN(Tabela1[[#This Row],[18]])-LEN(SUBSTITUTE(Tabela1[[#This Row],[18]],",",""))+1,1),"")</f>
        <v/>
      </c>
      <c r="AR214" s="13" t="str">
        <f>IF(Tabela1[[#This Row],[19_LENGTH]]&lt;&gt;"",IF(ISNUMBER(FIND(",",Tabela1[[#This Row],[19_LENGTH]])),LEN(Tabela1[[#This Row],[19_LENGTH]])-LEN(SUBSTITUTE(Tabela1[[#This Row],[19_LENGTH]],",",""))+1,1),"")</f>
        <v/>
      </c>
      <c r="AS214" s="21">
        <f>SUM(Tabela1[[#This Row],[1_]:[19_]])</f>
        <v>2</v>
      </c>
    </row>
    <row r="215" spans="1:45" x14ac:dyDescent="0.25">
      <c r="A215" s="27" t="s">
        <v>1322</v>
      </c>
      <c r="B215" s="19" t="s">
        <v>414</v>
      </c>
      <c r="C215" s="19">
        <v>226</v>
      </c>
      <c r="D215" s="19" t="s">
        <v>1315</v>
      </c>
      <c r="E215" s="20">
        <v>43482</v>
      </c>
      <c r="F215" s="19"/>
      <c r="G215" s="19"/>
      <c r="H215" s="19"/>
      <c r="I215" s="19"/>
      <c r="J215" s="19"/>
      <c r="K215" s="19"/>
      <c r="L215" s="19"/>
      <c r="M215" s="19"/>
      <c r="N215" s="19"/>
      <c r="O215" s="19">
        <v>72</v>
      </c>
      <c r="P215" s="19"/>
      <c r="Q215" s="19"/>
      <c r="R215" s="19"/>
      <c r="S215" s="19"/>
      <c r="T215" s="19"/>
      <c r="U215" s="19"/>
      <c r="V215" s="19">
        <v>72</v>
      </c>
      <c r="W215" s="19"/>
      <c r="X215" s="19"/>
      <c r="Y215" s="19"/>
      <c r="Z215" t="str">
        <f>IF(Tabela1[[#This Row],[1]]&lt;&gt;"",IF(ISNUMBER(FIND(",",Tabela1[[#This Row],[1]])),LEN(Tabela1[[#This Row],[1]])-LEN(SUBSTITUTE(Tabela1[[#This Row],[1]],",",""))+1,1),"")</f>
        <v/>
      </c>
      <c r="AA215" t="str">
        <f>IF(Tabela1[[#This Row],[2]]&lt;&gt;"",IF(ISNUMBER(FIND(",",Tabela1[[#This Row],[2]])),LEN(Tabela1[[#This Row],[2]])-LEN(SUBSTITUTE(Tabela1[[#This Row],[2]],",",""))+1,1),"")</f>
        <v/>
      </c>
      <c r="AB215" t="str">
        <f>IF(Tabela1[[#This Row],[3]]&lt;&gt;"",IF(ISNUMBER(FIND(",",Tabela1[[#This Row],[3]])),LEN(Tabela1[[#This Row],[3]])-LEN(SUBSTITUTE(Tabela1[[#This Row],[3]],",",""))+1,1),"")</f>
        <v/>
      </c>
      <c r="AC215" t="str">
        <f>IF(Tabela1[[#This Row],[4]]&lt;&gt;"",IF(ISNUMBER(FIND(",",Tabela1[[#This Row],[4]])),LEN(Tabela1[[#This Row],[4]])-LEN(SUBSTITUTE(Tabela1[[#This Row],[4]],",",""))+1,1),"")</f>
        <v/>
      </c>
      <c r="AD215" t="str">
        <f>IF(Tabela1[[#This Row],[5]]&lt;&gt;"",IF(ISNUMBER(FIND(",",Tabela1[[#This Row],[5]])),LEN(Tabela1[[#This Row],[5]])-LEN(SUBSTITUTE(Tabela1[[#This Row],[5]],",",""))+1,1),"")</f>
        <v/>
      </c>
      <c r="AE215" t="str">
        <f>IF(Tabela1[[#This Row],[6]]&lt;&gt;"",IF(ISNUMBER(FIND(",",Tabela1[[#This Row],[6]])),LEN(Tabela1[[#This Row],[6]])-LEN(SUBSTITUTE(Tabela1[[#This Row],[6]],",",""))+1,1),"")</f>
        <v/>
      </c>
      <c r="AF215" t="str">
        <f>IF(Tabela1[[#This Row],[7]]&lt;&gt;"",IF(ISNUMBER(FIND(",",Tabela1[[#This Row],[7]])),LEN(Tabela1[[#This Row],[7]])-LEN(SUBSTITUTE(Tabela1[[#This Row],[7]],",",""))+1,1),"")</f>
        <v/>
      </c>
      <c r="AG215" t="str">
        <f>IF(Tabela1[[#This Row],[8]]&lt;&gt;"",IF(ISNUMBER(FIND(",",Tabela1[[#This Row],[8]])),LEN(Tabela1[[#This Row],[8]])-LEN(SUBSTITUTE(Tabela1[[#This Row],[8]],",",""))+1,1),"")</f>
        <v/>
      </c>
      <c r="AH215" t="str">
        <f>IF(Tabela1[[#This Row],[9]]&lt;&gt;"",IF(ISNUMBER(FIND(",",Tabela1[[#This Row],[9]])),LEN(Tabela1[[#This Row],[9]])-LEN(SUBSTITUTE(Tabela1[[#This Row],[9]],",",""))+1,1),"")</f>
        <v/>
      </c>
      <c r="AI215">
        <f>IF(Tabela1[[#This Row],[10]]&lt;&gt;"",IF(ISNUMBER(FIND(",",Tabela1[[#This Row],[10]])),LEN(Tabela1[[#This Row],[10]])-LEN(SUBSTITUTE(Tabela1[[#This Row],[10]],",",""))+1,1),"")</f>
        <v>1</v>
      </c>
      <c r="AJ215" t="str">
        <f>IF(Tabela1[[#This Row],[11]]&lt;&gt;"",IF(ISNUMBER(FIND(",",Tabela1[[#This Row],[11]])),LEN(Tabela1[[#This Row],[11]])-LEN(SUBSTITUTE(Tabela1[[#This Row],[11]],",",""))+1,1),"")</f>
        <v/>
      </c>
      <c r="AK215" t="str">
        <f>IF(Tabela1[[#This Row],[12]]&lt;&gt;"",IF(ISNUMBER(FIND(",",Tabela1[[#This Row],[12]])),LEN(Tabela1[[#This Row],[12]])-LEN(SUBSTITUTE(Tabela1[[#This Row],[12]],",",""))+1,1),"")</f>
        <v/>
      </c>
      <c r="AL215" t="str">
        <f>IF(Tabela1[[#This Row],[13]]&lt;&gt;"",IF(ISNUMBER(FIND(",",Tabela1[[#This Row],[13]])),LEN(Tabela1[[#This Row],[13]])-LEN(SUBSTITUTE(Tabela1[[#This Row],[13]],",",""))+1,1),"")</f>
        <v/>
      </c>
      <c r="AM215" t="str">
        <f>IF(Tabela1[[#This Row],[14]]&lt;&gt;"",IF(ISNUMBER(FIND(",",Tabela1[[#This Row],[14]])),LEN(Tabela1[[#This Row],[14]])-LEN(SUBSTITUTE(Tabela1[[#This Row],[14]],",",""))+1,1),"")</f>
        <v/>
      </c>
      <c r="AN215" t="str">
        <f>IF(Tabela1[[#This Row],[15]]&lt;&gt;"",IF(ISNUMBER(FIND(",",Tabela1[[#This Row],[15]])),LEN(Tabela1[[#This Row],[15]])-LEN(SUBSTITUTE(Tabela1[[#This Row],[15]],",",""))+1,1),"")</f>
        <v/>
      </c>
      <c r="AO215" t="str">
        <f>IF(Tabela1[[#This Row],[16]]&lt;&gt;"",IF(ISNUMBER(FIND(",",Tabela1[[#This Row],[16]])),LEN(Tabela1[[#This Row],[16]])-LEN(SUBSTITUTE(Tabela1[[#This Row],[16]],",",""))+1,1),"")</f>
        <v/>
      </c>
      <c r="AP215">
        <f>IF(Tabela1[[#This Row],[17]]&lt;&gt;"",IF(ISNUMBER(FIND(",",Tabela1[[#This Row],[17]])),LEN(Tabela1[[#This Row],[17]])-LEN(SUBSTITUTE(Tabela1[[#This Row],[17]],",",""))+1,1),"")</f>
        <v>1</v>
      </c>
      <c r="AQ215" t="str">
        <f>IF(Tabela1[[#This Row],[18]]&lt;&gt;"",IF(ISNUMBER(FIND(",",Tabela1[[#This Row],[18]])),LEN(Tabela1[[#This Row],[18]])-LEN(SUBSTITUTE(Tabela1[[#This Row],[18]],",",""))+1,1),"")</f>
        <v/>
      </c>
      <c r="AR215" s="13" t="str">
        <f>IF(Tabela1[[#This Row],[19_LENGTH]]&lt;&gt;"",IF(ISNUMBER(FIND(",",Tabela1[[#This Row],[19_LENGTH]])),LEN(Tabela1[[#This Row],[19_LENGTH]])-LEN(SUBSTITUTE(Tabela1[[#This Row],[19_LENGTH]],",",""))+1,1),"")</f>
        <v/>
      </c>
      <c r="AS215" s="21">
        <f>SUM(Tabela1[[#This Row],[1_]:[19_]])</f>
        <v>2</v>
      </c>
    </row>
    <row r="216" spans="1:45" x14ac:dyDescent="0.25">
      <c r="A216" s="27" t="s">
        <v>1322</v>
      </c>
      <c r="B216" s="19" t="s">
        <v>742</v>
      </c>
      <c r="C216" s="19">
        <v>202</v>
      </c>
      <c r="D216" s="19" t="s">
        <v>1315</v>
      </c>
      <c r="E216" s="20">
        <v>43482</v>
      </c>
      <c r="F216" s="19"/>
      <c r="G216" s="19"/>
      <c r="H216" s="19"/>
      <c r="I216" s="19"/>
      <c r="J216" s="19"/>
      <c r="K216" s="19">
        <v>14</v>
      </c>
      <c r="L216" s="19"/>
      <c r="M216" s="19"/>
      <c r="N216" s="19"/>
      <c r="O216" s="19"/>
      <c r="P216" s="19"/>
      <c r="Q216" s="19"/>
      <c r="R216" s="19"/>
      <c r="S216" s="19"/>
      <c r="T216" s="19"/>
      <c r="U216" s="19"/>
      <c r="V216" s="19"/>
      <c r="W216" s="19"/>
      <c r="X216" s="19"/>
      <c r="Y216" s="19"/>
      <c r="Z216" t="str">
        <f>IF(Tabela1[[#This Row],[1]]&lt;&gt;"",IF(ISNUMBER(FIND(",",Tabela1[[#This Row],[1]])),LEN(Tabela1[[#This Row],[1]])-LEN(SUBSTITUTE(Tabela1[[#This Row],[1]],",",""))+1,1),"")</f>
        <v/>
      </c>
      <c r="AA216" t="str">
        <f>IF(Tabela1[[#This Row],[2]]&lt;&gt;"",IF(ISNUMBER(FIND(",",Tabela1[[#This Row],[2]])),LEN(Tabela1[[#This Row],[2]])-LEN(SUBSTITUTE(Tabela1[[#This Row],[2]],",",""))+1,1),"")</f>
        <v/>
      </c>
      <c r="AB216" t="str">
        <f>IF(Tabela1[[#This Row],[3]]&lt;&gt;"",IF(ISNUMBER(FIND(",",Tabela1[[#This Row],[3]])),LEN(Tabela1[[#This Row],[3]])-LEN(SUBSTITUTE(Tabela1[[#This Row],[3]],",",""))+1,1),"")</f>
        <v/>
      </c>
      <c r="AC216" t="str">
        <f>IF(Tabela1[[#This Row],[4]]&lt;&gt;"",IF(ISNUMBER(FIND(",",Tabela1[[#This Row],[4]])),LEN(Tabela1[[#This Row],[4]])-LEN(SUBSTITUTE(Tabela1[[#This Row],[4]],",",""))+1,1),"")</f>
        <v/>
      </c>
      <c r="AD216" t="str">
        <f>IF(Tabela1[[#This Row],[5]]&lt;&gt;"",IF(ISNUMBER(FIND(",",Tabela1[[#This Row],[5]])),LEN(Tabela1[[#This Row],[5]])-LEN(SUBSTITUTE(Tabela1[[#This Row],[5]],",",""))+1,1),"")</f>
        <v/>
      </c>
      <c r="AE216">
        <f>IF(Tabela1[[#This Row],[6]]&lt;&gt;"",IF(ISNUMBER(FIND(",",Tabela1[[#This Row],[6]])),LEN(Tabela1[[#This Row],[6]])-LEN(SUBSTITUTE(Tabela1[[#This Row],[6]],",",""))+1,1),"")</f>
        <v>1</v>
      </c>
      <c r="AF216" t="str">
        <f>IF(Tabela1[[#This Row],[7]]&lt;&gt;"",IF(ISNUMBER(FIND(",",Tabela1[[#This Row],[7]])),LEN(Tabela1[[#This Row],[7]])-LEN(SUBSTITUTE(Tabela1[[#This Row],[7]],",",""))+1,1),"")</f>
        <v/>
      </c>
      <c r="AG216" t="str">
        <f>IF(Tabela1[[#This Row],[8]]&lt;&gt;"",IF(ISNUMBER(FIND(",",Tabela1[[#This Row],[8]])),LEN(Tabela1[[#This Row],[8]])-LEN(SUBSTITUTE(Tabela1[[#This Row],[8]],",",""))+1,1),"")</f>
        <v/>
      </c>
      <c r="AH216" t="str">
        <f>IF(Tabela1[[#This Row],[9]]&lt;&gt;"",IF(ISNUMBER(FIND(",",Tabela1[[#This Row],[9]])),LEN(Tabela1[[#This Row],[9]])-LEN(SUBSTITUTE(Tabela1[[#This Row],[9]],",",""))+1,1),"")</f>
        <v/>
      </c>
      <c r="AI216" t="str">
        <f>IF(Tabela1[[#This Row],[10]]&lt;&gt;"",IF(ISNUMBER(FIND(",",Tabela1[[#This Row],[10]])),LEN(Tabela1[[#This Row],[10]])-LEN(SUBSTITUTE(Tabela1[[#This Row],[10]],",",""))+1,1),"")</f>
        <v/>
      </c>
      <c r="AJ216" t="str">
        <f>IF(Tabela1[[#This Row],[11]]&lt;&gt;"",IF(ISNUMBER(FIND(",",Tabela1[[#This Row],[11]])),LEN(Tabela1[[#This Row],[11]])-LEN(SUBSTITUTE(Tabela1[[#This Row],[11]],",",""))+1,1),"")</f>
        <v/>
      </c>
      <c r="AK216" t="str">
        <f>IF(Tabela1[[#This Row],[12]]&lt;&gt;"",IF(ISNUMBER(FIND(",",Tabela1[[#This Row],[12]])),LEN(Tabela1[[#This Row],[12]])-LEN(SUBSTITUTE(Tabela1[[#This Row],[12]],",",""))+1,1),"")</f>
        <v/>
      </c>
      <c r="AL216" t="str">
        <f>IF(Tabela1[[#This Row],[13]]&lt;&gt;"",IF(ISNUMBER(FIND(",",Tabela1[[#This Row],[13]])),LEN(Tabela1[[#This Row],[13]])-LEN(SUBSTITUTE(Tabela1[[#This Row],[13]],",",""))+1,1),"")</f>
        <v/>
      </c>
      <c r="AM216" t="str">
        <f>IF(Tabela1[[#This Row],[14]]&lt;&gt;"",IF(ISNUMBER(FIND(",",Tabela1[[#This Row],[14]])),LEN(Tabela1[[#This Row],[14]])-LEN(SUBSTITUTE(Tabela1[[#This Row],[14]],",",""))+1,1),"")</f>
        <v/>
      </c>
      <c r="AN216" t="str">
        <f>IF(Tabela1[[#This Row],[15]]&lt;&gt;"",IF(ISNUMBER(FIND(",",Tabela1[[#This Row],[15]])),LEN(Tabela1[[#This Row],[15]])-LEN(SUBSTITUTE(Tabela1[[#This Row],[15]],",",""))+1,1),"")</f>
        <v/>
      </c>
      <c r="AO216" t="str">
        <f>IF(Tabela1[[#This Row],[16]]&lt;&gt;"",IF(ISNUMBER(FIND(",",Tabela1[[#This Row],[16]])),LEN(Tabela1[[#This Row],[16]])-LEN(SUBSTITUTE(Tabela1[[#This Row],[16]],",",""))+1,1),"")</f>
        <v/>
      </c>
      <c r="AP216" t="str">
        <f>IF(Tabela1[[#This Row],[17]]&lt;&gt;"",IF(ISNUMBER(FIND(",",Tabela1[[#This Row],[17]])),LEN(Tabela1[[#This Row],[17]])-LEN(SUBSTITUTE(Tabela1[[#This Row],[17]],",",""))+1,1),"")</f>
        <v/>
      </c>
      <c r="AQ216" t="str">
        <f>IF(Tabela1[[#This Row],[18]]&lt;&gt;"",IF(ISNUMBER(FIND(",",Tabela1[[#This Row],[18]])),LEN(Tabela1[[#This Row],[18]])-LEN(SUBSTITUTE(Tabela1[[#This Row],[18]],",",""))+1,1),"")</f>
        <v/>
      </c>
      <c r="AR216" s="13" t="str">
        <f>IF(Tabela1[[#This Row],[19_LENGTH]]&lt;&gt;"",IF(ISNUMBER(FIND(",",Tabela1[[#This Row],[19_LENGTH]])),LEN(Tabela1[[#This Row],[19_LENGTH]])-LEN(SUBSTITUTE(Tabela1[[#This Row],[19_LENGTH]],",",""))+1,1),"")</f>
        <v/>
      </c>
      <c r="AS216" s="21">
        <f>SUM(Tabela1[[#This Row],[1_]:[19_]])</f>
        <v>1</v>
      </c>
    </row>
    <row r="217" spans="1:45" x14ac:dyDescent="0.25">
      <c r="A217" s="27" t="s">
        <v>1322</v>
      </c>
      <c r="B217" s="19" t="s">
        <v>743</v>
      </c>
      <c r="C217" s="19">
        <v>202</v>
      </c>
      <c r="D217" s="19" t="s">
        <v>1315</v>
      </c>
      <c r="E217" s="20">
        <v>43482</v>
      </c>
      <c r="F217" s="19"/>
      <c r="G217" s="19">
        <v>136</v>
      </c>
      <c r="H217" s="19"/>
      <c r="I217" s="19"/>
      <c r="J217" s="19"/>
      <c r="K217" s="19"/>
      <c r="L217" s="19"/>
      <c r="M217" s="19"/>
      <c r="N217" s="19"/>
      <c r="O217" s="19"/>
      <c r="P217" s="19"/>
      <c r="Q217" s="19"/>
      <c r="R217" s="19"/>
      <c r="S217" s="19"/>
      <c r="T217" s="19"/>
      <c r="U217" s="19">
        <v>138</v>
      </c>
      <c r="V217" s="19"/>
      <c r="W217" s="19"/>
      <c r="X217" s="19"/>
      <c r="Y217" s="19"/>
      <c r="Z217" t="str">
        <f>IF(Tabela1[[#This Row],[1]]&lt;&gt;"",IF(ISNUMBER(FIND(",",Tabela1[[#This Row],[1]])),LEN(Tabela1[[#This Row],[1]])-LEN(SUBSTITUTE(Tabela1[[#This Row],[1]],",",""))+1,1),"")</f>
        <v/>
      </c>
      <c r="AA217">
        <f>IF(Tabela1[[#This Row],[2]]&lt;&gt;"",IF(ISNUMBER(FIND(",",Tabela1[[#This Row],[2]])),LEN(Tabela1[[#This Row],[2]])-LEN(SUBSTITUTE(Tabela1[[#This Row],[2]],",",""))+1,1),"")</f>
        <v>1</v>
      </c>
      <c r="AB217" t="str">
        <f>IF(Tabela1[[#This Row],[3]]&lt;&gt;"",IF(ISNUMBER(FIND(",",Tabela1[[#This Row],[3]])),LEN(Tabela1[[#This Row],[3]])-LEN(SUBSTITUTE(Tabela1[[#This Row],[3]],",",""))+1,1),"")</f>
        <v/>
      </c>
      <c r="AC217" t="str">
        <f>IF(Tabela1[[#This Row],[4]]&lt;&gt;"",IF(ISNUMBER(FIND(",",Tabela1[[#This Row],[4]])),LEN(Tabela1[[#This Row],[4]])-LEN(SUBSTITUTE(Tabela1[[#This Row],[4]],",",""))+1,1),"")</f>
        <v/>
      </c>
      <c r="AD217" t="str">
        <f>IF(Tabela1[[#This Row],[5]]&lt;&gt;"",IF(ISNUMBER(FIND(",",Tabela1[[#This Row],[5]])),LEN(Tabela1[[#This Row],[5]])-LEN(SUBSTITUTE(Tabela1[[#This Row],[5]],",",""))+1,1),"")</f>
        <v/>
      </c>
      <c r="AE217" t="str">
        <f>IF(Tabela1[[#This Row],[6]]&lt;&gt;"",IF(ISNUMBER(FIND(",",Tabela1[[#This Row],[6]])),LEN(Tabela1[[#This Row],[6]])-LEN(SUBSTITUTE(Tabela1[[#This Row],[6]],",",""))+1,1),"")</f>
        <v/>
      </c>
      <c r="AF217" t="str">
        <f>IF(Tabela1[[#This Row],[7]]&lt;&gt;"",IF(ISNUMBER(FIND(",",Tabela1[[#This Row],[7]])),LEN(Tabela1[[#This Row],[7]])-LEN(SUBSTITUTE(Tabela1[[#This Row],[7]],",",""))+1,1),"")</f>
        <v/>
      </c>
      <c r="AG217" t="str">
        <f>IF(Tabela1[[#This Row],[8]]&lt;&gt;"",IF(ISNUMBER(FIND(",",Tabela1[[#This Row],[8]])),LEN(Tabela1[[#This Row],[8]])-LEN(SUBSTITUTE(Tabela1[[#This Row],[8]],",",""))+1,1),"")</f>
        <v/>
      </c>
      <c r="AH217" t="str">
        <f>IF(Tabela1[[#This Row],[9]]&lt;&gt;"",IF(ISNUMBER(FIND(",",Tabela1[[#This Row],[9]])),LEN(Tabela1[[#This Row],[9]])-LEN(SUBSTITUTE(Tabela1[[#This Row],[9]],",",""))+1,1),"")</f>
        <v/>
      </c>
      <c r="AI217" t="str">
        <f>IF(Tabela1[[#This Row],[10]]&lt;&gt;"",IF(ISNUMBER(FIND(",",Tabela1[[#This Row],[10]])),LEN(Tabela1[[#This Row],[10]])-LEN(SUBSTITUTE(Tabela1[[#This Row],[10]],",",""))+1,1),"")</f>
        <v/>
      </c>
      <c r="AJ217" t="str">
        <f>IF(Tabela1[[#This Row],[11]]&lt;&gt;"",IF(ISNUMBER(FIND(",",Tabela1[[#This Row],[11]])),LEN(Tabela1[[#This Row],[11]])-LEN(SUBSTITUTE(Tabela1[[#This Row],[11]],",",""))+1,1),"")</f>
        <v/>
      </c>
      <c r="AK217" t="str">
        <f>IF(Tabela1[[#This Row],[12]]&lt;&gt;"",IF(ISNUMBER(FIND(",",Tabela1[[#This Row],[12]])),LEN(Tabela1[[#This Row],[12]])-LEN(SUBSTITUTE(Tabela1[[#This Row],[12]],",",""))+1,1),"")</f>
        <v/>
      </c>
      <c r="AL217" t="str">
        <f>IF(Tabela1[[#This Row],[13]]&lt;&gt;"",IF(ISNUMBER(FIND(",",Tabela1[[#This Row],[13]])),LEN(Tabela1[[#This Row],[13]])-LEN(SUBSTITUTE(Tabela1[[#This Row],[13]],",",""))+1,1),"")</f>
        <v/>
      </c>
      <c r="AM217" t="str">
        <f>IF(Tabela1[[#This Row],[14]]&lt;&gt;"",IF(ISNUMBER(FIND(",",Tabela1[[#This Row],[14]])),LEN(Tabela1[[#This Row],[14]])-LEN(SUBSTITUTE(Tabela1[[#This Row],[14]],",",""))+1,1),"")</f>
        <v/>
      </c>
      <c r="AN217" t="str">
        <f>IF(Tabela1[[#This Row],[15]]&lt;&gt;"",IF(ISNUMBER(FIND(",",Tabela1[[#This Row],[15]])),LEN(Tabela1[[#This Row],[15]])-LEN(SUBSTITUTE(Tabela1[[#This Row],[15]],",",""))+1,1),"")</f>
        <v/>
      </c>
      <c r="AO217">
        <f>IF(Tabela1[[#This Row],[16]]&lt;&gt;"",IF(ISNUMBER(FIND(",",Tabela1[[#This Row],[16]])),LEN(Tabela1[[#This Row],[16]])-LEN(SUBSTITUTE(Tabela1[[#This Row],[16]],",",""))+1,1),"")</f>
        <v>1</v>
      </c>
      <c r="AP217" t="str">
        <f>IF(Tabela1[[#This Row],[17]]&lt;&gt;"",IF(ISNUMBER(FIND(",",Tabela1[[#This Row],[17]])),LEN(Tabela1[[#This Row],[17]])-LEN(SUBSTITUTE(Tabela1[[#This Row],[17]],",",""))+1,1),"")</f>
        <v/>
      </c>
      <c r="AQ217" t="str">
        <f>IF(Tabela1[[#This Row],[18]]&lt;&gt;"",IF(ISNUMBER(FIND(",",Tabela1[[#This Row],[18]])),LEN(Tabela1[[#This Row],[18]])-LEN(SUBSTITUTE(Tabela1[[#This Row],[18]],",",""))+1,1),"")</f>
        <v/>
      </c>
      <c r="AR217" s="13" t="str">
        <f>IF(Tabela1[[#This Row],[19_LENGTH]]&lt;&gt;"",IF(ISNUMBER(FIND(",",Tabela1[[#This Row],[19_LENGTH]])),LEN(Tabela1[[#This Row],[19_LENGTH]])-LEN(SUBSTITUTE(Tabela1[[#This Row],[19_LENGTH]],",",""))+1,1),"")</f>
        <v/>
      </c>
      <c r="AS217" s="21">
        <f>SUM(Tabela1[[#This Row],[1_]:[19_]])</f>
        <v>2</v>
      </c>
    </row>
    <row r="218" spans="1:45" x14ac:dyDescent="0.25">
      <c r="A218" s="27" t="s">
        <v>1322</v>
      </c>
      <c r="B218" s="19" t="s">
        <v>415</v>
      </c>
      <c r="C218" s="19">
        <v>122</v>
      </c>
      <c r="D218" s="19" t="s">
        <v>1292</v>
      </c>
      <c r="E218" s="20">
        <v>43486</v>
      </c>
      <c r="F218" s="19"/>
      <c r="G218" s="19"/>
      <c r="H218" s="19">
        <v>75</v>
      </c>
      <c r="I218" s="19"/>
      <c r="J218" s="19">
        <v>91</v>
      </c>
      <c r="K218" s="19"/>
      <c r="L218" s="19"/>
      <c r="M218" s="19"/>
      <c r="N218" s="19"/>
      <c r="O218" s="19"/>
      <c r="P218" s="19"/>
      <c r="Q218" s="19"/>
      <c r="R218" s="19"/>
      <c r="S218" s="19"/>
      <c r="T218" s="19"/>
      <c r="U218" s="19"/>
      <c r="V218" s="19"/>
      <c r="W218" s="19"/>
      <c r="X218" s="19"/>
      <c r="Y218" s="19"/>
      <c r="Z218" t="str">
        <f>IF(Tabela1[[#This Row],[1]]&lt;&gt;"",IF(ISNUMBER(FIND(",",Tabela1[[#This Row],[1]])),LEN(Tabela1[[#This Row],[1]])-LEN(SUBSTITUTE(Tabela1[[#This Row],[1]],",",""))+1,1),"")</f>
        <v/>
      </c>
      <c r="AA218" t="str">
        <f>IF(Tabela1[[#This Row],[2]]&lt;&gt;"",IF(ISNUMBER(FIND(",",Tabela1[[#This Row],[2]])),LEN(Tabela1[[#This Row],[2]])-LEN(SUBSTITUTE(Tabela1[[#This Row],[2]],",",""))+1,1),"")</f>
        <v/>
      </c>
      <c r="AB218">
        <f>IF(Tabela1[[#This Row],[3]]&lt;&gt;"",IF(ISNUMBER(FIND(",",Tabela1[[#This Row],[3]])),LEN(Tabela1[[#This Row],[3]])-LEN(SUBSTITUTE(Tabela1[[#This Row],[3]],",",""))+1,1),"")</f>
        <v>1</v>
      </c>
      <c r="AC218" t="str">
        <f>IF(Tabela1[[#This Row],[4]]&lt;&gt;"",IF(ISNUMBER(FIND(",",Tabela1[[#This Row],[4]])),LEN(Tabela1[[#This Row],[4]])-LEN(SUBSTITUTE(Tabela1[[#This Row],[4]],",",""))+1,1),"")</f>
        <v/>
      </c>
      <c r="AD218">
        <f>IF(Tabela1[[#This Row],[5]]&lt;&gt;"",IF(ISNUMBER(FIND(",",Tabela1[[#This Row],[5]])),LEN(Tabela1[[#This Row],[5]])-LEN(SUBSTITUTE(Tabela1[[#This Row],[5]],",",""))+1,1),"")</f>
        <v>1</v>
      </c>
      <c r="AE218" t="str">
        <f>IF(Tabela1[[#This Row],[6]]&lt;&gt;"",IF(ISNUMBER(FIND(",",Tabela1[[#This Row],[6]])),LEN(Tabela1[[#This Row],[6]])-LEN(SUBSTITUTE(Tabela1[[#This Row],[6]],",",""))+1,1),"")</f>
        <v/>
      </c>
      <c r="AF218" t="str">
        <f>IF(Tabela1[[#This Row],[7]]&lt;&gt;"",IF(ISNUMBER(FIND(",",Tabela1[[#This Row],[7]])),LEN(Tabela1[[#This Row],[7]])-LEN(SUBSTITUTE(Tabela1[[#This Row],[7]],",",""))+1,1),"")</f>
        <v/>
      </c>
      <c r="AG218" t="str">
        <f>IF(Tabela1[[#This Row],[8]]&lt;&gt;"",IF(ISNUMBER(FIND(",",Tabela1[[#This Row],[8]])),LEN(Tabela1[[#This Row],[8]])-LEN(SUBSTITUTE(Tabela1[[#This Row],[8]],",",""))+1,1),"")</f>
        <v/>
      </c>
      <c r="AH218" t="str">
        <f>IF(Tabela1[[#This Row],[9]]&lt;&gt;"",IF(ISNUMBER(FIND(",",Tabela1[[#This Row],[9]])),LEN(Tabela1[[#This Row],[9]])-LEN(SUBSTITUTE(Tabela1[[#This Row],[9]],",",""))+1,1),"")</f>
        <v/>
      </c>
      <c r="AI218" t="str">
        <f>IF(Tabela1[[#This Row],[10]]&lt;&gt;"",IF(ISNUMBER(FIND(",",Tabela1[[#This Row],[10]])),LEN(Tabela1[[#This Row],[10]])-LEN(SUBSTITUTE(Tabela1[[#This Row],[10]],",",""))+1,1),"")</f>
        <v/>
      </c>
      <c r="AJ218" t="str">
        <f>IF(Tabela1[[#This Row],[11]]&lt;&gt;"",IF(ISNUMBER(FIND(",",Tabela1[[#This Row],[11]])),LEN(Tabela1[[#This Row],[11]])-LEN(SUBSTITUTE(Tabela1[[#This Row],[11]],",",""))+1,1),"")</f>
        <v/>
      </c>
      <c r="AK218" t="str">
        <f>IF(Tabela1[[#This Row],[12]]&lt;&gt;"",IF(ISNUMBER(FIND(",",Tabela1[[#This Row],[12]])),LEN(Tabela1[[#This Row],[12]])-LEN(SUBSTITUTE(Tabela1[[#This Row],[12]],",",""))+1,1),"")</f>
        <v/>
      </c>
      <c r="AL218" t="str">
        <f>IF(Tabela1[[#This Row],[13]]&lt;&gt;"",IF(ISNUMBER(FIND(",",Tabela1[[#This Row],[13]])),LEN(Tabela1[[#This Row],[13]])-LEN(SUBSTITUTE(Tabela1[[#This Row],[13]],",",""))+1,1),"")</f>
        <v/>
      </c>
      <c r="AM218" t="str">
        <f>IF(Tabela1[[#This Row],[14]]&lt;&gt;"",IF(ISNUMBER(FIND(",",Tabela1[[#This Row],[14]])),LEN(Tabela1[[#This Row],[14]])-LEN(SUBSTITUTE(Tabela1[[#This Row],[14]],",",""))+1,1),"")</f>
        <v/>
      </c>
      <c r="AN218" t="str">
        <f>IF(Tabela1[[#This Row],[15]]&lt;&gt;"",IF(ISNUMBER(FIND(",",Tabela1[[#This Row],[15]])),LEN(Tabela1[[#This Row],[15]])-LEN(SUBSTITUTE(Tabela1[[#This Row],[15]],",",""))+1,1),"")</f>
        <v/>
      </c>
      <c r="AO218" t="str">
        <f>IF(Tabela1[[#This Row],[16]]&lt;&gt;"",IF(ISNUMBER(FIND(",",Tabela1[[#This Row],[16]])),LEN(Tabela1[[#This Row],[16]])-LEN(SUBSTITUTE(Tabela1[[#This Row],[16]],",",""))+1,1),"")</f>
        <v/>
      </c>
      <c r="AP218" t="str">
        <f>IF(Tabela1[[#This Row],[17]]&lt;&gt;"",IF(ISNUMBER(FIND(",",Tabela1[[#This Row],[17]])),LEN(Tabela1[[#This Row],[17]])-LEN(SUBSTITUTE(Tabela1[[#This Row],[17]],",",""))+1,1),"")</f>
        <v/>
      </c>
      <c r="AQ218" t="str">
        <f>IF(Tabela1[[#This Row],[18]]&lt;&gt;"",IF(ISNUMBER(FIND(",",Tabela1[[#This Row],[18]])),LEN(Tabela1[[#This Row],[18]])-LEN(SUBSTITUTE(Tabela1[[#This Row],[18]],",",""))+1,1),"")</f>
        <v/>
      </c>
      <c r="AR218" s="13" t="str">
        <f>IF(Tabela1[[#This Row],[19_LENGTH]]&lt;&gt;"",IF(ISNUMBER(FIND(",",Tabela1[[#This Row],[19_LENGTH]])),LEN(Tabela1[[#This Row],[19_LENGTH]])-LEN(SUBSTITUTE(Tabela1[[#This Row],[19_LENGTH]],",",""))+1,1),"")</f>
        <v/>
      </c>
      <c r="AS218" s="21">
        <f>SUM(Tabela1[[#This Row],[1_]:[19_]])</f>
        <v>2</v>
      </c>
    </row>
    <row r="219" spans="1:45" x14ac:dyDescent="0.25">
      <c r="A219" s="27" t="s">
        <v>1322</v>
      </c>
      <c r="B219" s="19" t="s">
        <v>744</v>
      </c>
      <c r="C219" s="19">
        <v>202</v>
      </c>
      <c r="D219" s="19" t="s">
        <v>1292</v>
      </c>
      <c r="E219" s="20">
        <v>43486</v>
      </c>
      <c r="F219" s="19"/>
      <c r="G219" s="19"/>
      <c r="H219" s="19">
        <v>145</v>
      </c>
      <c r="I219" s="19"/>
      <c r="J219" s="19"/>
      <c r="K219" s="19"/>
      <c r="L219" s="19"/>
      <c r="M219" s="19"/>
      <c r="N219" s="19"/>
      <c r="O219" s="19"/>
      <c r="P219" s="19"/>
      <c r="Q219" s="19"/>
      <c r="R219" s="19"/>
      <c r="S219" s="19"/>
      <c r="T219" s="19"/>
      <c r="U219" s="19"/>
      <c r="V219" s="19">
        <v>198</v>
      </c>
      <c r="W219" s="19"/>
      <c r="X219" s="19"/>
      <c r="Y219" s="19"/>
      <c r="Z219" t="str">
        <f>IF(Tabela1[[#This Row],[1]]&lt;&gt;"",IF(ISNUMBER(FIND(",",Tabela1[[#This Row],[1]])),LEN(Tabela1[[#This Row],[1]])-LEN(SUBSTITUTE(Tabela1[[#This Row],[1]],",",""))+1,1),"")</f>
        <v/>
      </c>
      <c r="AA219" t="str">
        <f>IF(Tabela1[[#This Row],[2]]&lt;&gt;"",IF(ISNUMBER(FIND(",",Tabela1[[#This Row],[2]])),LEN(Tabela1[[#This Row],[2]])-LEN(SUBSTITUTE(Tabela1[[#This Row],[2]],",",""))+1,1),"")</f>
        <v/>
      </c>
      <c r="AB219">
        <f>IF(Tabela1[[#This Row],[3]]&lt;&gt;"",IF(ISNUMBER(FIND(",",Tabela1[[#This Row],[3]])),LEN(Tabela1[[#This Row],[3]])-LEN(SUBSTITUTE(Tabela1[[#This Row],[3]],",",""))+1,1),"")</f>
        <v>1</v>
      </c>
      <c r="AC219" t="str">
        <f>IF(Tabela1[[#This Row],[4]]&lt;&gt;"",IF(ISNUMBER(FIND(",",Tabela1[[#This Row],[4]])),LEN(Tabela1[[#This Row],[4]])-LEN(SUBSTITUTE(Tabela1[[#This Row],[4]],",",""))+1,1),"")</f>
        <v/>
      </c>
      <c r="AD219" t="str">
        <f>IF(Tabela1[[#This Row],[5]]&lt;&gt;"",IF(ISNUMBER(FIND(",",Tabela1[[#This Row],[5]])),LEN(Tabela1[[#This Row],[5]])-LEN(SUBSTITUTE(Tabela1[[#This Row],[5]],",",""))+1,1),"")</f>
        <v/>
      </c>
      <c r="AE219" t="str">
        <f>IF(Tabela1[[#This Row],[6]]&lt;&gt;"",IF(ISNUMBER(FIND(",",Tabela1[[#This Row],[6]])),LEN(Tabela1[[#This Row],[6]])-LEN(SUBSTITUTE(Tabela1[[#This Row],[6]],",",""))+1,1),"")</f>
        <v/>
      </c>
      <c r="AF219" t="str">
        <f>IF(Tabela1[[#This Row],[7]]&lt;&gt;"",IF(ISNUMBER(FIND(",",Tabela1[[#This Row],[7]])),LEN(Tabela1[[#This Row],[7]])-LEN(SUBSTITUTE(Tabela1[[#This Row],[7]],",",""))+1,1),"")</f>
        <v/>
      </c>
      <c r="AG219" t="str">
        <f>IF(Tabela1[[#This Row],[8]]&lt;&gt;"",IF(ISNUMBER(FIND(",",Tabela1[[#This Row],[8]])),LEN(Tabela1[[#This Row],[8]])-LEN(SUBSTITUTE(Tabela1[[#This Row],[8]],",",""))+1,1),"")</f>
        <v/>
      </c>
      <c r="AH219" t="str">
        <f>IF(Tabela1[[#This Row],[9]]&lt;&gt;"",IF(ISNUMBER(FIND(",",Tabela1[[#This Row],[9]])),LEN(Tabela1[[#This Row],[9]])-LEN(SUBSTITUTE(Tabela1[[#This Row],[9]],",",""))+1,1),"")</f>
        <v/>
      </c>
      <c r="AI219" t="str">
        <f>IF(Tabela1[[#This Row],[10]]&lt;&gt;"",IF(ISNUMBER(FIND(",",Tabela1[[#This Row],[10]])),LEN(Tabela1[[#This Row],[10]])-LEN(SUBSTITUTE(Tabela1[[#This Row],[10]],",",""))+1,1),"")</f>
        <v/>
      </c>
      <c r="AJ219" t="str">
        <f>IF(Tabela1[[#This Row],[11]]&lt;&gt;"",IF(ISNUMBER(FIND(",",Tabela1[[#This Row],[11]])),LEN(Tabela1[[#This Row],[11]])-LEN(SUBSTITUTE(Tabela1[[#This Row],[11]],",",""))+1,1),"")</f>
        <v/>
      </c>
      <c r="AK219" t="str">
        <f>IF(Tabela1[[#This Row],[12]]&lt;&gt;"",IF(ISNUMBER(FIND(",",Tabela1[[#This Row],[12]])),LEN(Tabela1[[#This Row],[12]])-LEN(SUBSTITUTE(Tabela1[[#This Row],[12]],",",""))+1,1),"")</f>
        <v/>
      </c>
      <c r="AL219" t="str">
        <f>IF(Tabela1[[#This Row],[13]]&lt;&gt;"",IF(ISNUMBER(FIND(",",Tabela1[[#This Row],[13]])),LEN(Tabela1[[#This Row],[13]])-LEN(SUBSTITUTE(Tabela1[[#This Row],[13]],",",""))+1,1),"")</f>
        <v/>
      </c>
      <c r="AM219" t="str">
        <f>IF(Tabela1[[#This Row],[14]]&lt;&gt;"",IF(ISNUMBER(FIND(",",Tabela1[[#This Row],[14]])),LEN(Tabela1[[#This Row],[14]])-LEN(SUBSTITUTE(Tabela1[[#This Row],[14]],",",""))+1,1),"")</f>
        <v/>
      </c>
      <c r="AN219" t="str">
        <f>IF(Tabela1[[#This Row],[15]]&lt;&gt;"",IF(ISNUMBER(FIND(",",Tabela1[[#This Row],[15]])),LEN(Tabela1[[#This Row],[15]])-LEN(SUBSTITUTE(Tabela1[[#This Row],[15]],",",""))+1,1),"")</f>
        <v/>
      </c>
      <c r="AO219" t="str">
        <f>IF(Tabela1[[#This Row],[16]]&lt;&gt;"",IF(ISNUMBER(FIND(",",Tabela1[[#This Row],[16]])),LEN(Tabela1[[#This Row],[16]])-LEN(SUBSTITUTE(Tabela1[[#This Row],[16]],",",""))+1,1),"")</f>
        <v/>
      </c>
      <c r="AP219">
        <f>IF(Tabela1[[#This Row],[17]]&lt;&gt;"",IF(ISNUMBER(FIND(",",Tabela1[[#This Row],[17]])),LEN(Tabela1[[#This Row],[17]])-LEN(SUBSTITUTE(Tabela1[[#This Row],[17]],",",""))+1,1),"")</f>
        <v>1</v>
      </c>
      <c r="AQ219" t="str">
        <f>IF(Tabela1[[#This Row],[18]]&lt;&gt;"",IF(ISNUMBER(FIND(",",Tabela1[[#This Row],[18]])),LEN(Tabela1[[#This Row],[18]])-LEN(SUBSTITUTE(Tabela1[[#This Row],[18]],",",""))+1,1),"")</f>
        <v/>
      </c>
      <c r="AR219" s="13" t="str">
        <f>IF(Tabela1[[#This Row],[19_LENGTH]]&lt;&gt;"",IF(ISNUMBER(FIND(",",Tabela1[[#This Row],[19_LENGTH]])),LEN(Tabela1[[#This Row],[19_LENGTH]])-LEN(SUBSTITUTE(Tabela1[[#This Row],[19_LENGTH]],",",""))+1,1),"")</f>
        <v/>
      </c>
      <c r="AS219" s="21">
        <f>SUM(Tabela1[[#This Row],[1_]:[19_]])</f>
        <v>2</v>
      </c>
    </row>
    <row r="220" spans="1:45" x14ac:dyDescent="0.25">
      <c r="A220" s="27" t="s">
        <v>1322</v>
      </c>
      <c r="B220" s="19" t="s">
        <v>745</v>
      </c>
      <c r="C220" s="19">
        <v>50</v>
      </c>
      <c r="D220" s="19" t="s">
        <v>1292</v>
      </c>
      <c r="E220" s="20">
        <v>43486</v>
      </c>
      <c r="F220" s="19"/>
      <c r="G220" s="19"/>
      <c r="H220" s="19"/>
      <c r="I220" s="19"/>
      <c r="J220" s="19">
        <v>48</v>
      </c>
      <c r="K220" s="19"/>
      <c r="L220" s="19"/>
      <c r="M220" s="19"/>
      <c r="N220" s="19"/>
      <c r="O220" s="19"/>
      <c r="P220" s="19"/>
      <c r="Q220" s="19"/>
      <c r="R220" s="19"/>
      <c r="S220" s="19"/>
      <c r="T220" s="19"/>
      <c r="U220" s="19"/>
      <c r="V220" s="19"/>
      <c r="W220" s="19"/>
      <c r="X220" s="19"/>
      <c r="Y220" s="19"/>
      <c r="Z220" t="str">
        <f>IF(Tabela1[[#This Row],[1]]&lt;&gt;"",IF(ISNUMBER(FIND(",",Tabela1[[#This Row],[1]])),LEN(Tabela1[[#This Row],[1]])-LEN(SUBSTITUTE(Tabela1[[#This Row],[1]],",",""))+1,1),"")</f>
        <v/>
      </c>
      <c r="AA220" t="str">
        <f>IF(Tabela1[[#This Row],[2]]&lt;&gt;"",IF(ISNUMBER(FIND(",",Tabela1[[#This Row],[2]])),LEN(Tabela1[[#This Row],[2]])-LEN(SUBSTITUTE(Tabela1[[#This Row],[2]],",",""))+1,1),"")</f>
        <v/>
      </c>
      <c r="AB220" t="str">
        <f>IF(Tabela1[[#This Row],[3]]&lt;&gt;"",IF(ISNUMBER(FIND(",",Tabela1[[#This Row],[3]])),LEN(Tabela1[[#This Row],[3]])-LEN(SUBSTITUTE(Tabela1[[#This Row],[3]],",",""))+1,1),"")</f>
        <v/>
      </c>
      <c r="AC220" t="str">
        <f>IF(Tabela1[[#This Row],[4]]&lt;&gt;"",IF(ISNUMBER(FIND(",",Tabela1[[#This Row],[4]])),LEN(Tabela1[[#This Row],[4]])-LEN(SUBSTITUTE(Tabela1[[#This Row],[4]],",",""))+1,1),"")</f>
        <v/>
      </c>
      <c r="AD220">
        <f>IF(Tabela1[[#This Row],[5]]&lt;&gt;"",IF(ISNUMBER(FIND(",",Tabela1[[#This Row],[5]])),LEN(Tabela1[[#This Row],[5]])-LEN(SUBSTITUTE(Tabela1[[#This Row],[5]],",",""))+1,1),"")</f>
        <v>1</v>
      </c>
      <c r="AE220" t="str">
        <f>IF(Tabela1[[#This Row],[6]]&lt;&gt;"",IF(ISNUMBER(FIND(",",Tabela1[[#This Row],[6]])),LEN(Tabela1[[#This Row],[6]])-LEN(SUBSTITUTE(Tabela1[[#This Row],[6]],",",""))+1,1),"")</f>
        <v/>
      </c>
      <c r="AF220" t="str">
        <f>IF(Tabela1[[#This Row],[7]]&lt;&gt;"",IF(ISNUMBER(FIND(",",Tabela1[[#This Row],[7]])),LEN(Tabela1[[#This Row],[7]])-LEN(SUBSTITUTE(Tabela1[[#This Row],[7]],",",""))+1,1),"")</f>
        <v/>
      </c>
      <c r="AG220" t="str">
        <f>IF(Tabela1[[#This Row],[8]]&lt;&gt;"",IF(ISNUMBER(FIND(",",Tabela1[[#This Row],[8]])),LEN(Tabela1[[#This Row],[8]])-LEN(SUBSTITUTE(Tabela1[[#This Row],[8]],",",""))+1,1),"")</f>
        <v/>
      </c>
      <c r="AH220" t="str">
        <f>IF(Tabela1[[#This Row],[9]]&lt;&gt;"",IF(ISNUMBER(FIND(",",Tabela1[[#This Row],[9]])),LEN(Tabela1[[#This Row],[9]])-LEN(SUBSTITUTE(Tabela1[[#This Row],[9]],",",""))+1,1),"")</f>
        <v/>
      </c>
      <c r="AI220" t="str">
        <f>IF(Tabela1[[#This Row],[10]]&lt;&gt;"",IF(ISNUMBER(FIND(",",Tabela1[[#This Row],[10]])),LEN(Tabela1[[#This Row],[10]])-LEN(SUBSTITUTE(Tabela1[[#This Row],[10]],",",""))+1,1),"")</f>
        <v/>
      </c>
      <c r="AJ220" t="str">
        <f>IF(Tabela1[[#This Row],[11]]&lt;&gt;"",IF(ISNUMBER(FIND(",",Tabela1[[#This Row],[11]])),LEN(Tabela1[[#This Row],[11]])-LEN(SUBSTITUTE(Tabela1[[#This Row],[11]],",",""))+1,1),"")</f>
        <v/>
      </c>
      <c r="AK220" t="str">
        <f>IF(Tabela1[[#This Row],[12]]&lt;&gt;"",IF(ISNUMBER(FIND(",",Tabela1[[#This Row],[12]])),LEN(Tabela1[[#This Row],[12]])-LEN(SUBSTITUTE(Tabela1[[#This Row],[12]],",",""))+1,1),"")</f>
        <v/>
      </c>
      <c r="AL220" t="str">
        <f>IF(Tabela1[[#This Row],[13]]&lt;&gt;"",IF(ISNUMBER(FIND(",",Tabela1[[#This Row],[13]])),LEN(Tabela1[[#This Row],[13]])-LEN(SUBSTITUTE(Tabela1[[#This Row],[13]],",",""))+1,1),"")</f>
        <v/>
      </c>
      <c r="AM220" t="str">
        <f>IF(Tabela1[[#This Row],[14]]&lt;&gt;"",IF(ISNUMBER(FIND(",",Tabela1[[#This Row],[14]])),LEN(Tabela1[[#This Row],[14]])-LEN(SUBSTITUTE(Tabela1[[#This Row],[14]],",",""))+1,1),"")</f>
        <v/>
      </c>
      <c r="AN220" t="str">
        <f>IF(Tabela1[[#This Row],[15]]&lt;&gt;"",IF(ISNUMBER(FIND(",",Tabela1[[#This Row],[15]])),LEN(Tabela1[[#This Row],[15]])-LEN(SUBSTITUTE(Tabela1[[#This Row],[15]],",",""))+1,1),"")</f>
        <v/>
      </c>
      <c r="AO220" t="str">
        <f>IF(Tabela1[[#This Row],[16]]&lt;&gt;"",IF(ISNUMBER(FIND(",",Tabela1[[#This Row],[16]])),LEN(Tabela1[[#This Row],[16]])-LEN(SUBSTITUTE(Tabela1[[#This Row],[16]],",",""))+1,1),"")</f>
        <v/>
      </c>
      <c r="AP220" t="str">
        <f>IF(Tabela1[[#This Row],[17]]&lt;&gt;"",IF(ISNUMBER(FIND(",",Tabela1[[#This Row],[17]])),LEN(Tabela1[[#This Row],[17]])-LEN(SUBSTITUTE(Tabela1[[#This Row],[17]],",",""))+1,1),"")</f>
        <v/>
      </c>
      <c r="AQ220" t="str">
        <f>IF(Tabela1[[#This Row],[18]]&lt;&gt;"",IF(ISNUMBER(FIND(",",Tabela1[[#This Row],[18]])),LEN(Tabela1[[#This Row],[18]])-LEN(SUBSTITUTE(Tabela1[[#This Row],[18]],",",""))+1,1),"")</f>
        <v/>
      </c>
      <c r="AR220" s="13" t="str">
        <f>IF(Tabela1[[#This Row],[19_LENGTH]]&lt;&gt;"",IF(ISNUMBER(FIND(",",Tabela1[[#This Row],[19_LENGTH]])),LEN(Tabela1[[#This Row],[19_LENGTH]])-LEN(SUBSTITUTE(Tabela1[[#This Row],[19_LENGTH]],",",""))+1,1),"")</f>
        <v/>
      </c>
      <c r="AS220" s="21">
        <f>SUM(Tabela1[[#This Row],[1_]:[19_]])</f>
        <v>1</v>
      </c>
    </row>
    <row r="221" spans="1:45" x14ac:dyDescent="0.25">
      <c r="A221" s="27" t="s">
        <v>1322</v>
      </c>
      <c r="B221" s="19" t="s">
        <v>746</v>
      </c>
      <c r="C221" s="19">
        <v>202</v>
      </c>
      <c r="D221" s="19" t="s">
        <v>1292</v>
      </c>
      <c r="E221" s="20">
        <v>43484</v>
      </c>
      <c r="F221" s="19"/>
      <c r="G221" s="19">
        <v>100</v>
      </c>
      <c r="H221" s="19"/>
      <c r="I221" s="19"/>
      <c r="J221" s="19"/>
      <c r="K221" s="19"/>
      <c r="L221" s="19"/>
      <c r="M221" s="19"/>
      <c r="N221" s="19"/>
      <c r="O221" s="19"/>
      <c r="P221" s="19"/>
      <c r="Q221" s="19"/>
      <c r="R221" s="19"/>
      <c r="S221" s="19"/>
      <c r="T221" s="19"/>
      <c r="U221" s="19"/>
      <c r="V221" s="19"/>
      <c r="W221" s="19"/>
      <c r="X221" s="19"/>
      <c r="Y221" s="19"/>
      <c r="Z221" t="str">
        <f>IF(Tabela1[[#This Row],[1]]&lt;&gt;"",IF(ISNUMBER(FIND(",",Tabela1[[#This Row],[1]])),LEN(Tabela1[[#This Row],[1]])-LEN(SUBSTITUTE(Tabela1[[#This Row],[1]],",",""))+1,1),"")</f>
        <v/>
      </c>
      <c r="AA221">
        <f>IF(Tabela1[[#This Row],[2]]&lt;&gt;"",IF(ISNUMBER(FIND(",",Tabela1[[#This Row],[2]])),LEN(Tabela1[[#This Row],[2]])-LEN(SUBSTITUTE(Tabela1[[#This Row],[2]],",",""))+1,1),"")</f>
        <v>1</v>
      </c>
      <c r="AB221" t="str">
        <f>IF(Tabela1[[#This Row],[3]]&lt;&gt;"",IF(ISNUMBER(FIND(",",Tabela1[[#This Row],[3]])),LEN(Tabela1[[#This Row],[3]])-LEN(SUBSTITUTE(Tabela1[[#This Row],[3]],",",""))+1,1),"")</f>
        <v/>
      </c>
      <c r="AC221" t="str">
        <f>IF(Tabela1[[#This Row],[4]]&lt;&gt;"",IF(ISNUMBER(FIND(",",Tabela1[[#This Row],[4]])),LEN(Tabela1[[#This Row],[4]])-LEN(SUBSTITUTE(Tabela1[[#This Row],[4]],",",""))+1,1),"")</f>
        <v/>
      </c>
      <c r="AD221" t="str">
        <f>IF(Tabela1[[#This Row],[5]]&lt;&gt;"",IF(ISNUMBER(FIND(",",Tabela1[[#This Row],[5]])),LEN(Tabela1[[#This Row],[5]])-LEN(SUBSTITUTE(Tabela1[[#This Row],[5]],",",""))+1,1),"")</f>
        <v/>
      </c>
      <c r="AE221" t="str">
        <f>IF(Tabela1[[#This Row],[6]]&lt;&gt;"",IF(ISNUMBER(FIND(",",Tabela1[[#This Row],[6]])),LEN(Tabela1[[#This Row],[6]])-LEN(SUBSTITUTE(Tabela1[[#This Row],[6]],",",""))+1,1),"")</f>
        <v/>
      </c>
      <c r="AF221" t="str">
        <f>IF(Tabela1[[#This Row],[7]]&lt;&gt;"",IF(ISNUMBER(FIND(",",Tabela1[[#This Row],[7]])),LEN(Tabela1[[#This Row],[7]])-LEN(SUBSTITUTE(Tabela1[[#This Row],[7]],",",""))+1,1),"")</f>
        <v/>
      </c>
      <c r="AG221" t="str">
        <f>IF(Tabela1[[#This Row],[8]]&lt;&gt;"",IF(ISNUMBER(FIND(",",Tabela1[[#This Row],[8]])),LEN(Tabela1[[#This Row],[8]])-LEN(SUBSTITUTE(Tabela1[[#This Row],[8]],",",""))+1,1),"")</f>
        <v/>
      </c>
      <c r="AH221" t="str">
        <f>IF(Tabela1[[#This Row],[9]]&lt;&gt;"",IF(ISNUMBER(FIND(",",Tabela1[[#This Row],[9]])),LEN(Tabela1[[#This Row],[9]])-LEN(SUBSTITUTE(Tabela1[[#This Row],[9]],",",""))+1,1),"")</f>
        <v/>
      </c>
      <c r="AI221" t="str">
        <f>IF(Tabela1[[#This Row],[10]]&lt;&gt;"",IF(ISNUMBER(FIND(",",Tabela1[[#This Row],[10]])),LEN(Tabela1[[#This Row],[10]])-LEN(SUBSTITUTE(Tabela1[[#This Row],[10]],",",""))+1,1),"")</f>
        <v/>
      </c>
      <c r="AJ221" t="str">
        <f>IF(Tabela1[[#This Row],[11]]&lt;&gt;"",IF(ISNUMBER(FIND(",",Tabela1[[#This Row],[11]])),LEN(Tabela1[[#This Row],[11]])-LEN(SUBSTITUTE(Tabela1[[#This Row],[11]],",",""))+1,1),"")</f>
        <v/>
      </c>
      <c r="AK221" t="str">
        <f>IF(Tabela1[[#This Row],[12]]&lt;&gt;"",IF(ISNUMBER(FIND(",",Tabela1[[#This Row],[12]])),LEN(Tabela1[[#This Row],[12]])-LEN(SUBSTITUTE(Tabela1[[#This Row],[12]],",",""))+1,1),"")</f>
        <v/>
      </c>
      <c r="AL221" t="str">
        <f>IF(Tabela1[[#This Row],[13]]&lt;&gt;"",IF(ISNUMBER(FIND(",",Tabela1[[#This Row],[13]])),LEN(Tabela1[[#This Row],[13]])-LEN(SUBSTITUTE(Tabela1[[#This Row],[13]],",",""))+1,1),"")</f>
        <v/>
      </c>
      <c r="AM221" t="str">
        <f>IF(Tabela1[[#This Row],[14]]&lt;&gt;"",IF(ISNUMBER(FIND(",",Tabela1[[#This Row],[14]])),LEN(Tabela1[[#This Row],[14]])-LEN(SUBSTITUTE(Tabela1[[#This Row],[14]],",",""))+1,1),"")</f>
        <v/>
      </c>
      <c r="AN221" t="str">
        <f>IF(Tabela1[[#This Row],[15]]&lt;&gt;"",IF(ISNUMBER(FIND(",",Tabela1[[#This Row],[15]])),LEN(Tabela1[[#This Row],[15]])-LEN(SUBSTITUTE(Tabela1[[#This Row],[15]],",",""))+1,1),"")</f>
        <v/>
      </c>
      <c r="AO221" t="str">
        <f>IF(Tabela1[[#This Row],[16]]&lt;&gt;"",IF(ISNUMBER(FIND(",",Tabela1[[#This Row],[16]])),LEN(Tabela1[[#This Row],[16]])-LEN(SUBSTITUTE(Tabela1[[#This Row],[16]],",",""))+1,1),"")</f>
        <v/>
      </c>
      <c r="AP221" t="str">
        <f>IF(Tabela1[[#This Row],[17]]&lt;&gt;"",IF(ISNUMBER(FIND(",",Tabela1[[#This Row],[17]])),LEN(Tabela1[[#This Row],[17]])-LEN(SUBSTITUTE(Tabela1[[#This Row],[17]],",",""))+1,1),"")</f>
        <v/>
      </c>
      <c r="AQ221" t="str">
        <f>IF(Tabela1[[#This Row],[18]]&lt;&gt;"",IF(ISNUMBER(FIND(",",Tabela1[[#This Row],[18]])),LEN(Tabela1[[#This Row],[18]])-LEN(SUBSTITUTE(Tabela1[[#This Row],[18]],",",""))+1,1),"")</f>
        <v/>
      </c>
      <c r="AR221" s="13" t="str">
        <f>IF(Tabela1[[#This Row],[19_LENGTH]]&lt;&gt;"",IF(ISNUMBER(FIND(",",Tabela1[[#This Row],[19_LENGTH]])),LEN(Tabela1[[#This Row],[19_LENGTH]])-LEN(SUBSTITUTE(Tabela1[[#This Row],[19_LENGTH]],",",""))+1,1),"")</f>
        <v/>
      </c>
      <c r="AS221" s="21">
        <f>SUM(Tabela1[[#This Row],[1_]:[19_]])</f>
        <v>1</v>
      </c>
    </row>
    <row r="222" spans="1:45" x14ac:dyDescent="0.25">
      <c r="A222" s="27" t="s">
        <v>1322</v>
      </c>
      <c r="B222" s="19" t="s">
        <v>416</v>
      </c>
      <c r="C222" s="19">
        <v>202</v>
      </c>
      <c r="D222" s="19" t="s">
        <v>1315</v>
      </c>
      <c r="E222" s="20">
        <v>43484</v>
      </c>
      <c r="F222" s="19"/>
      <c r="G222" s="19">
        <v>61</v>
      </c>
      <c r="H222" s="19"/>
      <c r="I222" s="19"/>
      <c r="J222" s="19"/>
      <c r="K222" s="19"/>
      <c r="L222" s="19"/>
      <c r="M222" s="19">
        <v>138</v>
      </c>
      <c r="N222" s="19"/>
      <c r="O222" s="19"/>
      <c r="P222" s="19"/>
      <c r="Q222" s="19"/>
      <c r="R222" s="19"/>
      <c r="S222" s="19"/>
      <c r="T222" s="19"/>
      <c r="U222" s="19"/>
      <c r="V222" s="19"/>
      <c r="W222" s="19"/>
      <c r="X222" s="19"/>
      <c r="Y222" s="19"/>
      <c r="Z222" t="str">
        <f>IF(Tabela1[[#This Row],[1]]&lt;&gt;"",IF(ISNUMBER(FIND(",",Tabela1[[#This Row],[1]])),LEN(Tabela1[[#This Row],[1]])-LEN(SUBSTITUTE(Tabela1[[#This Row],[1]],",",""))+1,1),"")</f>
        <v/>
      </c>
      <c r="AA222">
        <f>IF(Tabela1[[#This Row],[2]]&lt;&gt;"",IF(ISNUMBER(FIND(",",Tabela1[[#This Row],[2]])),LEN(Tabela1[[#This Row],[2]])-LEN(SUBSTITUTE(Tabela1[[#This Row],[2]],",",""))+1,1),"")</f>
        <v>1</v>
      </c>
      <c r="AB222" t="str">
        <f>IF(Tabela1[[#This Row],[3]]&lt;&gt;"",IF(ISNUMBER(FIND(",",Tabela1[[#This Row],[3]])),LEN(Tabela1[[#This Row],[3]])-LEN(SUBSTITUTE(Tabela1[[#This Row],[3]],",",""))+1,1),"")</f>
        <v/>
      </c>
      <c r="AC222" t="str">
        <f>IF(Tabela1[[#This Row],[4]]&lt;&gt;"",IF(ISNUMBER(FIND(",",Tabela1[[#This Row],[4]])),LEN(Tabela1[[#This Row],[4]])-LEN(SUBSTITUTE(Tabela1[[#This Row],[4]],",",""))+1,1),"")</f>
        <v/>
      </c>
      <c r="AD222" t="str">
        <f>IF(Tabela1[[#This Row],[5]]&lt;&gt;"",IF(ISNUMBER(FIND(",",Tabela1[[#This Row],[5]])),LEN(Tabela1[[#This Row],[5]])-LEN(SUBSTITUTE(Tabela1[[#This Row],[5]],",",""))+1,1),"")</f>
        <v/>
      </c>
      <c r="AE222" t="str">
        <f>IF(Tabela1[[#This Row],[6]]&lt;&gt;"",IF(ISNUMBER(FIND(",",Tabela1[[#This Row],[6]])),LEN(Tabela1[[#This Row],[6]])-LEN(SUBSTITUTE(Tabela1[[#This Row],[6]],",",""))+1,1),"")</f>
        <v/>
      </c>
      <c r="AF222" t="str">
        <f>IF(Tabela1[[#This Row],[7]]&lt;&gt;"",IF(ISNUMBER(FIND(",",Tabela1[[#This Row],[7]])),LEN(Tabela1[[#This Row],[7]])-LEN(SUBSTITUTE(Tabela1[[#This Row],[7]],",",""))+1,1),"")</f>
        <v/>
      </c>
      <c r="AG222">
        <f>IF(Tabela1[[#This Row],[8]]&lt;&gt;"",IF(ISNUMBER(FIND(",",Tabela1[[#This Row],[8]])),LEN(Tabela1[[#This Row],[8]])-LEN(SUBSTITUTE(Tabela1[[#This Row],[8]],",",""))+1,1),"")</f>
        <v>1</v>
      </c>
      <c r="AH222" t="str">
        <f>IF(Tabela1[[#This Row],[9]]&lt;&gt;"",IF(ISNUMBER(FIND(",",Tabela1[[#This Row],[9]])),LEN(Tabela1[[#This Row],[9]])-LEN(SUBSTITUTE(Tabela1[[#This Row],[9]],",",""))+1,1),"")</f>
        <v/>
      </c>
      <c r="AI222" t="str">
        <f>IF(Tabela1[[#This Row],[10]]&lt;&gt;"",IF(ISNUMBER(FIND(",",Tabela1[[#This Row],[10]])),LEN(Tabela1[[#This Row],[10]])-LEN(SUBSTITUTE(Tabela1[[#This Row],[10]],",",""))+1,1),"")</f>
        <v/>
      </c>
      <c r="AJ222" t="str">
        <f>IF(Tabela1[[#This Row],[11]]&lt;&gt;"",IF(ISNUMBER(FIND(",",Tabela1[[#This Row],[11]])),LEN(Tabela1[[#This Row],[11]])-LEN(SUBSTITUTE(Tabela1[[#This Row],[11]],",",""))+1,1),"")</f>
        <v/>
      </c>
      <c r="AK222" t="str">
        <f>IF(Tabela1[[#This Row],[12]]&lt;&gt;"",IF(ISNUMBER(FIND(",",Tabela1[[#This Row],[12]])),LEN(Tabela1[[#This Row],[12]])-LEN(SUBSTITUTE(Tabela1[[#This Row],[12]],",",""))+1,1),"")</f>
        <v/>
      </c>
      <c r="AL222" t="str">
        <f>IF(Tabela1[[#This Row],[13]]&lt;&gt;"",IF(ISNUMBER(FIND(",",Tabela1[[#This Row],[13]])),LEN(Tabela1[[#This Row],[13]])-LEN(SUBSTITUTE(Tabela1[[#This Row],[13]],",",""))+1,1),"")</f>
        <v/>
      </c>
      <c r="AM222" t="str">
        <f>IF(Tabela1[[#This Row],[14]]&lt;&gt;"",IF(ISNUMBER(FIND(",",Tabela1[[#This Row],[14]])),LEN(Tabela1[[#This Row],[14]])-LEN(SUBSTITUTE(Tabela1[[#This Row],[14]],",",""))+1,1),"")</f>
        <v/>
      </c>
      <c r="AN222" t="str">
        <f>IF(Tabela1[[#This Row],[15]]&lt;&gt;"",IF(ISNUMBER(FIND(",",Tabela1[[#This Row],[15]])),LEN(Tabela1[[#This Row],[15]])-LEN(SUBSTITUTE(Tabela1[[#This Row],[15]],",",""))+1,1),"")</f>
        <v/>
      </c>
      <c r="AO222" t="str">
        <f>IF(Tabela1[[#This Row],[16]]&lt;&gt;"",IF(ISNUMBER(FIND(",",Tabela1[[#This Row],[16]])),LEN(Tabela1[[#This Row],[16]])-LEN(SUBSTITUTE(Tabela1[[#This Row],[16]],",",""))+1,1),"")</f>
        <v/>
      </c>
      <c r="AP222" t="str">
        <f>IF(Tabela1[[#This Row],[17]]&lt;&gt;"",IF(ISNUMBER(FIND(",",Tabela1[[#This Row],[17]])),LEN(Tabela1[[#This Row],[17]])-LEN(SUBSTITUTE(Tabela1[[#This Row],[17]],",",""))+1,1),"")</f>
        <v/>
      </c>
      <c r="AQ222" t="str">
        <f>IF(Tabela1[[#This Row],[18]]&lt;&gt;"",IF(ISNUMBER(FIND(",",Tabela1[[#This Row],[18]])),LEN(Tabela1[[#This Row],[18]])-LEN(SUBSTITUTE(Tabela1[[#This Row],[18]],",",""))+1,1),"")</f>
        <v/>
      </c>
      <c r="AR222" s="13" t="str">
        <f>IF(Tabela1[[#This Row],[19_LENGTH]]&lt;&gt;"",IF(ISNUMBER(FIND(",",Tabela1[[#This Row],[19_LENGTH]])),LEN(Tabela1[[#This Row],[19_LENGTH]])-LEN(SUBSTITUTE(Tabela1[[#This Row],[19_LENGTH]],",",""))+1,1),"")</f>
        <v/>
      </c>
      <c r="AS222" s="21">
        <f>SUM(Tabela1[[#This Row],[1_]:[19_]])</f>
        <v>2</v>
      </c>
    </row>
    <row r="223" spans="1:45" x14ac:dyDescent="0.25">
      <c r="A223" s="27" t="s">
        <v>1322</v>
      </c>
      <c r="B223" s="19" t="s">
        <v>417</v>
      </c>
      <c r="C223" s="19">
        <v>212</v>
      </c>
      <c r="D223" s="19" t="s">
        <v>1315</v>
      </c>
      <c r="E223" s="20">
        <v>43484</v>
      </c>
      <c r="F223" s="19"/>
      <c r="G223" s="19"/>
      <c r="H223" s="19">
        <v>207</v>
      </c>
      <c r="I223" s="19"/>
      <c r="J223" s="19"/>
      <c r="K223" s="19"/>
      <c r="L223" s="19"/>
      <c r="M223" s="19"/>
      <c r="N223" s="19"/>
      <c r="O223" s="19"/>
      <c r="P223" s="19"/>
      <c r="Q223" s="19"/>
      <c r="R223" s="19"/>
      <c r="S223" s="19"/>
      <c r="T223" s="19"/>
      <c r="U223" s="19"/>
      <c r="V223" s="19"/>
      <c r="W223" s="19"/>
      <c r="X223" s="19"/>
      <c r="Y223" s="19"/>
      <c r="Z223" t="str">
        <f>IF(Tabela1[[#This Row],[1]]&lt;&gt;"",IF(ISNUMBER(FIND(",",Tabela1[[#This Row],[1]])),LEN(Tabela1[[#This Row],[1]])-LEN(SUBSTITUTE(Tabela1[[#This Row],[1]],",",""))+1,1),"")</f>
        <v/>
      </c>
      <c r="AA223" t="str">
        <f>IF(Tabela1[[#This Row],[2]]&lt;&gt;"",IF(ISNUMBER(FIND(",",Tabela1[[#This Row],[2]])),LEN(Tabela1[[#This Row],[2]])-LEN(SUBSTITUTE(Tabela1[[#This Row],[2]],",",""))+1,1),"")</f>
        <v/>
      </c>
      <c r="AB223">
        <f>IF(Tabela1[[#This Row],[3]]&lt;&gt;"",IF(ISNUMBER(FIND(",",Tabela1[[#This Row],[3]])),LEN(Tabela1[[#This Row],[3]])-LEN(SUBSTITUTE(Tabela1[[#This Row],[3]],",",""))+1,1),"")</f>
        <v>1</v>
      </c>
      <c r="AC223" t="str">
        <f>IF(Tabela1[[#This Row],[4]]&lt;&gt;"",IF(ISNUMBER(FIND(",",Tabela1[[#This Row],[4]])),LEN(Tabela1[[#This Row],[4]])-LEN(SUBSTITUTE(Tabela1[[#This Row],[4]],",",""))+1,1),"")</f>
        <v/>
      </c>
      <c r="AD223" t="str">
        <f>IF(Tabela1[[#This Row],[5]]&lt;&gt;"",IF(ISNUMBER(FIND(",",Tabela1[[#This Row],[5]])),LEN(Tabela1[[#This Row],[5]])-LEN(SUBSTITUTE(Tabela1[[#This Row],[5]],",",""))+1,1),"")</f>
        <v/>
      </c>
      <c r="AE223" t="str">
        <f>IF(Tabela1[[#This Row],[6]]&lt;&gt;"",IF(ISNUMBER(FIND(",",Tabela1[[#This Row],[6]])),LEN(Tabela1[[#This Row],[6]])-LEN(SUBSTITUTE(Tabela1[[#This Row],[6]],",",""))+1,1),"")</f>
        <v/>
      </c>
      <c r="AF223" t="str">
        <f>IF(Tabela1[[#This Row],[7]]&lt;&gt;"",IF(ISNUMBER(FIND(",",Tabela1[[#This Row],[7]])),LEN(Tabela1[[#This Row],[7]])-LEN(SUBSTITUTE(Tabela1[[#This Row],[7]],",",""))+1,1),"")</f>
        <v/>
      </c>
      <c r="AG223" t="str">
        <f>IF(Tabela1[[#This Row],[8]]&lt;&gt;"",IF(ISNUMBER(FIND(",",Tabela1[[#This Row],[8]])),LEN(Tabela1[[#This Row],[8]])-LEN(SUBSTITUTE(Tabela1[[#This Row],[8]],",",""))+1,1),"")</f>
        <v/>
      </c>
      <c r="AH223" t="str">
        <f>IF(Tabela1[[#This Row],[9]]&lt;&gt;"",IF(ISNUMBER(FIND(",",Tabela1[[#This Row],[9]])),LEN(Tabela1[[#This Row],[9]])-LEN(SUBSTITUTE(Tabela1[[#This Row],[9]],",",""))+1,1),"")</f>
        <v/>
      </c>
      <c r="AI223" t="str">
        <f>IF(Tabela1[[#This Row],[10]]&lt;&gt;"",IF(ISNUMBER(FIND(",",Tabela1[[#This Row],[10]])),LEN(Tabela1[[#This Row],[10]])-LEN(SUBSTITUTE(Tabela1[[#This Row],[10]],",",""))+1,1),"")</f>
        <v/>
      </c>
      <c r="AJ223" t="str">
        <f>IF(Tabela1[[#This Row],[11]]&lt;&gt;"",IF(ISNUMBER(FIND(",",Tabela1[[#This Row],[11]])),LEN(Tabela1[[#This Row],[11]])-LEN(SUBSTITUTE(Tabela1[[#This Row],[11]],",",""))+1,1),"")</f>
        <v/>
      </c>
      <c r="AK223" t="str">
        <f>IF(Tabela1[[#This Row],[12]]&lt;&gt;"",IF(ISNUMBER(FIND(",",Tabela1[[#This Row],[12]])),LEN(Tabela1[[#This Row],[12]])-LEN(SUBSTITUTE(Tabela1[[#This Row],[12]],",",""))+1,1),"")</f>
        <v/>
      </c>
      <c r="AL223" t="str">
        <f>IF(Tabela1[[#This Row],[13]]&lt;&gt;"",IF(ISNUMBER(FIND(",",Tabela1[[#This Row],[13]])),LEN(Tabela1[[#This Row],[13]])-LEN(SUBSTITUTE(Tabela1[[#This Row],[13]],",",""))+1,1),"")</f>
        <v/>
      </c>
      <c r="AM223" t="str">
        <f>IF(Tabela1[[#This Row],[14]]&lt;&gt;"",IF(ISNUMBER(FIND(",",Tabela1[[#This Row],[14]])),LEN(Tabela1[[#This Row],[14]])-LEN(SUBSTITUTE(Tabela1[[#This Row],[14]],",",""))+1,1),"")</f>
        <v/>
      </c>
      <c r="AN223" t="str">
        <f>IF(Tabela1[[#This Row],[15]]&lt;&gt;"",IF(ISNUMBER(FIND(",",Tabela1[[#This Row],[15]])),LEN(Tabela1[[#This Row],[15]])-LEN(SUBSTITUTE(Tabela1[[#This Row],[15]],",",""))+1,1),"")</f>
        <v/>
      </c>
      <c r="AO223" t="str">
        <f>IF(Tabela1[[#This Row],[16]]&lt;&gt;"",IF(ISNUMBER(FIND(",",Tabela1[[#This Row],[16]])),LEN(Tabela1[[#This Row],[16]])-LEN(SUBSTITUTE(Tabela1[[#This Row],[16]],",",""))+1,1),"")</f>
        <v/>
      </c>
      <c r="AP223" t="str">
        <f>IF(Tabela1[[#This Row],[17]]&lt;&gt;"",IF(ISNUMBER(FIND(",",Tabela1[[#This Row],[17]])),LEN(Tabela1[[#This Row],[17]])-LEN(SUBSTITUTE(Tabela1[[#This Row],[17]],",",""))+1,1),"")</f>
        <v/>
      </c>
      <c r="AQ223" t="str">
        <f>IF(Tabela1[[#This Row],[18]]&lt;&gt;"",IF(ISNUMBER(FIND(",",Tabela1[[#This Row],[18]])),LEN(Tabela1[[#This Row],[18]])-LEN(SUBSTITUTE(Tabela1[[#This Row],[18]],",",""))+1,1),"")</f>
        <v/>
      </c>
      <c r="AR223" s="13" t="str">
        <f>IF(Tabela1[[#This Row],[19_LENGTH]]&lt;&gt;"",IF(ISNUMBER(FIND(",",Tabela1[[#This Row],[19_LENGTH]])),LEN(Tabela1[[#This Row],[19_LENGTH]])-LEN(SUBSTITUTE(Tabela1[[#This Row],[19_LENGTH]],",",""))+1,1),"")</f>
        <v/>
      </c>
      <c r="AS223" s="21">
        <f>SUM(Tabela1[[#This Row],[1_]:[19_]])</f>
        <v>1</v>
      </c>
    </row>
    <row r="224" spans="1:45" x14ac:dyDescent="0.25">
      <c r="A224" s="27" t="s">
        <v>1322</v>
      </c>
      <c r="B224" s="19" t="s">
        <v>418</v>
      </c>
      <c r="C224" s="19">
        <v>36</v>
      </c>
      <c r="D224" s="19" t="s">
        <v>1315</v>
      </c>
      <c r="E224" s="20">
        <v>43484</v>
      </c>
      <c r="F224" s="19"/>
      <c r="G224" s="19"/>
      <c r="H224" s="19"/>
      <c r="I224" s="19">
        <v>6</v>
      </c>
      <c r="J224" s="19"/>
      <c r="K224" s="19"/>
      <c r="L224" s="19"/>
      <c r="M224" s="19"/>
      <c r="N224" s="19"/>
      <c r="O224" s="19"/>
      <c r="P224" s="19"/>
      <c r="Q224" s="19"/>
      <c r="R224" s="19"/>
      <c r="S224" s="19"/>
      <c r="T224" s="19"/>
      <c r="U224" s="19"/>
      <c r="V224" s="19"/>
      <c r="W224" s="19"/>
      <c r="X224" s="19"/>
      <c r="Y224" s="19"/>
      <c r="Z224" t="str">
        <f>IF(Tabela1[[#This Row],[1]]&lt;&gt;"",IF(ISNUMBER(FIND(",",Tabela1[[#This Row],[1]])),LEN(Tabela1[[#This Row],[1]])-LEN(SUBSTITUTE(Tabela1[[#This Row],[1]],",",""))+1,1),"")</f>
        <v/>
      </c>
      <c r="AA224" t="str">
        <f>IF(Tabela1[[#This Row],[2]]&lt;&gt;"",IF(ISNUMBER(FIND(",",Tabela1[[#This Row],[2]])),LEN(Tabela1[[#This Row],[2]])-LEN(SUBSTITUTE(Tabela1[[#This Row],[2]],",",""))+1,1),"")</f>
        <v/>
      </c>
      <c r="AB224" t="str">
        <f>IF(Tabela1[[#This Row],[3]]&lt;&gt;"",IF(ISNUMBER(FIND(",",Tabela1[[#This Row],[3]])),LEN(Tabela1[[#This Row],[3]])-LEN(SUBSTITUTE(Tabela1[[#This Row],[3]],",",""))+1,1),"")</f>
        <v/>
      </c>
      <c r="AC224">
        <f>IF(Tabela1[[#This Row],[4]]&lt;&gt;"",IF(ISNUMBER(FIND(",",Tabela1[[#This Row],[4]])),LEN(Tabela1[[#This Row],[4]])-LEN(SUBSTITUTE(Tabela1[[#This Row],[4]],",",""))+1,1),"")</f>
        <v>1</v>
      </c>
      <c r="AD224" t="str">
        <f>IF(Tabela1[[#This Row],[5]]&lt;&gt;"",IF(ISNUMBER(FIND(",",Tabela1[[#This Row],[5]])),LEN(Tabela1[[#This Row],[5]])-LEN(SUBSTITUTE(Tabela1[[#This Row],[5]],",",""))+1,1),"")</f>
        <v/>
      </c>
      <c r="AE224" t="str">
        <f>IF(Tabela1[[#This Row],[6]]&lt;&gt;"",IF(ISNUMBER(FIND(",",Tabela1[[#This Row],[6]])),LEN(Tabela1[[#This Row],[6]])-LEN(SUBSTITUTE(Tabela1[[#This Row],[6]],",",""))+1,1),"")</f>
        <v/>
      </c>
      <c r="AF224" t="str">
        <f>IF(Tabela1[[#This Row],[7]]&lt;&gt;"",IF(ISNUMBER(FIND(",",Tabela1[[#This Row],[7]])),LEN(Tabela1[[#This Row],[7]])-LEN(SUBSTITUTE(Tabela1[[#This Row],[7]],",",""))+1,1),"")</f>
        <v/>
      </c>
      <c r="AG224" t="str">
        <f>IF(Tabela1[[#This Row],[8]]&lt;&gt;"",IF(ISNUMBER(FIND(",",Tabela1[[#This Row],[8]])),LEN(Tabela1[[#This Row],[8]])-LEN(SUBSTITUTE(Tabela1[[#This Row],[8]],",",""))+1,1),"")</f>
        <v/>
      </c>
      <c r="AH224" t="str">
        <f>IF(Tabela1[[#This Row],[9]]&lt;&gt;"",IF(ISNUMBER(FIND(",",Tabela1[[#This Row],[9]])),LEN(Tabela1[[#This Row],[9]])-LEN(SUBSTITUTE(Tabela1[[#This Row],[9]],",",""))+1,1),"")</f>
        <v/>
      </c>
      <c r="AI224" t="str">
        <f>IF(Tabela1[[#This Row],[10]]&lt;&gt;"",IF(ISNUMBER(FIND(",",Tabela1[[#This Row],[10]])),LEN(Tabela1[[#This Row],[10]])-LEN(SUBSTITUTE(Tabela1[[#This Row],[10]],",",""))+1,1),"")</f>
        <v/>
      </c>
      <c r="AJ224" t="str">
        <f>IF(Tabela1[[#This Row],[11]]&lt;&gt;"",IF(ISNUMBER(FIND(",",Tabela1[[#This Row],[11]])),LEN(Tabela1[[#This Row],[11]])-LEN(SUBSTITUTE(Tabela1[[#This Row],[11]],",",""))+1,1),"")</f>
        <v/>
      </c>
      <c r="AK224" t="str">
        <f>IF(Tabela1[[#This Row],[12]]&lt;&gt;"",IF(ISNUMBER(FIND(",",Tabela1[[#This Row],[12]])),LEN(Tabela1[[#This Row],[12]])-LEN(SUBSTITUTE(Tabela1[[#This Row],[12]],",",""))+1,1),"")</f>
        <v/>
      </c>
      <c r="AL224" t="str">
        <f>IF(Tabela1[[#This Row],[13]]&lt;&gt;"",IF(ISNUMBER(FIND(",",Tabela1[[#This Row],[13]])),LEN(Tabela1[[#This Row],[13]])-LEN(SUBSTITUTE(Tabela1[[#This Row],[13]],",",""))+1,1),"")</f>
        <v/>
      </c>
      <c r="AM224" t="str">
        <f>IF(Tabela1[[#This Row],[14]]&lt;&gt;"",IF(ISNUMBER(FIND(",",Tabela1[[#This Row],[14]])),LEN(Tabela1[[#This Row],[14]])-LEN(SUBSTITUTE(Tabela1[[#This Row],[14]],",",""))+1,1),"")</f>
        <v/>
      </c>
      <c r="AN224" t="str">
        <f>IF(Tabela1[[#This Row],[15]]&lt;&gt;"",IF(ISNUMBER(FIND(",",Tabela1[[#This Row],[15]])),LEN(Tabela1[[#This Row],[15]])-LEN(SUBSTITUTE(Tabela1[[#This Row],[15]],",",""))+1,1),"")</f>
        <v/>
      </c>
      <c r="AO224" t="str">
        <f>IF(Tabela1[[#This Row],[16]]&lt;&gt;"",IF(ISNUMBER(FIND(",",Tabela1[[#This Row],[16]])),LEN(Tabela1[[#This Row],[16]])-LEN(SUBSTITUTE(Tabela1[[#This Row],[16]],",",""))+1,1),"")</f>
        <v/>
      </c>
      <c r="AP224" t="str">
        <f>IF(Tabela1[[#This Row],[17]]&lt;&gt;"",IF(ISNUMBER(FIND(",",Tabela1[[#This Row],[17]])),LEN(Tabela1[[#This Row],[17]])-LEN(SUBSTITUTE(Tabela1[[#This Row],[17]],",",""))+1,1),"")</f>
        <v/>
      </c>
      <c r="AQ224" t="str">
        <f>IF(Tabela1[[#This Row],[18]]&lt;&gt;"",IF(ISNUMBER(FIND(",",Tabela1[[#This Row],[18]])),LEN(Tabela1[[#This Row],[18]])-LEN(SUBSTITUTE(Tabela1[[#This Row],[18]],",",""))+1,1),"")</f>
        <v/>
      </c>
      <c r="AR224" s="13" t="str">
        <f>IF(Tabela1[[#This Row],[19_LENGTH]]&lt;&gt;"",IF(ISNUMBER(FIND(",",Tabela1[[#This Row],[19_LENGTH]])),LEN(Tabela1[[#This Row],[19_LENGTH]])-LEN(SUBSTITUTE(Tabela1[[#This Row],[19_LENGTH]],",",""))+1,1),"")</f>
        <v/>
      </c>
      <c r="AS224" s="21">
        <f>SUM(Tabela1[[#This Row],[1_]:[19_]])</f>
        <v>1</v>
      </c>
    </row>
    <row r="225" spans="1:45" x14ac:dyDescent="0.25">
      <c r="A225" s="27" t="s">
        <v>1322</v>
      </c>
      <c r="B225" s="19" t="s">
        <v>419</v>
      </c>
      <c r="C225" s="19">
        <v>172</v>
      </c>
      <c r="D225" s="19" t="s">
        <v>1315</v>
      </c>
      <c r="E225" s="20">
        <v>43484</v>
      </c>
      <c r="F225" s="19"/>
      <c r="G225" s="19"/>
      <c r="H225" s="19"/>
      <c r="I225" s="19">
        <v>28</v>
      </c>
      <c r="J225" s="19"/>
      <c r="K225" s="19"/>
      <c r="L225" s="19"/>
      <c r="M225" s="19"/>
      <c r="N225" s="19"/>
      <c r="O225" s="19"/>
      <c r="P225" s="19"/>
      <c r="Q225" s="19"/>
      <c r="R225" s="19"/>
      <c r="S225" s="19"/>
      <c r="T225" s="19"/>
      <c r="U225" s="19"/>
      <c r="V225" s="19"/>
      <c r="W225" s="19"/>
      <c r="X225" s="19"/>
      <c r="Y225" s="19"/>
      <c r="Z225" t="str">
        <f>IF(Tabela1[[#This Row],[1]]&lt;&gt;"",IF(ISNUMBER(FIND(",",Tabela1[[#This Row],[1]])),LEN(Tabela1[[#This Row],[1]])-LEN(SUBSTITUTE(Tabela1[[#This Row],[1]],",",""))+1,1),"")</f>
        <v/>
      </c>
      <c r="AA225" t="str">
        <f>IF(Tabela1[[#This Row],[2]]&lt;&gt;"",IF(ISNUMBER(FIND(",",Tabela1[[#This Row],[2]])),LEN(Tabela1[[#This Row],[2]])-LEN(SUBSTITUTE(Tabela1[[#This Row],[2]],",",""))+1,1),"")</f>
        <v/>
      </c>
      <c r="AB225" t="str">
        <f>IF(Tabela1[[#This Row],[3]]&lt;&gt;"",IF(ISNUMBER(FIND(",",Tabela1[[#This Row],[3]])),LEN(Tabela1[[#This Row],[3]])-LEN(SUBSTITUTE(Tabela1[[#This Row],[3]],",",""))+1,1),"")</f>
        <v/>
      </c>
      <c r="AC225">
        <f>IF(Tabela1[[#This Row],[4]]&lt;&gt;"",IF(ISNUMBER(FIND(",",Tabela1[[#This Row],[4]])),LEN(Tabela1[[#This Row],[4]])-LEN(SUBSTITUTE(Tabela1[[#This Row],[4]],",",""))+1,1),"")</f>
        <v>1</v>
      </c>
      <c r="AD225" t="str">
        <f>IF(Tabela1[[#This Row],[5]]&lt;&gt;"",IF(ISNUMBER(FIND(",",Tabela1[[#This Row],[5]])),LEN(Tabela1[[#This Row],[5]])-LEN(SUBSTITUTE(Tabela1[[#This Row],[5]],",",""))+1,1),"")</f>
        <v/>
      </c>
      <c r="AE225" t="str">
        <f>IF(Tabela1[[#This Row],[6]]&lt;&gt;"",IF(ISNUMBER(FIND(",",Tabela1[[#This Row],[6]])),LEN(Tabela1[[#This Row],[6]])-LEN(SUBSTITUTE(Tabela1[[#This Row],[6]],",",""))+1,1),"")</f>
        <v/>
      </c>
      <c r="AF225" t="str">
        <f>IF(Tabela1[[#This Row],[7]]&lt;&gt;"",IF(ISNUMBER(FIND(",",Tabela1[[#This Row],[7]])),LEN(Tabela1[[#This Row],[7]])-LEN(SUBSTITUTE(Tabela1[[#This Row],[7]],",",""))+1,1),"")</f>
        <v/>
      </c>
      <c r="AG225" t="str">
        <f>IF(Tabela1[[#This Row],[8]]&lt;&gt;"",IF(ISNUMBER(FIND(",",Tabela1[[#This Row],[8]])),LEN(Tabela1[[#This Row],[8]])-LEN(SUBSTITUTE(Tabela1[[#This Row],[8]],",",""))+1,1),"")</f>
        <v/>
      </c>
      <c r="AH225" t="str">
        <f>IF(Tabela1[[#This Row],[9]]&lt;&gt;"",IF(ISNUMBER(FIND(",",Tabela1[[#This Row],[9]])),LEN(Tabela1[[#This Row],[9]])-LEN(SUBSTITUTE(Tabela1[[#This Row],[9]],",",""))+1,1),"")</f>
        <v/>
      </c>
      <c r="AI225" t="str">
        <f>IF(Tabela1[[#This Row],[10]]&lt;&gt;"",IF(ISNUMBER(FIND(",",Tabela1[[#This Row],[10]])),LEN(Tabela1[[#This Row],[10]])-LEN(SUBSTITUTE(Tabela1[[#This Row],[10]],",",""))+1,1),"")</f>
        <v/>
      </c>
      <c r="AJ225" t="str">
        <f>IF(Tabela1[[#This Row],[11]]&lt;&gt;"",IF(ISNUMBER(FIND(",",Tabela1[[#This Row],[11]])),LEN(Tabela1[[#This Row],[11]])-LEN(SUBSTITUTE(Tabela1[[#This Row],[11]],",",""))+1,1),"")</f>
        <v/>
      </c>
      <c r="AK225" t="str">
        <f>IF(Tabela1[[#This Row],[12]]&lt;&gt;"",IF(ISNUMBER(FIND(",",Tabela1[[#This Row],[12]])),LEN(Tabela1[[#This Row],[12]])-LEN(SUBSTITUTE(Tabela1[[#This Row],[12]],",",""))+1,1),"")</f>
        <v/>
      </c>
      <c r="AL225" t="str">
        <f>IF(Tabela1[[#This Row],[13]]&lt;&gt;"",IF(ISNUMBER(FIND(",",Tabela1[[#This Row],[13]])),LEN(Tabela1[[#This Row],[13]])-LEN(SUBSTITUTE(Tabela1[[#This Row],[13]],",",""))+1,1),"")</f>
        <v/>
      </c>
      <c r="AM225" t="str">
        <f>IF(Tabela1[[#This Row],[14]]&lt;&gt;"",IF(ISNUMBER(FIND(",",Tabela1[[#This Row],[14]])),LEN(Tabela1[[#This Row],[14]])-LEN(SUBSTITUTE(Tabela1[[#This Row],[14]],",",""))+1,1),"")</f>
        <v/>
      </c>
      <c r="AN225" t="str">
        <f>IF(Tabela1[[#This Row],[15]]&lt;&gt;"",IF(ISNUMBER(FIND(",",Tabela1[[#This Row],[15]])),LEN(Tabela1[[#This Row],[15]])-LEN(SUBSTITUTE(Tabela1[[#This Row],[15]],",",""))+1,1),"")</f>
        <v/>
      </c>
      <c r="AO225" t="str">
        <f>IF(Tabela1[[#This Row],[16]]&lt;&gt;"",IF(ISNUMBER(FIND(",",Tabela1[[#This Row],[16]])),LEN(Tabela1[[#This Row],[16]])-LEN(SUBSTITUTE(Tabela1[[#This Row],[16]],",",""))+1,1),"")</f>
        <v/>
      </c>
      <c r="AP225" t="str">
        <f>IF(Tabela1[[#This Row],[17]]&lt;&gt;"",IF(ISNUMBER(FIND(",",Tabela1[[#This Row],[17]])),LEN(Tabela1[[#This Row],[17]])-LEN(SUBSTITUTE(Tabela1[[#This Row],[17]],",",""))+1,1),"")</f>
        <v/>
      </c>
      <c r="AQ225" t="str">
        <f>IF(Tabela1[[#This Row],[18]]&lt;&gt;"",IF(ISNUMBER(FIND(",",Tabela1[[#This Row],[18]])),LEN(Tabela1[[#This Row],[18]])-LEN(SUBSTITUTE(Tabela1[[#This Row],[18]],",",""))+1,1),"")</f>
        <v/>
      </c>
      <c r="AR225" s="13" t="str">
        <f>IF(Tabela1[[#This Row],[19_LENGTH]]&lt;&gt;"",IF(ISNUMBER(FIND(",",Tabela1[[#This Row],[19_LENGTH]])),LEN(Tabela1[[#This Row],[19_LENGTH]])-LEN(SUBSTITUTE(Tabela1[[#This Row],[19_LENGTH]],",",""))+1,1),"")</f>
        <v/>
      </c>
      <c r="AS225" s="21">
        <f>SUM(Tabela1[[#This Row],[1_]:[19_]])</f>
        <v>1</v>
      </c>
    </row>
    <row r="226" spans="1:45" x14ac:dyDescent="0.25">
      <c r="A226" s="27" t="s">
        <v>1322</v>
      </c>
      <c r="B226" s="19" t="s">
        <v>420</v>
      </c>
      <c r="C226" s="19">
        <v>202</v>
      </c>
      <c r="D226" s="19" t="s">
        <v>1315</v>
      </c>
      <c r="E226" s="20">
        <v>43484</v>
      </c>
      <c r="F226" s="19"/>
      <c r="G226" s="19"/>
      <c r="H226" s="19"/>
      <c r="I226" s="19"/>
      <c r="J226" s="19"/>
      <c r="K226" s="19"/>
      <c r="L226" s="19"/>
      <c r="M226" s="19"/>
      <c r="N226" s="19"/>
      <c r="O226" s="19"/>
      <c r="P226" s="19"/>
      <c r="Q226" s="19"/>
      <c r="R226" s="19"/>
      <c r="S226" s="19"/>
      <c r="T226" s="19"/>
      <c r="U226" s="19">
        <v>138</v>
      </c>
      <c r="V226" s="19"/>
      <c r="W226" s="19"/>
      <c r="X226" s="19"/>
      <c r="Y226" s="19"/>
      <c r="Z226" t="str">
        <f>IF(Tabela1[[#This Row],[1]]&lt;&gt;"",IF(ISNUMBER(FIND(",",Tabela1[[#This Row],[1]])),LEN(Tabela1[[#This Row],[1]])-LEN(SUBSTITUTE(Tabela1[[#This Row],[1]],",",""))+1,1),"")</f>
        <v/>
      </c>
      <c r="AA226" t="str">
        <f>IF(Tabela1[[#This Row],[2]]&lt;&gt;"",IF(ISNUMBER(FIND(",",Tabela1[[#This Row],[2]])),LEN(Tabela1[[#This Row],[2]])-LEN(SUBSTITUTE(Tabela1[[#This Row],[2]],",",""))+1,1),"")</f>
        <v/>
      </c>
      <c r="AB226" t="str">
        <f>IF(Tabela1[[#This Row],[3]]&lt;&gt;"",IF(ISNUMBER(FIND(",",Tabela1[[#This Row],[3]])),LEN(Tabela1[[#This Row],[3]])-LEN(SUBSTITUTE(Tabela1[[#This Row],[3]],",",""))+1,1),"")</f>
        <v/>
      </c>
      <c r="AC226" t="str">
        <f>IF(Tabela1[[#This Row],[4]]&lt;&gt;"",IF(ISNUMBER(FIND(",",Tabela1[[#This Row],[4]])),LEN(Tabela1[[#This Row],[4]])-LEN(SUBSTITUTE(Tabela1[[#This Row],[4]],",",""))+1,1),"")</f>
        <v/>
      </c>
      <c r="AD226" t="str">
        <f>IF(Tabela1[[#This Row],[5]]&lt;&gt;"",IF(ISNUMBER(FIND(",",Tabela1[[#This Row],[5]])),LEN(Tabela1[[#This Row],[5]])-LEN(SUBSTITUTE(Tabela1[[#This Row],[5]],",",""))+1,1),"")</f>
        <v/>
      </c>
      <c r="AE226" t="str">
        <f>IF(Tabela1[[#This Row],[6]]&lt;&gt;"",IF(ISNUMBER(FIND(",",Tabela1[[#This Row],[6]])),LEN(Tabela1[[#This Row],[6]])-LEN(SUBSTITUTE(Tabela1[[#This Row],[6]],",",""))+1,1),"")</f>
        <v/>
      </c>
      <c r="AF226" t="str">
        <f>IF(Tabela1[[#This Row],[7]]&lt;&gt;"",IF(ISNUMBER(FIND(",",Tabela1[[#This Row],[7]])),LEN(Tabela1[[#This Row],[7]])-LEN(SUBSTITUTE(Tabela1[[#This Row],[7]],",",""))+1,1),"")</f>
        <v/>
      </c>
      <c r="AG226" t="str">
        <f>IF(Tabela1[[#This Row],[8]]&lt;&gt;"",IF(ISNUMBER(FIND(",",Tabela1[[#This Row],[8]])),LEN(Tabela1[[#This Row],[8]])-LEN(SUBSTITUTE(Tabela1[[#This Row],[8]],",",""))+1,1),"")</f>
        <v/>
      </c>
      <c r="AH226" t="str">
        <f>IF(Tabela1[[#This Row],[9]]&lt;&gt;"",IF(ISNUMBER(FIND(",",Tabela1[[#This Row],[9]])),LEN(Tabela1[[#This Row],[9]])-LEN(SUBSTITUTE(Tabela1[[#This Row],[9]],",",""))+1,1),"")</f>
        <v/>
      </c>
      <c r="AI226" t="str">
        <f>IF(Tabela1[[#This Row],[10]]&lt;&gt;"",IF(ISNUMBER(FIND(",",Tabela1[[#This Row],[10]])),LEN(Tabela1[[#This Row],[10]])-LEN(SUBSTITUTE(Tabela1[[#This Row],[10]],",",""))+1,1),"")</f>
        <v/>
      </c>
      <c r="AJ226" t="str">
        <f>IF(Tabela1[[#This Row],[11]]&lt;&gt;"",IF(ISNUMBER(FIND(",",Tabela1[[#This Row],[11]])),LEN(Tabela1[[#This Row],[11]])-LEN(SUBSTITUTE(Tabela1[[#This Row],[11]],",",""))+1,1),"")</f>
        <v/>
      </c>
      <c r="AK226" t="str">
        <f>IF(Tabela1[[#This Row],[12]]&lt;&gt;"",IF(ISNUMBER(FIND(",",Tabela1[[#This Row],[12]])),LEN(Tabela1[[#This Row],[12]])-LEN(SUBSTITUTE(Tabela1[[#This Row],[12]],",",""))+1,1),"")</f>
        <v/>
      </c>
      <c r="AL226" t="str">
        <f>IF(Tabela1[[#This Row],[13]]&lt;&gt;"",IF(ISNUMBER(FIND(",",Tabela1[[#This Row],[13]])),LEN(Tabela1[[#This Row],[13]])-LEN(SUBSTITUTE(Tabela1[[#This Row],[13]],",",""))+1,1),"")</f>
        <v/>
      </c>
      <c r="AM226" t="str">
        <f>IF(Tabela1[[#This Row],[14]]&lt;&gt;"",IF(ISNUMBER(FIND(",",Tabela1[[#This Row],[14]])),LEN(Tabela1[[#This Row],[14]])-LEN(SUBSTITUTE(Tabela1[[#This Row],[14]],",",""))+1,1),"")</f>
        <v/>
      </c>
      <c r="AN226" t="str">
        <f>IF(Tabela1[[#This Row],[15]]&lt;&gt;"",IF(ISNUMBER(FIND(",",Tabela1[[#This Row],[15]])),LEN(Tabela1[[#This Row],[15]])-LEN(SUBSTITUTE(Tabela1[[#This Row],[15]],",",""))+1,1),"")</f>
        <v/>
      </c>
      <c r="AO226">
        <f>IF(Tabela1[[#This Row],[16]]&lt;&gt;"",IF(ISNUMBER(FIND(",",Tabela1[[#This Row],[16]])),LEN(Tabela1[[#This Row],[16]])-LEN(SUBSTITUTE(Tabela1[[#This Row],[16]],",",""))+1,1),"")</f>
        <v>1</v>
      </c>
      <c r="AP226" t="str">
        <f>IF(Tabela1[[#This Row],[17]]&lt;&gt;"",IF(ISNUMBER(FIND(",",Tabela1[[#This Row],[17]])),LEN(Tabela1[[#This Row],[17]])-LEN(SUBSTITUTE(Tabela1[[#This Row],[17]],",",""))+1,1),"")</f>
        <v/>
      </c>
      <c r="AQ226" t="str">
        <f>IF(Tabela1[[#This Row],[18]]&lt;&gt;"",IF(ISNUMBER(FIND(",",Tabela1[[#This Row],[18]])),LEN(Tabela1[[#This Row],[18]])-LEN(SUBSTITUTE(Tabela1[[#This Row],[18]],",",""))+1,1),"")</f>
        <v/>
      </c>
      <c r="AR226" s="13" t="str">
        <f>IF(Tabela1[[#This Row],[19_LENGTH]]&lt;&gt;"",IF(ISNUMBER(FIND(",",Tabela1[[#This Row],[19_LENGTH]])),LEN(Tabela1[[#This Row],[19_LENGTH]])-LEN(SUBSTITUTE(Tabela1[[#This Row],[19_LENGTH]],",",""))+1,1),"")</f>
        <v/>
      </c>
      <c r="AS226" s="21">
        <f>SUM(Tabela1[[#This Row],[1_]:[19_]])</f>
        <v>1</v>
      </c>
    </row>
    <row r="227" spans="1:45" x14ac:dyDescent="0.25">
      <c r="A227" s="27" t="s">
        <v>1322</v>
      </c>
      <c r="B227" s="19" t="s">
        <v>421</v>
      </c>
      <c r="C227" s="19">
        <v>202</v>
      </c>
      <c r="D227" s="19" t="s">
        <v>1299</v>
      </c>
      <c r="E227" s="20">
        <v>43486</v>
      </c>
      <c r="F227" s="19"/>
      <c r="G227" s="19">
        <v>103</v>
      </c>
      <c r="H227" s="19"/>
      <c r="I227" s="19"/>
      <c r="J227" s="19"/>
      <c r="K227" s="19"/>
      <c r="L227" s="19"/>
      <c r="M227" s="19"/>
      <c r="N227" s="19"/>
      <c r="O227" s="19"/>
      <c r="P227" s="19"/>
      <c r="Q227" s="19"/>
      <c r="R227" s="19"/>
      <c r="S227" s="19"/>
      <c r="T227" s="19"/>
      <c r="U227" s="19"/>
      <c r="V227" s="19"/>
      <c r="W227" s="19"/>
      <c r="X227" s="19"/>
      <c r="Y227" s="19"/>
      <c r="Z227" t="str">
        <f>IF(Tabela1[[#This Row],[1]]&lt;&gt;"",IF(ISNUMBER(FIND(",",Tabela1[[#This Row],[1]])),LEN(Tabela1[[#This Row],[1]])-LEN(SUBSTITUTE(Tabela1[[#This Row],[1]],",",""))+1,1),"")</f>
        <v/>
      </c>
      <c r="AA227">
        <f>IF(Tabela1[[#This Row],[2]]&lt;&gt;"",IF(ISNUMBER(FIND(",",Tabela1[[#This Row],[2]])),LEN(Tabela1[[#This Row],[2]])-LEN(SUBSTITUTE(Tabela1[[#This Row],[2]],",",""))+1,1),"")</f>
        <v>1</v>
      </c>
      <c r="AB227" t="str">
        <f>IF(Tabela1[[#This Row],[3]]&lt;&gt;"",IF(ISNUMBER(FIND(",",Tabela1[[#This Row],[3]])),LEN(Tabela1[[#This Row],[3]])-LEN(SUBSTITUTE(Tabela1[[#This Row],[3]],",",""))+1,1),"")</f>
        <v/>
      </c>
      <c r="AC227" t="str">
        <f>IF(Tabela1[[#This Row],[4]]&lt;&gt;"",IF(ISNUMBER(FIND(",",Tabela1[[#This Row],[4]])),LEN(Tabela1[[#This Row],[4]])-LEN(SUBSTITUTE(Tabela1[[#This Row],[4]],",",""))+1,1),"")</f>
        <v/>
      </c>
      <c r="AD227" t="str">
        <f>IF(Tabela1[[#This Row],[5]]&lt;&gt;"",IF(ISNUMBER(FIND(",",Tabela1[[#This Row],[5]])),LEN(Tabela1[[#This Row],[5]])-LEN(SUBSTITUTE(Tabela1[[#This Row],[5]],",",""))+1,1),"")</f>
        <v/>
      </c>
      <c r="AE227" t="str">
        <f>IF(Tabela1[[#This Row],[6]]&lt;&gt;"",IF(ISNUMBER(FIND(",",Tabela1[[#This Row],[6]])),LEN(Tabela1[[#This Row],[6]])-LEN(SUBSTITUTE(Tabela1[[#This Row],[6]],",",""))+1,1),"")</f>
        <v/>
      </c>
      <c r="AF227" t="str">
        <f>IF(Tabela1[[#This Row],[7]]&lt;&gt;"",IF(ISNUMBER(FIND(",",Tabela1[[#This Row],[7]])),LEN(Tabela1[[#This Row],[7]])-LEN(SUBSTITUTE(Tabela1[[#This Row],[7]],",",""))+1,1),"")</f>
        <v/>
      </c>
      <c r="AG227" t="str">
        <f>IF(Tabela1[[#This Row],[8]]&lt;&gt;"",IF(ISNUMBER(FIND(",",Tabela1[[#This Row],[8]])),LEN(Tabela1[[#This Row],[8]])-LEN(SUBSTITUTE(Tabela1[[#This Row],[8]],",",""))+1,1),"")</f>
        <v/>
      </c>
      <c r="AH227" t="str">
        <f>IF(Tabela1[[#This Row],[9]]&lt;&gt;"",IF(ISNUMBER(FIND(",",Tabela1[[#This Row],[9]])),LEN(Tabela1[[#This Row],[9]])-LEN(SUBSTITUTE(Tabela1[[#This Row],[9]],",",""))+1,1),"")</f>
        <v/>
      </c>
      <c r="AI227" t="str">
        <f>IF(Tabela1[[#This Row],[10]]&lt;&gt;"",IF(ISNUMBER(FIND(",",Tabela1[[#This Row],[10]])),LEN(Tabela1[[#This Row],[10]])-LEN(SUBSTITUTE(Tabela1[[#This Row],[10]],",",""))+1,1),"")</f>
        <v/>
      </c>
      <c r="AJ227" t="str">
        <f>IF(Tabela1[[#This Row],[11]]&lt;&gt;"",IF(ISNUMBER(FIND(",",Tabela1[[#This Row],[11]])),LEN(Tabela1[[#This Row],[11]])-LEN(SUBSTITUTE(Tabela1[[#This Row],[11]],",",""))+1,1),"")</f>
        <v/>
      </c>
      <c r="AK227" t="str">
        <f>IF(Tabela1[[#This Row],[12]]&lt;&gt;"",IF(ISNUMBER(FIND(",",Tabela1[[#This Row],[12]])),LEN(Tabela1[[#This Row],[12]])-LEN(SUBSTITUTE(Tabela1[[#This Row],[12]],",",""))+1,1),"")</f>
        <v/>
      </c>
      <c r="AL227" t="str">
        <f>IF(Tabela1[[#This Row],[13]]&lt;&gt;"",IF(ISNUMBER(FIND(",",Tabela1[[#This Row],[13]])),LEN(Tabela1[[#This Row],[13]])-LEN(SUBSTITUTE(Tabela1[[#This Row],[13]],",",""))+1,1),"")</f>
        <v/>
      </c>
      <c r="AM227" t="str">
        <f>IF(Tabela1[[#This Row],[14]]&lt;&gt;"",IF(ISNUMBER(FIND(",",Tabela1[[#This Row],[14]])),LEN(Tabela1[[#This Row],[14]])-LEN(SUBSTITUTE(Tabela1[[#This Row],[14]],",",""))+1,1),"")</f>
        <v/>
      </c>
      <c r="AN227" t="str">
        <f>IF(Tabela1[[#This Row],[15]]&lt;&gt;"",IF(ISNUMBER(FIND(",",Tabela1[[#This Row],[15]])),LEN(Tabela1[[#This Row],[15]])-LEN(SUBSTITUTE(Tabela1[[#This Row],[15]],",",""))+1,1),"")</f>
        <v/>
      </c>
      <c r="AO227" t="str">
        <f>IF(Tabela1[[#This Row],[16]]&lt;&gt;"",IF(ISNUMBER(FIND(",",Tabela1[[#This Row],[16]])),LEN(Tabela1[[#This Row],[16]])-LEN(SUBSTITUTE(Tabela1[[#This Row],[16]],",",""))+1,1),"")</f>
        <v/>
      </c>
      <c r="AP227" t="str">
        <f>IF(Tabela1[[#This Row],[17]]&lt;&gt;"",IF(ISNUMBER(FIND(",",Tabela1[[#This Row],[17]])),LEN(Tabela1[[#This Row],[17]])-LEN(SUBSTITUTE(Tabela1[[#This Row],[17]],",",""))+1,1),"")</f>
        <v/>
      </c>
      <c r="AQ227" t="str">
        <f>IF(Tabela1[[#This Row],[18]]&lt;&gt;"",IF(ISNUMBER(FIND(",",Tabela1[[#This Row],[18]])),LEN(Tabela1[[#This Row],[18]])-LEN(SUBSTITUTE(Tabela1[[#This Row],[18]],",",""))+1,1),"")</f>
        <v/>
      </c>
      <c r="AR227" s="13" t="str">
        <f>IF(Tabela1[[#This Row],[19_LENGTH]]&lt;&gt;"",IF(ISNUMBER(FIND(",",Tabela1[[#This Row],[19_LENGTH]])),LEN(Tabela1[[#This Row],[19_LENGTH]])-LEN(SUBSTITUTE(Tabela1[[#This Row],[19_LENGTH]],",",""))+1,1),"")</f>
        <v/>
      </c>
      <c r="AS227" s="21">
        <f>SUM(Tabela1[[#This Row],[1_]:[19_]])</f>
        <v>1</v>
      </c>
    </row>
    <row r="228" spans="1:45" x14ac:dyDescent="0.25">
      <c r="A228" s="27" t="s">
        <v>1322</v>
      </c>
      <c r="B228" s="19" t="s">
        <v>422</v>
      </c>
      <c r="C228" s="19">
        <v>202</v>
      </c>
      <c r="D228" s="19" t="s">
        <v>1299</v>
      </c>
      <c r="E228" s="20">
        <v>43486</v>
      </c>
      <c r="F228" s="19"/>
      <c r="G228" s="19">
        <v>183</v>
      </c>
      <c r="H228" s="19"/>
      <c r="I228" s="19" t="s">
        <v>84</v>
      </c>
      <c r="J228" s="19"/>
      <c r="K228" s="19">
        <v>160</v>
      </c>
      <c r="L228" s="19"/>
      <c r="M228" s="19"/>
      <c r="N228" s="19"/>
      <c r="O228" s="19"/>
      <c r="P228" s="19"/>
      <c r="Q228" s="19"/>
      <c r="R228" s="19"/>
      <c r="S228" s="19"/>
      <c r="T228" s="19"/>
      <c r="U228" s="19"/>
      <c r="V228" s="19"/>
      <c r="W228" s="19"/>
      <c r="X228" s="19"/>
      <c r="Y228" s="19"/>
      <c r="Z228" t="str">
        <f>IF(Tabela1[[#This Row],[1]]&lt;&gt;"",IF(ISNUMBER(FIND(",",Tabela1[[#This Row],[1]])),LEN(Tabela1[[#This Row],[1]])-LEN(SUBSTITUTE(Tabela1[[#This Row],[1]],",",""))+1,1),"")</f>
        <v/>
      </c>
      <c r="AA228">
        <f>IF(Tabela1[[#This Row],[2]]&lt;&gt;"",IF(ISNUMBER(FIND(",",Tabela1[[#This Row],[2]])),LEN(Tabela1[[#This Row],[2]])-LEN(SUBSTITUTE(Tabela1[[#This Row],[2]],",",""))+1,1),"")</f>
        <v>1</v>
      </c>
      <c r="AB228" t="str">
        <f>IF(Tabela1[[#This Row],[3]]&lt;&gt;"",IF(ISNUMBER(FIND(",",Tabela1[[#This Row],[3]])),LEN(Tabela1[[#This Row],[3]])-LEN(SUBSTITUTE(Tabela1[[#This Row],[3]],",",""))+1,1),"")</f>
        <v/>
      </c>
      <c r="AC228">
        <f>IF(Tabela1[[#This Row],[4]]&lt;&gt;"",IF(ISNUMBER(FIND(",",Tabela1[[#This Row],[4]])),LEN(Tabela1[[#This Row],[4]])-LEN(SUBSTITUTE(Tabela1[[#This Row],[4]],",",""))+1,1),"")</f>
        <v>3</v>
      </c>
      <c r="AD228" t="str">
        <f>IF(Tabela1[[#This Row],[5]]&lt;&gt;"",IF(ISNUMBER(FIND(",",Tabela1[[#This Row],[5]])),LEN(Tabela1[[#This Row],[5]])-LEN(SUBSTITUTE(Tabela1[[#This Row],[5]],",",""))+1,1),"")</f>
        <v/>
      </c>
      <c r="AE228">
        <f>IF(Tabela1[[#This Row],[6]]&lt;&gt;"",IF(ISNUMBER(FIND(",",Tabela1[[#This Row],[6]])),LEN(Tabela1[[#This Row],[6]])-LEN(SUBSTITUTE(Tabela1[[#This Row],[6]],",",""))+1,1),"")</f>
        <v>1</v>
      </c>
      <c r="AF228" t="str">
        <f>IF(Tabela1[[#This Row],[7]]&lt;&gt;"",IF(ISNUMBER(FIND(",",Tabela1[[#This Row],[7]])),LEN(Tabela1[[#This Row],[7]])-LEN(SUBSTITUTE(Tabela1[[#This Row],[7]],",",""))+1,1),"")</f>
        <v/>
      </c>
      <c r="AG228" t="str">
        <f>IF(Tabela1[[#This Row],[8]]&lt;&gt;"",IF(ISNUMBER(FIND(",",Tabela1[[#This Row],[8]])),LEN(Tabela1[[#This Row],[8]])-LEN(SUBSTITUTE(Tabela1[[#This Row],[8]],",",""))+1,1),"")</f>
        <v/>
      </c>
      <c r="AH228" t="str">
        <f>IF(Tabela1[[#This Row],[9]]&lt;&gt;"",IF(ISNUMBER(FIND(",",Tabela1[[#This Row],[9]])),LEN(Tabela1[[#This Row],[9]])-LEN(SUBSTITUTE(Tabela1[[#This Row],[9]],",",""))+1,1),"")</f>
        <v/>
      </c>
      <c r="AI228" t="str">
        <f>IF(Tabela1[[#This Row],[10]]&lt;&gt;"",IF(ISNUMBER(FIND(",",Tabela1[[#This Row],[10]])),LEN(Tabela1[[#This Row],[10]])-LEN(SUBSTITUTE(Tabela1[[#This Row],[10]],",",""))+1,1),"")</f>
        <v/>
      </c>
      <c r="AJ228" t="str">
        <f>IF(Tabela1[[#This Row],[11]]&lt;&gt;"",IF(ISNUMBER(FIND(",",Tabela1[[#This Row],[11]])),LEN(Tabela1[[#This Row],[11]])-LEN(SUBSTITUTE(Tabela1[[#This Row],[11]],",",""))+1,1),"")</f>
        <v/>
      </c>
      <c r="AK228" t="str">
        <f>IF(Tabela1[[#This Row],[12]]&lt;&gt;"",IF(ISNUMBER(FIND(",",Tabela1[[#This Row],[12]])),LEN(Tabela1[[#This Row],[12]])-LEN(SUBSTITUTE(Tabela1[[#This Row],[12]],",",""))+1,1),"")</f>
        <v/>
      </c>
      <c r="AL228" t="str">
        <f>IF(Tabela1[[#This Row],[13]]&lt;&gt;"",IF(ISNUMBER(FIND(",",Tabela1[[#This Row],[13]])),LEN(Tabela1[[#This Row],[13]])-LEN(SUBSTITUTE(Tabela1[[#This Row],[13]],",",""))+1,1),"")</f>
        <v/>
      </c>
      <c r="AM228" t="str">
        <f>IF(Tabela1[[#This Row],[14]]&lt;&gt;"",IF(ISNUMBER(FIND(",",Tabela1[[#This Row],[14]])),LEN(Tabela1[[#This Row],[14]])-LEN(SUBSTITUTE(Tabela1[[#This Row],[14]],",",""))+1,1),"")</f>
        <v/>
      </c>
      <c r="AN228" t="str">
        <f>IF(Tabela1[[#This Row],[15]]&lt;&gt;"",IF(ISNUMBER(FIND(",",Tabela1[[#This Row],[15]])),LEN(Tabela1[[#This Row],[15]])-LEN(SUBSTITUTE(Tabela1[[#This Row],[15]],",",""))+1,1),"")</f>
        <v/>
      </c>
      <c r="AO228" t="str">
        <f>IF(Tabela1[[#This Row],[16]]&lt;&gt;"",IF(ISNUMBER(FIND(",",Tabela1[[#This Row],[16]])),LEN(Tabela1[[#This Row],[16]])-LEN(SUBSTITUTE(Tabela1[[#This Row],[16]],",",""))+1,1),"")</f>
        <v/>
      </c>
      <c r="AP228" t="str">
        <f>IF(Tabela1[[#This Row],[17]]&lt;&gt;"",IF(ISNUMBER(FIND(",",Tabela1[[#This Row],[17]])),LEN(Tabela1[[#This Row],[17]])-LEN(SUBSTITUTE(Tabela1[[#This Row],[17]],",",""))+1,1),"")</f>
        <v/>
      </c>
      <c r="AQ228" t="str">
        <f>IF(Tabela1[[#This Row],[18]]&lt;&gt;"",IF(ISNUMBER(FIND(",",Tabela1[[#This Row],[18]])),LEN(Tabela1[[#This Row],[18]])-LEN(SUBSTITUTE(Tabela1[[#This Row],[18]],",",""))+1,1),"")</f>
        <v/>
      </c>
      <c r="AR228" s="13" t="str">
        <f>IF(Tabela1[[#This Row],[19_LENGTH]]&lt;&gt;"",IF(ISNUMBER(FIND(",",Tabela1[[#This Row],[19_LENGTH]])),LEN(Tabela1[[#This Row],[19_LENGTH]])-LEN(SUBSTITUTE(Tabela1[[#This Row],[19_LENGTH]],",",""))+1,1),"")</f>
        <v/>
      </c>
      <c r="AS228" s="21">
        <f>SUM(Tabela1[[#This Row],[1_]:[19_]])</f>
        <v>5</v>
      </c>
    </row>
    <row r="229" spans="1:45" x14ac:dyDescent="0.25">
      <c r="A229" s="27" t="s">
        <v>1322</v>
      </c>
      <c r="B229" s="19" t="s">
        <v>423</v>
      </c>
      <c r="C229" s="19">
        <v>202</v>
      </c>
      <c r="D229" s="19" t="s">
        <v>1299</v>
      </c>
      <c r="E229" s="20">
        <v>43486</v>
      </c>
      <c r="F229" s="19"/>
      <c r="G229" s="19"/>
      <c r="H229" s="19"/>
      <c r="I229" s="19">
        <v>186</v>
      </c>
      <c r="J229" s="19"/>
      <c r="K229" s="19"/>
      <c r="L229" s="19"/>
      <c r="M229" s="19"/>
      <c r="N229" s="19"/>
      <c r="O229" s="19"/>
      <c r="P229" s="19"/>
      <c r="Q229" s="19"/>
      <c r="R229" s="19"/>
      <c r="S229" s="19"/>
      <c r="T229" s="19"/>
      <c r="U229" s="19"/>
      <c r="V229" s="19"/>
      <c r="W229" s="19"/>
      <c r="X229" s="19"/>
      <c r="Y229" s="19"/>
      <c r="Z229" t="str">
        <f>IF(Tabela1[[#This Row],[1]]&lt;&gt;"",IF(ISNUMBER(FIND(",",Tabela1[[#This Row],[1]])),LEN(Tabela1[[#This Row],[1]])-LEN(SUBSTITUTE(Tabela1[[#This Row],[1]],",",""))+1,1),"")</f>
        <v/>
      </c>
      <c r="AA229" t="str">
        <f>IF(Tabela1[[#This Row],[2]]&lt;&gt;"",IF(ISNUMBER(FIND(",",Tabela1[[#This Row],[2]])),LEN(Tabela1[[#This Row],[2]])-LEN(SUBSTITUTE(Tabela1[[#This Row],[2]],",",""))+1,1),"")</f>
        <v/>
      </c>
      <c r="AB229" t="str">
        <f>IF(Tabela1[[#This Row],[3]]&lt;&gt;"",IF(ISNUMBER(FIND(",",Tabela1[[#This Row],[3]])),LEN(Tabela1[[#This Row],[3]])-LEN(SUBSTITUTE(Tabela1[[#This Row],[3]],",",""))+1,1),"")</f>
        <v/>
      </c>
      <c r="AC229">
        <f>IF(Tabela1[[#This Row],[4]]&lt;&gt;"",IF(ISNUMBER(FIND(",",Tabela1[[#This Row],[4]])),LEN(Tabela1[[#This Row],[4]])-LEN(SUBSTITUTE(Tabela1[[#This Row],[4]],",",""))+1,1),"")</f>
        <v>1</v>
      </c>
      <c r="AD229" t="str">
        <f>IF(Tabela1[[#This Row],[5]]&lt;&gt;"",IF(ISNUMBER(FIND(",",Tabela1[[#This Row],[5]])),LEN(Tabela1[[#This Row],[5]])-LEN(SUBSTITUTE(Tabela1[[#This Row],[5]],",",""))+1,1),"")</f>
        <v/>
      </c>
      <c r="AE229" t="str">
        <f>IF(Tabela1[[#This Row],[6]]&lt;&gt;"",IF(ISNUMBER(FIND(",",Tabela1[[#This Row],[6]])),LEN(Tabela1[[#This Row],[6]])-LEN(SUBSTITUTE(Tabela1[[#This Row],[6]],",",""))+1,1),"")</f>
        <v/>
      </c>
      <c r="AF229" t="str">
        <f>IF(Tabela1[[#This Row],[7]]&lt;&gt;"",IF(ISNUMBER(FIND(",",Tabela1[[#This Row],[7]])),LEN(Tabela1[[#This Row],[7]])-LEN(SUBSTITUTE(Tabela1[[#This Row],[7]],",",""))+1,1),"")</f>
        <v/>
      </c>
      <c r="AG229" t="str">
        <f>IF(Tabela1[[#This Row],[8]]&lt;&gt;"",IF(ISNUMBER(FIND(",",Tabela1[[#This Row],[8]])),LEN(Tabela1[[#This Row],[8]])-LEN(SUBSTITUTE(Tabela1[[#This Row],[8]],",",""))+1,1),"")</f>
        <v/>
      </c>
      <c r="AH229" t="str">
        <f>IF(Tabela1[[#This Row],[9]]&lt;&gt;"",IF(ISNUMBER(FIND(",",Tabela1[[#This Row],[9]])),LEN(Tabela1[[#This Row],[9]])-LEN(SUBSTITUTE(Tabela1[[#This Row],[9]],",",""))+1,1),"")</f>
        <v/>
      </c>
      <c r="AI229" t="str">
        <f>IF(Tabela1[[#This Row],[10]]&lt;&gt;"",IF(ISNUMBER(FIND(",",Tabela1[[#This Row],[10]])),LEN(Tabela1[[#This Row],[10]])-LEN(SUBSTITUTE(Tabela1[[#This Row],[10]],",",""))+1,1),"")</f>
        <v/>
      </c>
      <c r="AJ229" t="str">
        <f>IF(Tabela1[[#This Row],[11]]&lt;&gt;"",IF(ISNUMBER(FIND(",",Tabela1[[#This Row],[11]])),LEN(Tabela1[[#This Row],[11]])-LEN(SUBSTITUTE(Tabela1[[#This Row],[11]],",",""))+1,1),"")</f>
        <v/>
      </c>
      <c r="AK229" t="str">
        <f>IF(Tabela1[[#This Row],[12]]&lt;&gt;"",IF(ISNUMBER(FIND(",",Tabela1[[#This Row],[12]])),LEN(Tabela1[[#This Row],[12]])-LEN(SUBSTITUTE(Tabela1[[#This Row],[12]],",",""))+1,1),"")</f>
        <v/>
      </c>
      <c r="AL229" t="str">
        <f>IF(Tabela1[[#This Row],[13]]&lt;&gt;"",IF(ISNUMBER(FIND(",",Tabela1[[#This Row],[13]])),LEN(Tabela1[[#This Row],[13]])-LEN(SUBSTITUTE(Tabela1[[#This Row],[13]],",",""))+1,1),"")</f>
        <v/>
      </c>
      <c r="AM229" t="str">
        <f>IF(Tabela1[[#This Row],[14]]&lt;&gt;"",IF(ISNUMBER(FIND(",",Tabela1[[#This Row],[14]])),LEN(Tabela1[[#This Row],[14]])-LEN(SUBSTITUTE(Tabela1[[#This Row],[14]],",",""))+1,1),"")</f>
        <v/>
      </c>
      <c r="AN229" t="str">
        <f>IF(Tabela1[[#This Row],[15]]&lt;&gt;"",IF(ISNUMBER(FIND(",",Tabela1[[#This Row],[15]])),LEN(Tabela1[[#This Row],[15]])-LEN(SUBSTITUTE(Tabela1[[#This Row],[15]],",",""))+1,1),"")</f>
        <v/>
      </c>
      <c r="AO229" t="str">
        <f>IF(Tabela1[[#This Row],[16]]&lt;&gt;"",IF(ISNUMBER(FIND(",",Tabela1[[#This Row],[16]])),LEN(Tabela1[[#This Row],[16]])-LEN(SUBSTITUTE(Tabela1[[#This Row],[16]],",",""))+1,1),"")</f>
        <v/>
      </c>
      <c r="AP229" t="str">
        <f>IF(Tabela1[[#This Row],[17]]&lt;&gt;"",IF(ISNUMBER(FIND(",",Tabela1[[#This Row],[17]])),LEN(Tabela1[[#This Row],[17]])-LEN(SUBSTITUTE(Tabela1[[#This Row],[17]],",",""))+1,1),"")</f>
        <v/>
      </c>
      <c r="AQ229" t="str">
        <f>IF(Tabela1[[#This Row],[18]]&lt;&gt;"",IF(ISNUMBER(FIND(",",Tabela1[[#This Row],[18]])),LEN(Tabela1[[#This Row],[18]])-LEN(SUBSTITUTE(Tabela1[[#This Row],[18]],",",""))+1,1),"")</f>
        <v/>
      </c>
      <c r="AR229" s="13" t="str">
        <f>IF(Tabela1[[#This Row],[19_LENGTH]]&lt;&gt;"",IF(ISNUMBER(FIND(",",Tabela1[[#This Row],[19_LENGTH]])),LEN(Tabela1[[#This Row],[19_LENGTH]])-LEN(SUBSTITUTE(Tabela1[[#This Row],[19_LENGTH]],",",""))+1,1),"")</f>
        <v/>
      </c>
      <c r="AS229" s="21">
        <f>SUM(Tabela1[[#This Row],[1_]:[19_]])</f>
        <v>1</v>
      </c>
    </row>
    <row r="230" spans="1:45" x14ac:dyDescent="0.25">
      <c r="A230" s="27" t="s">
        <v>1322</v>
      </c>
      <c r="B230" s="19" t="s">
        <v>424</v>
      </c>
      <c r="C230" s="19">
        <v>252</v>
      </c>
      <c r="D230" s="19" t="s">
        <v>1292</v>
      </c>
      <c r="E230" s="20">
        <v>43486</v>
      </c>
      <c r="F230" s="19"/>
      <c r="G230" s="19"/>
      <c r="H230" s="19"/>
      <c r="I230" s="19">
        <v>88</v>
      </c>
      <c r="J230" s="19">
        <v>57</v>
      </c>
      <c r="K230" s="19"/>
      <c r="L230" s="19"/>
      <c r="M230" s="19"/>
      <c r="N230" s="19"/>
      <c r="O230" s="19"/>
      <c r="P230" s="19"/>
      <c r="Q230" s="19"/>
      <c r="R230" s="19"/>
      <c r="S230" s="19"/>
      <c r="T230" s="19"/>
      <c r="U230" s="19"/>
      <c r="V230" s="19"/>
      <c r="W230" s="19"/>
      <c r="X230" s="19"/>
      <c r="Y230" s="19"/>
      <c r="Z230" t="str">
        <f>IF(Tabela1[[#This Row],[1]]&lt;&gt;"",IF(ISNUMBER(FIND(",",Tabela1[[#This Row],[1]])),LEN(Tabela1[[#This Row],[1]])-LEN(SUBSTITUTE(Tabela1[[#This Row],[1]],",",""))+1,1),"")</f>
        <v/>
      </c>
      <c r="AA230" t="str">
        <f>IF(Tabela1[[#This Row],[2]]&lt;&gt;"",IF(ISNUMBER(FIND(",",Tabela1[[#This Row],[2]])),LEN(Tabela1[[#This Row],[2]])-LEN(SUBSTITUTE(Tabela1[[#This Row],[2]],",",""))+1,1),"")</f>
        <v/>
      </c>
      <c r="AB230" t="str">
        <f>IF(Tabela1[[#This Row],[3]]&lt;&gt;"",IF(ISNUMBER(FIND(",",Tabela1[[#This Row],[3]])),LEN(Tabela1[[#This Row],[3]])-LEN(SUBSTITUTE(Tabela1[[#This Row],[3]],",",""))+1,1),"")</f>
        <v/>
      </c>
      <c r="AC230">
        <f>IF(Tabela1[[#This Row],[4]]&lt;&gt;"",IF(ISNUMBER(FIND(",",Tabela1[[#This Row],[4]])),LEN(Tabela1[[#This Row],[4]])-LEN(SUBSTITUTE(Tabela1[[#This Row],[4]],",",""))+1,1),"")</f>
        <v>1</v>
      </c>
      <c r="AD230">
        <f>IF(Tabela1[[#This Row],[5]]&lt;&gt;"",IF(ISNUMBER(FIND(",",Tabela1[[#This Row],[5]])),LEN(Tabela1[[#This Row],[5]])-LEN(SUBSTITUTE(Tabela1[[#This Row],[5]],",",""))+1,1),"")</f>
        <v>1</v>
      </c>
      <c r="AE230" t="str">
        <f>IF(Tabela1[[#This Row],[6]]&lt;&gt;"",IF(ISNUMBER(FIND(",",Tabela1[[#This Row],[6]])),LEN(Tabela1[[#This Row],[6]])-LEN(SUBSTITUTE(Tabela1[[#This Row],[6]],",",""))+1,1),"")</f>
        <v/>
      </c>
      <c r="AF230" t="str">
        <f>IF(Tabela1[[#This Row],[7]]&lt;&gt;"",IF(ISNUMBER(FIND(",",Tabela1[[#This Row],[7]])),LEN(Tabela1[[#This Row],[7]])-LEN(SUBSTITUTE(Tabela1[[#This Row],[7]],",",""))+1,1),"")</f>
        <v/>
      </c>
      <c r="AG230" t="str">
        <f>IF(Tabela1[[#This Row],[8]]&lt;&gt;"",IF(ISNUMBER(FIND(",",Tabela1[[#This Row],[8]])),LEN(Tabela1[[#This Row],[8]])-LEN(SUBSTITUTE(Tabela1[[#This Row],[8]],",",""))+1,1),"")</f>
        <v/>
      </c>
      <c r="AH230" t="str">
        <f>IF(Tabela1[[#This Row],[9]]&lt;&gt;"",IF(ISNUMBER(FIND(",",Tabela1[[#This Row],[9]])),LEN(Tabela1[[#This Row],[9]])-LEN(SUBSTITUTE(Tabela1[[#This Row],[9]],",",""))+1,1),"")</f>
        <v/>
      </c>
      <c r="AI230" t="str">
        <f>IF(Tabela1[[#This Row],[10]]&lt;&gt;"",IF(ISNUMBER(FIND(",",Tabela1[[#This Row],[10]])),LEN(Tabela1[[#This Row],[10]])-LEN(SUBSTITUTE(Tabela1[[#This Row],[10]],",",""))+1,1),"")</f>
        <v/>
      </c>
      <c r="AJ230" t="str">
        <f>IF(Tabela1[[#This Row],[11]]&lt;&gt;"",IF(ISNUMBER(FIND(",",Tabela1[[#This Row],[11]])),LEN(Tabela1[[#This Row],[11]])-LEN(SUBSTITUTE(Tabela1[[#This Row],[11]],",",""))+1,1),"")</f>
        <v/>
      </c>
      <c r="AK230" t="str">
        <f>IF(Tabela1[[#This Row],[12]]&lt;&gt;"",IF(ISNUMBER(FIND(",",Tabela1[[#This Row],[12]])),LEN(Tabela1[[#This Row],[12]])-LEN(SUBSTITUTE(Tabela1[[#This Row],[12]],",",""))+1,1),"")</f>
        <v/>
      </c>
      <c r="AL230" t="str">
        <f>IF(Tabela1[[#This Row],[13]]&lt;&gt;"",IF(ISNUMBER(FIND(",",Tabela1[[#This Row],[13]])),LEN(Tabela1[[#This Row],[13]])-LEN(SUBSTITUTE(Tabela1[[#This Row],[13]],",",""))+1,1),"")</f>
        <v/>
      </c>
      <c r="AM230" t="str">
        <f>IF(Tabela1[[#This Row],[14]]&lt;&gt;"",IF(ISNUMBER(FIND(",",Tabela1[[#This Row],[14]])),LEN(Tabela1[[#This Row],[14]])-LEN(SUBSTITUTE(Tabela1[[#This Row],[14]],",",""))+1,1),"")</f>
        <v/>
      </c>
      <c r="AN230" t="str">
        <f>IF(Tabela1[[#This Row],[15]]&lt;&gt;"",IF(ISNUMBER(FIND(",",Tabela1[[#This Row],[15]])),LEN(Tabela1[[#This Row],[15]])-LEN(SUBSTITUTE(Tabela1[[#This Row],[15]],",",""))+1,1),"")</f>
        <v/>
      </c>
      <c r="AO230" t="str">
        <f>IF(Tabela1[[#This Row],[16]]&lt;&gt;"",IF(ISNUMBER(FIND(",",Tabela1[[#This Row],[16]])),LEN(Tabela1[[#This Row],[16]])-LEN(SUBSTITUTE(Tabela1[[#This Row],[16]],",",""))+1,1),"")</f>
        <v/>
      </c>
      <c r="AP230" t="str">
        <f>IF(Tabela1[[#This Row],[17]]&lt;&gt;"",IF(ISNUMBER(FIND(",",Tabela1[[#This Row],[17]])),LEN(Tabela1[[#This Row],[17]])-LEN(SUBSTITUTE(Tabela1[[#This Row],[17]],",",""))+1,1),"")</f>
        <v/>
      </c>
      <c r="AQ230" t="str">
        <f>IF(Tabela1[[#This Row],[18]]&lt;&gt;"",IF(ISNUMBER(FIND(",",Tabela1[[#This Row],[18]])),LEN(Tabela1[[#This Row],[18]])-LEN(SUBSTITUTE(Tabela1[[#This Row],[18]],",",""))+1,1),"")</f>
        <v/>
      </c>
      <c r="AR230" s="13" t="str">
        <f>IF(Tabela1[[#This Row],[19_LENGTH]]&lt;&gt;"",IF(ISNUMBER(FIND(",",Tabela1[[#This Row],[19_LENGTH]])),LEN(Tabela1[[#This Row],[19_LENGTH]])-LEN(SUBSTITUTE(Tabela1[[#This Row],[19_LENGTH]],",",""))+1,1),"")</f>
        <v/>
      </c>
      <c r="AS230" s="21">
        <f>SUM(Tabela1[[#This Row],[1_]:[19_]])</f>
        <v>2</v>
      </c>
    </row>
    <row r="231" spans="1:45" x14ac:dyDescent="0.25">
      <c r="A231" s="27" t="s">
        <v>1322</v>
      </c>
      <c r="B231" s="19" t="s">
        <v>747</v>
      </c>
      <c r="C231" s="19">
        <v>202</v>
      </c>
      <c r="D231" s="19" t="s">
        <v>1296</v>
      </c>
      <c r="E231" s="20">
        <v>43486</v>
      </c>
      <c r="F231" s="19"/>
      <c r="G231" s="19"/>
      <c r="H231" s="19"/>
      <c r="I231" s="19"/>
      <c r="J231" s="19"/>
      <c r="K231" s="19"/>
      <c r="L231" s="19"/>
      <c r="M231" s="19"/>
      <c r="N231" s="19"/>
      <c r="O231" s="19"/>
      <c r="P231" s="19"/>
      <c r="Q231" s="19"/>
      <c r="R231" s="19"/>
      <c r="S231" s="19"/>
      <c r="T231" s="19"/>
      <c r="U231" s="19">
        <v>129</v>
      </c>
      <c r="V231" s="19"/>
      <c r="W231" s="19"/>
      <c r="X231" s="19"/>
      <c r="Y231" s="19"/>
      <c r="Z231" t="str">
        <f>IF(Tabela1[[#This Row],[1]]&lt;&gt;"",IF(ISNUMBER(FIND(",",Tabela1[[#This Row],[1]])),LEN(Tabela1[[#This Row],[1]])-LEN(SUBSTITUTE(Tabela1[[#This Row],[1]],",",""))+1,1),"")</f>
        <v/>
      </c>
      <c r="AA231" t="str">
        <f>IF(Tabela1[[#This Row],[2]]&lt;&gt;"",IF(ISNUMBER(FIND(",",Tabela1[[#This Row],[2]])),LEN(Tabela1[[#This Row],[2]])-LEN(SUBSTITUTE(Tabela1[[#This Row],[2]],",",""))+1,1),"")</f>
        <v/>
      </c>
      <c r="AB231" t="str">
        <f>IF(Tabela1[[#This Row],[3]]&lt;&gt;"",IF(ISNUMBER(FIND(",",Tabela1[[#This Row],[3]])),LEN(Tabela1[[#This Row],[3]])-LEN(SUBSTITUTE(Tabela1[[#This Row],[3]],",",""))+1,1),"")</f>
        <v/>
      </c>
      <c r="AC231" t="str">
        <f>IF(Tabela1[[#This Row],[4]]&lt;&gt;"",IF(ISNUMBER(FIND(",",Tabela1[[#This Row],[4]])),LEN(Tabela1[[#This Row],[4]])-LEN(SUBSTITUTE(Tabela1[[#This Row],[4]],",",""))+1,1),"")</f>
        <v/>
      </c>
      <c r="AD231" t="str">
        <f>IF(Tabela1[[#This Row],[5]]&lt;&gt;"",IF(ISNUMBER(FIND(",",Tabela1[[#This Row],[5]])),LEN(Tabela1[[#This Row],[5]])-LEN(SUBSTITUTE(Tabela1[[#This Row],[5]],",",""))+1,1),"")</f>
        <v/>
      </c>
      <c r="AE231" t="str">
        <f>IF(Tabela1[[#This Row],[6]]&lt;&gt;"",IF(ISNUMBER(FIND(",",Tabela1[[#This Row],[6]])),LEN(Tabela1[[#This Row],[6]])-LEN(SUBSTITUTE(Tabela1[[#This Row],[6]],",",""))+1,1),"")</f>
        <v/>
      </c>
      <c r="AF231" t="str">
        <f>IF(Tabela1[[#This Row],[7]]&lt;&gt;"",IF(ISNUMBER(FIND(",",Tabela1[[#This Row],[7]])),LEN(Tabela1[[#This Row],[7]])-LEN(SUBSTITUTE(Tabela1[[#This Row],[7]],",",""))+1,1),"")</f>
        <v/>
      </c>
      <c r="AG231" t="str">
        <f>IF(Tabela1[[#This Row],[8]]&lt;&gt;"",IF(ISNUMBER(FIND(",",Tabela1[[#This Row],[8]])),LEN(Tabela1[[#This Row],[8]])-LEN(SUBSTITUTE(Tabela1[[#This Row],[8]],",",""))+1,1),"")</f>
        <v/>
      </c>
      <c r="AH231" t="str">
        <f>IF(Tabela1[[#This Row],[9]]&lt;&gt;"",IF(ISNUMBER(FIND(",",Tabela1[[#This Row],[9]])),LEN(Tabela1[[#This Row],[9]])-LEN(SUBSTITUTE(Tabela1[[#This Row],[9]],",",""))+1,1),"")</f>
        <v/>
      </c>
      <c r="AI231" t="str">
        <f>IF(Tabela1[[#This Row],[10]]&lt;&gt;"",IF(ISNUMBER(FIND(",",Tabela1[[#This Row],[10]])),LEN(Tabela1[[#This Row],[10]])-LEN(SUBSTITUTE(Tabela1[[#This Row],[10]],",",""))+1,1),"")</f>
        <v/>
      </c>
      <c r="AJ231" t="str">
        <f>IF(Tabela1[[#This Row],[11]]&lt;&gt;"",IF(ISNUMBER(FIND(",",Tabela1[[#This Row],[11]])),LEN(Tabela1[[#This Row],[11]])-LEN(SUBSTITUTE(Tabela1[[#This Row],[11]],",",""))+1,1),"")</f>
        <v/>
      </c>
      <c r="AK231" t="str">
        <f>IF(Tabela1[[#This Row],[12]]&lt;&gt;"",IF(ISNUMBER(FIND(",",Tabela1[[#This Row],[12]])),LEN(Tabela1[[#This Row],[12]])-LEN(SUBSTITUTE(Tabela1[[#This Row],[12]],",",""))+1,1),"")</f>
        <v/>
      </c>
      <c r="AL231" t="str">
        <f>IF(Tabela1[[#This Row],[13]]&lt;&gt;"",IF(ISNUMBER(FIND(",",Tabela1[[#This Row],[13]])),LEN(Tabela1[[#This Row],[13]])-LEN(SUBSTITUTE(Tabela1[[#This Row],[13]],",",""))+1,1),"")</f>
        <v/>
      </c>
      <c r="AM231" t="str">
        <f>IF(Tabela1[[#This Row],[14]]&lt;&gt;"",IF(ISNUMBER(FIND(",",Tabela1[[#This Row],[14]])),LEN(Tabela1[[#This Row],[14]])-LEN(SUBSTITUTE(Tabela1[[#This Row],[14]],",",""))+1,1),"")</f>
        <v/>
      </c>
      <c r="AN231" t="str">
        <f>IF(Tabela1[[#This Row],[15]]&lt;&gt;"",IF(ISNUMBER(FIND(",",Tabela1[[#This Row],[15]])),LEN(Tabela1[[#This Row],[15]])-LEN(SUBSTITUTE(Tabela1[[#This Row],[15]],",",""))+1,1),"")</f>
        <v/>
      </c>
      <c r="AO231">
        <f>IF(Tabela1[[#This Row],[16]]&lt;&gt;"",IF(ISNUMBER(FIND(",",Tabela1[[#This Row],[16]])),LEN(Tabela1[[#This Row],[16]])-LEN(SUBSTITUTE(Tabela1[[#This Row],[16]],",",""))+1,1),"")</f>
        <v>1</v>
      </c>
      <c r="AP231" t="str">
        <f>IF(Tabela1[[#This Row],[17]]&lt;&gt;"",IF(ISNUMBER(FIND(",",Tabela1[[#This Row],[17]])),LEN(Tabela1[[#This Row],[17]])-LEN(SUBSTITUTE(Tabela1[[#This Row],[17]],",",""))+1,1),"")</f>
        <v/>
      </c>
      <c r="AQ231" t="str">
        <f>IF(Tabela1[[#This Row],[18]]&lt;&gt;"",IF(ISNUMBER(FIND(",",Tabela1[[#This Row],[18]])),LEN(Tabela1[[#This Row],[18]])-LEN(SUBSTITUTE(Tabela1[[#This Row],[18]],",",""))+1,1),"")</f>
        <v/>
      </c>
      <c r="AR231" s="13" t="str">
        <f>IF(Tabela1[[#This Row],[19_LENGTH]]&lt;&gt;"",IF(ISNUMBER(FIND(",",Tabela1[[#This Row],[19_LENGTH]])),LEN(Tabela1[[#This Row],[19_LENGTH]])-LEN(SUBSTITUTE(Tabela1[[#This Row],[19_LENGTH]],",",""))+1,1),"")</f>
        <v/>
      </c>
      <c r="AS231" s="21">
        <f>SUM(Tabela1[[#This Row],[1_]:[19_]])</f>
        <v>1</v>
      </c>
    </row>
    <row r="232" spans="1:45" x14ac:dyDescent="0.25">
      <c r="A232" s="27" t="s">
        <v>1322</v>
      </c>
      <c r="B232" s="19" t="s">
        <v>748</v>
      </c>
      <c r="C232" s="19">
        <v>202</v>
      </c>
      <c r="D232" s="19" t="s">
        <v>1314</v>
      </c>
      <c r="E232" s="20">
        <v>43487</v>
      </c>
      <c r="F232" s="19"/>
      <c r="G232" s="19"/>
      <c r="H232" s="19"/>
      <c r="I232" s="19"/>
      <c r="J232" s="19"/>
      <c r="K232" s="19">
        <v>180</v>
      </c>
      <c r="L232" s="19"/>
      <c r="M232" s="19"/>
      <c r="N232" s="19"/>
      <c r="O232" s="19"/>
      <c r="P232" s="19"/>
      <c r="Q232" s="19"/>
      <c r="R232" s="19"/>
      <c r="S232" s="19"/>
      <c r="T232" s="19"/>
      <c r="U232" s="19"/>
      <c r="V232" s="19"/>
      <c r="W232" s="19"/>
      <c r="X232" s="19"/>
      <c r="Y232" s="19"/>
      <c r="Z232" t="str">
        <f>IF(Tabela1[[#This Row],[1]]&lt;&gt;"",IF(ISNUMBER(FIND(",",Tabela1[[#This Row],[1]])),LEN(Tabela1[[#This Row],[1]])-LEN(SUBSTITUTE(Tabela1[[#This Row],[1]],",",""))+1,1),"")</f>
        <v/>
      </c>
      <c r="AA232" t="str">
        <f>IF(Tabela1[[#This Row],[2]]&lt;&gt;"",IF(ISNUMBER(FIND(",",Tabela1[[#This Row],[2]])),LEN(Tabela1[[#This Row],[2]])-LEN(SUBSTITUTE(Tabela1[[#This Row],[2]],",",""))+1,1),"")</f>
        <v/>
      </c>
      <c r="AB232" t="str">
        <f>IF(Tabela1[[#This Row],[3]]&lt;&gt;"",IF(ISNUMBER(FIND(",",Tabela1[[#This Row],[3]])),LEN(Tabela1[[#This Row],[3]])-LEN(SUBSTITUTE(Tabela1[[#This Row],[3]],",",""))+1,1),"")</f>
        <v/>
      </c>
      <c r="AC232" t="str">
        <f>IF(Tabela1[[#This Row],[4]]&lt;&gt;"",IF(ISNUMBER(FIND(",",Tabela1[[#This Row],[4]])),LEN(Tabela1[[#This Row],[4]])-LEN(SUBSTITUTE(Tabela1[[#This Row],[4]],",",""))+1,1),"")</f>
        <v/>
      </c>
      <c r="AD232" t="str">
        <f>IF(Tabela1[[#This Row],[5]]&lt;&gt;"",IF(ISNUMBER(FIND(",",Tabela1[[#This Row],[5]])),LEN(Tabela1[[#This Row],[5]])-LEN(SUBSTITUTE(Tabela1[[#This Row],[5]],",",""))+1,1),"")</f>
        <v/>
      </c>
      <c r="AE232">
        <f>IF(Tabela1[[#This Row],[6]]&lt;&gt;"",IF(ISNUMBER(FIND(",",Tabela1[[#This Row],[6]])),LEN(Tabela1[[#This Row],[6]])-LEN(SUBSTITUTE(Tabela1[[#This Row],[6]],",",""))+1,1),"")</f>
        <v>1</v>
      </c>
      <c r="AF232" t="str">
        <f>IF(Tabela1[[#This Row],[7]]&lt;&gt;"",IF(ISNUMBER(FIND(",",Tabela1[[#This Row],[7]])),LEN(Tabela1[[#This Row],[7]])-LEN(SUBSTITUTE(Tabela1[[#This Row],[7]],",",""))+1,1),"")</f>
        <v/>
      </c>
      <c r="AG232" t="str">
        <f>IF(Tabela1[[#This Row],[8]]&lt;&gt;"",IF(ISNUMBER(FIND(",",Tabela1[[#This Row],[8]])),LEN(Tabela1[[#This Row],[8]])-LEN(SUBSTITUTE(Tabela1[[#This Row],[8]],",",""))+1,1),"")</f>
        <v/>
      </c>
      <c r="AH232" t="str">
        <f>IF(Tabela1[[#This Row],[9]]&lt;&gt;"",IF(ISNUMBER(FIND(",",Tabela1[[#This Row],[9]])),LEN(Tabela1[[#This Row],[9]])-LEN(SUBSTITUTE(Tabela1[[#This Row],[9]],",",""))+1,1),"")</f>
        <v/>
      </c>
      <c r="AI232" t="str">
        <f>IF(Tabela1[[#This Row],[10]]&lt;&gt;"",IF(ISNUMBER(FIND(",",Tabela1[[#This Row],[10]])),LEN(Tabela1[[#This Row],[10]])-LEN(SUBSTITUTE(Tabela1[[#This Row],[10]],",",""))+1,1),"")</f>
        <v/>
      </c>
      <c r="AJ232" t="str">
        <f>IF(Tabela1[[#This Row],[11]]&lt;&gt;"",IF(ISNUMBER(FIND(",",Tabela1[[#This Row],[11]])),LEN(Tabela1[[#This Row],[11]])-LEN(SUBSTITUTE(Tabela1[[#This Row],[11]],",",""))+1,1),"")</f>
        <v/>
      </c>
      <c r="AK232" t="str">
        <f>IF(Tabela1[[#This Row],[12]]&lt;&gt;"",IF(ISNUMBER(FIND(",",Tabela1[[#This Row],[12]])),LEN(Tabela1[[#This Row],[12]])-LEN(SUBSTITUTE(Tabela1[[#This Row],[12]],",",""))+1,1),"")</f>
        <v/>
      </c>
      <c r="AL232" t="str">
        <f>IF(Tabela1[[#This Row],[13]]&lt;&gt;"",IF(ISNUMBER(FIND(",",Tabela1[[#This Row],[13]])),LEN(Tabela1[[#This Row],[13]])-LEN(SUBSTITUTE(Tabela1[[#This Row],[13]],",",""))+1,1),"")</f>
        <v/>
      </c>
      <c r="AM232" t="str">
        <f>IF(Tabela1[[#This Row],[14]]&lt;&gt;"",IF(ISNUMBER(FIND(",",Tabela1[[#This Row],[14]])),LEN(Tabela1[[#This Row],[14]])-LEN(SUBSTITUTE(Tabela1[[#This Row],[14]],",",""))+1,1),"")</f>
        <v/>
      </c>
      <c r="AN232" t="str">
        <f>IF(Tabela1[[#This Row],[15]]&lt;&gt;"",IF(ISNUMBER(FIND(",",Tabela1[[#This Row],[15]])),LEN(Tabela1[[#This Row],[15]])-LEN(SUBSTITUTE(Tabela1[[#This Row],[15]],",",""))+1,1),"")</f>
        <v/>
      </c>
      <c r="AO232" t="str">
        <f>IF(Tabela1[[#This Row],[16]]&lt;&gt;"",IF(ISNUMBER(FIND(",",Tabela1[[#This Row],[16]])),LEN(Tabela1[[#This Row],[16]])-LEN(SUBSTITUTE(Tabela1[[#This Row],[16]],",",""))+1,1),"")</f>
        <v/>
      </c>
      <c r="AP232" t="str">
        <f>IF(Tabela1[[#This Row],[17]]&lt;&gt;"",IF(ISNUMBER(FIND(",",Tabela1[[#This Row],[17]])),LEN(Tabela1[[#This Row],[17]])-LEN(SUBSTITUTE(Tabela1[[#This Row],[17]],",",""))+1,1),"")</f>
        <v/>
      </c>
      <c r="AQ232" t="str">
        <f>IF(Tabela1[[#This Row],[18]]&lt;&gt;"",IF(ISNUMBER(FIND(",",Tabela1[[#This Row],[18]])),LEN(Tabela1[[#This Row],[18]])-LEN(SUBSTITUTE(Tabela1[[#This Row],[18]],",",""))+1,1),"")</f>
        <v/>
      </c>
      <c r="AR232" s="13" t="str">
        <f>IF(Tabela1[[#This Row],[19_LENGTH]]&lt;&gt;"",IF(ISNUMBER(FIND(",",Tabela1[[#This Row],[19_LENGTH]])),LEN(Tabela1[[#This Row],[19_LENGTH]])-LEN(SUBSTITUTE(Tabela1[[#This Row],[19_LENGTH]],",",""))+1,1),"")</f>
        <v/>
      </c>
      <c r="AS232" s="21">
        <f>SUM(Tabela1[[#This Row],[1_]:[19_]])</f>
        <v>1</v>
      </c>
    </row>
    <row r="233" spans="1:45" x14ac:dyDescent="0.25">
      <c r="A233" s="27" t="s">
        <v>1322</v>
      </c>
      <c r="B233" s="19" t="s">
        <v>749</v>
      </c>
      <c r="C233" s="19">
        <v>202</v>
      </c>
      <c r="D233" s="19" t="s">
        <v>1298</v>
      </c>
      <c r="E233" s="20">
        <v>43487</v>
      </c>
      <c r="F233" s="19"/>
      <c r="G233" s="19"/>
      <c r="H233" s="19" t="s">
        <v>85</v>
      </c>
      <c r="I233" s="19"/>
      <c r="J233" s="19"/>
      <c r="K233" s="19">
        <v>175</v>
      </c>
      <c r="L233" s="19"/>
      <c r="M233" s="19"/>
      <c r="N233" s="19"/>
      <c r="O233" s="19"/>
      <c r="P233" s="19"/>
      <c r="Q233" s="19"/>
      <c r="R233" s="19"/>
      <c r="S233" s="19"/>
      <c r="T233" s="19"/>
      <c r="U233" s="19"/>
      <c r="V233" s="19"/>
      <c r="W233" s="19"/>
      <c r="X233" s="19"/>
      <c r="Y233" s="19"/>
      <c r="Z233" t="str">
        <f>IF(Tabela1[[#This Row],[1]]&lt;&gt;"",IF(ISNUMBER(FIND(",",Tabela1[[#This Row],[1]])),LEN(Tabela1[[#This Row],[1]])-LEN(SUBSTITUTE(Tabela1[[#This Row],[1]],",",""))+1,1),"")</f>
        <v/>
      </c>
      <c r="AA233" t="str">
        <f>IF(Tabela1[[#This Row],[2]]&lt;&gt;"",IF(ISNUMBER(FIND(",",Tabela1[[#This Row],[2]])),LEN(Tabela1[[#This Row],[2]])-LEN(SUBSTITUTE(Tabela1[[#This Row],[2]],",",""))+1,1),"")</f>
        <v/>
      </c>
      <c r="AB233">
        <f>IF(Tabela1[[#This Row],[3]]&lt;&gt;"",IF(ISNUMBER(FIND(",",Tabela1[[#This Row],[3]])),LEN(Tabela1[[#This Row],[3]])-LEN(SUBSTITUTE(Tabela1[[#This Row],[3]],",",""))+1,1),"")</f>
        <v>2</v>
      </c>
      <c r="AC233" t="str">
        <f>IF(Tabela1[[#This Row],[4]]&lt;&gt;"",IF(ISNUMBER(FIND(",",Tabela1[[#This Row],[4]])),LEN(Tabela1[[#This Row],[4]])-LEN(SUBSTITUTE(Tabela1[[#This Row],[4]],",",""))+1,1),"")</f>
        <v/>
      </c>
      <c r="AD233" t="str">
        <f>IF(Tabela1[[#This Row],[5]]&lt;&gt;"",IF(ISNUMBER(FIND(",",Tabela1[[#This Row],[5]])),LEN(Tabela1[[#This Row],[5]])-LEN(SUBSTITUTE(Tabela1[[#This Row],[5]],",",""))+1,1),"")</f>
        <v/>
      </c>
      <c r="AE233">
        <f>IF(Tabela1[[#This Row],[6]]&lt;&gt;"",IF(ISNUMBER(FIND(",",Tabela1[[#This Row],[6]])),LEN(Tabela1[[#This Row],[6]])-LEN(SUBSTITUTE(Tabela1[[#This Row],[6]],",",""))+1,1),"")</f>
        <v>1</v>
      </c>
      <c r="AF233" t="str">
        <f>IF(Tabela1[[#This Row],[7]]&lt;&gt;"",IF(ISNUMBER(FIND(",",Tabela1[[#This Row],[7]])),LEN(Tabela1[[#This Row],[7]])-LEN(SUBSTITUTE(Tabela1[[#This Row],[7]],",",""))+1,1),"")</f>
        <v/>
      </c>
      <c r="AG233" t="str">
        <f>IF(Tabela1[[#This Row],[8]]&lt;&gt;"",IF(ISNUMBER(FIND(",",Tabela1[[#This Row],[8]])),LEN(Tabela1[[#This Row],[8]])-LEN(SUBSTITUTE(Tabela1[[#This Row],[8]],",",""))+1,1),"")</f>
        <v/>
      </c>
      <c r="AH233" t="str">
        <f>IF(Tabela1[[#This Row],[9]]&lt;&gt;"",IF(ISNUMBER(FIND(",",Tabela1[[#This Row],[9]])),LEN(Tabela1[[#This Row],[9]])-LEN(SUBSTITUTE(Tabela1[[#This Row],[9]],",",""))+1,1),"")</f>
        <v/>
      </c>
      <c r="AI233" t="str">
        <f>IF(Tabela1[[#This Row],[10]]&lt;&gt;"",IF(ISNUMBER(FIND(",",Tabela1[[#This Row],[10]])),LEN(Tabela1[[#This Row],[10]])-LEN(SUBSTITUTE(Tabela1[[#This Row],[10]],",",""))+1,1),"")</f>
        <v/>
      </c>
      <c r="AJ233" t="str">
        <f>IF(Tabela1[[#This Row],[11]]&lt;&gt;"",IF(ISNUMBER(FIND(",",Tabela1[[#This Row],[11]])),LEN(Tabela1[[#This Row],[11]])-LEN(SUBSTITUTE(Tabela1[[#This Row],[11]],",",""))+1,1),"")</f>
        <v/>
      </c>
      <c r="AK233" t="str">
        <f>IF(Tabela1[[#This Row],[12]]&lt;&gt;"",IF(ISNUMBER(FIND(",",Tabela1[[#This Row],[12]])),LEN(Tabela1[[#This Row],[12]])-LEN(SUBSTITUTE(Tabela1[[#This Row],[12]],",",""))+1,1),"")</f>
        <v/>
      </c>
      <c r="AL233" t="str">
        <f>IF(Tabela1[[#This Row],[13]]&lt;&gt;"",IF(ISNUMBER(FIND(",",Tabela1[[#This Row],[13]])),LEN(Tabela1[[#This Row],[13]])-LEN(SUBSTITUTE(Tabela1[[#This Row],[13]],",",""))+1,1),"")</f>
        <v/>
      </c>
      <c r="AM233" t="str">
        <f>IF(Tabela1[[#This Row],[14]]&lt;&gt;"",IF(ISNUMBER(FIND(",",Tabela1[[#This Row],[14]])),LEN(Tabela1[[#This Row],[14]])-LEN(SUBSTITUTE(Tabela1[[#This Row],[14]],",",""))+1,1),"")</f>
        <v/>
      </c>
      <c r="AN233" t="str">
        <f>IF(Tabela1[[#This Row],[15]]&lt;&gt;"",IF(ISNUMBER(FIND(",",Tabela1[[#This Row],[15]])),LEN(Tabela1[[#This Row],[15]])-LEN(SUBSTITUTE(Tabela1[[#This Row],[15]],",",""))+1,1),"")</f>
        <v/>
      </c>
      <c r="AO233" t="str">
        <f>IF(Tabela1[[#This Row],[16]]&lt;&gt;"",IF(ISNUMBER(FIND(",",Tabela1[[#This Row],[16]])),LEN(Tabela1[[#This Row],[16]])-LEN(SUBSTITUTE(Tabela1[[#This Row],[16]],",",""))+1,1),"")</f>
        <v/>
      </c>
      <c r="AP233" t="str">
        <f>IF(Tabela1[[#This Row],[17]]&lt;&gt;"",IF(ISNUMBER(FIND(",",Tabela1[[#This Row],[17]])),LEN(Tabela1[[#This Row],[17]])-LEN(SUBSTITUTE(Tabela1[[#This Row],[17]],",",""))+1,1),"")</f>
        <v/>
      </c>
      <c r="AQ233" t="str">
        <f>IF(Tabela1[[#This Row],[18]]&lt;&gt;"",IF(ISNUMBER(FIND(",",Tabela1[[#This Row],[18]])),LEN(Tabela1[[#This Row],[18]])-LEN(SUBSTITUTE(Tabela1[[#This Row],[18]],",",""))+1,1),"")</f>
        <v/>
      </c>
      <c r="AR233" s="13" t="str">
        <f>IF(Tabela1[[#This Row],[19_LENGTH]]&lt;&gt;"",IF(ISNUMBER(FIND(",",Tabela1[[#This Row],[19_LENGTH]])),LEN(Tabela1[[#This Row],[19_LENGTH]])-LEN(SUBSTITUTE(Tabela1[[#This Row],[19_LENGTH]],",",""))+1,1),"")</f>
        <v/>
      </c>
      <c r="AS233" s="21">
        <f>SUM(Tabela1[[#This Row],[1_]:[19_]])</f>
        <v>3</v>
      </c>
    </row>
    <row r="234" spans="1:45" x14ac:dyDescent="0.25">
      <c r="A234" s="27" t="s">
        <v>1322</v>
      </c>
      <c r="B234" s="19" t="s">
        <v>425</v>
      </c>
      <c r="C234" s="19">
        <v>202</v>
      </c>
      <c r="D234" s="19" t="s">
        <v>1296</v>
      </c>
      <c r="E234" s="20">
        <v>43487</v>
      </c>
      <c r="F234" s="19"/>
      <c r="G234" s="19"/>
      <c r="H234" s="19"/>
      <c r="I234" s="19">
        <v>153</v>
      </c>
      <c r="J234" s="19"/>
      <c r="K234" s="19"/>
      <c r="L234" s="19"/>
      <c r="M234" s="19"/>
      <c r="N234" s="19"/>
      <c r="O234" s="19"/>
      <c r="P234" s="19"/>
      <c r="Q234" s="19"/>
      <c r="R234" s="19"/>
      <c r="S234" s="19"/>
      <c r="T234" s="19"/>
      <c r="U234" s="19"/>
      <c r="V234" s="19"/>
      <c r="W234" s="19"/>
      <c r="X234" s="19"/>
      <c r="Y234" s="19"/>
      <c r="Z234" t="str">
        <f>IF(Tabela1[[#This Row],[1]]&lt;&gt;"",IF(ISNUMBER(FIND(",",Tabela1[[#This Row],[1]])),LEN(Tabela1[[#This Row],[1]])-LEN(SUBSTITUTE(Tabela1[[#This Row],[1]],",",""))+1,1),"")</f>
        <v/>
      </c>
      <c r="AA234" t="str">
        <f>IF(Tabela1[[#This Row],[2]]&lt;&gt;"",IF(ISNUMBER(FIND(",",Tabela1[[#This Row],[2]])),LEN(Tabela1[[#This Row],[2]])-LEN(SUBSTITUTE(Tabela1[[#This Row],[2]],",",""))+1,1),"")</f>
        <v/>
      </c>
      <c r="AB234" t="str">
        <f>IF(Tabela1[[#This Row],[3]]&lt;&gt;"",IF(ISNUMBER(FIND(",",Tabela1[[#This Row],[3]])),LEN(Tabela1[[#This Row],[3]])-LEN(SUBSTITUTE(Tabela1[[#This Row],[3]],",",""))+1,1),"")</f>
        <v/>
      </c>
      <c r="AC234">
        <f>IF(Tabela1[[#This Row],[4]]&lt;&gt;"",IF(ISNUMBER(FIND(",",Tabela1[[#This Row],[4]])),LEN(Tabela1[[#This Row],[4]])-LEN(SUBSTITUTE(Tabela1[[#This Row],[4]],",",""))+1,1),"")</f>
        <v>1</v>
      </c>
      <c r="AD234" t="str">
        <f>IF(Tabela1[[#This Row],[5]]&lt;&gt;"",IF(ISNUMBER(FIND(",",Tabela1[[#This Row],[5]])),LEN(Tabela1[[#This Row],[5]])-LEN(SUBSTITUTE(Tabela1[[#This Row],[5]],",",""))+1,1),"")</f>
        <v/>
      </c>
      <c r="AE234" t="str">
        <f>IF(Tabela1[[#This Row],[6]]&lt;&gt;"",IF(ISNUMBER(FIND(",",Tabela1[[#This Row],[6]])),LEN(Tabela1[[#This Row],[6]])-LEN(SUBSTITUTE(Tabela1[[#This Row],[6]],",",""))+1,1),"")</f>
        <v/>
      </c>
      <c r="AF234" t="str">
        <f>IF(Tabela1[[#This Row],[7]]&lt;&gt;"",IF(ISNUMBER(FIND(",",Tabela1[[#This Row],[7]])),LEN(Tabela1[[#This Row],[7]])-LEN(SUBSTITUTE(Tabela1[[#This Row],[7]],",",""))+1,1),"")</f>
        <v/>
      </c>
      <c r="AG234" t="str">
        <f>IF(Tabela1[[#This Row],[8]]&lt;&gt;"",IF(ISNUMBER(FIND(",",Tabela1[[#This Row],[8]])),LEN(Tabela1[[#This Row],[8]])-LEN(SUBSTITUTE(Tabela1[[#This Row],[8]],",",""))+1,1),"")</f>
        <v/>
      </c>
      <c r="AH234" t="str">
        <f>IF(Tabela1[[#This Row],[9]]&lt;&gt;"",IF(ISNUMBER(FIND(",",Tabela1[[#This Row],[9]])),LEN(Tabela1[[#This Row],[9]])-LEN(SUBSTITUTE(Tabela1[[#This Row],[9]],",",""))+1,1),"")</f>
        <v/>
      </c>
      <c r="AI234" t="str">
        <f>IF(Tabela1[[#This Row],[10]]&lt;&gt;"",IF(ISNUMBER(FIND(",",Tabela1[[#This Row],[10]])),LEN(Tabela1[[#This Row],[10]])-LEN(SUBSTITUTE(Tabela1[[#This Row],[10]],",",""))+1,1),"")</f>
        <v/>
      </c>
      <c r="AJ234" t="str">
        <f>IF(Tabela1[[#This Row],[11]]&lt;&gt;"",IF(ISNUMBER(FIND(",",Tabela1[[#This Row],[11]])),LEN(Tabela1[[#This Row],[11]])-LEN(SUBSTITUTE(Tabela1[[#This Row],[11]],",",""))+1,1),"")</f>
        <v/>
      </c>
      <c r="AK234" t="str">
        <f>IF(Tabela1[[#This Row],[12]]&lt;&gt;"",IF(ISNUMBER(FIND(",",Tabela1[[#This Row],[12]])),LEN(Tabela1[[#This Row],[12]])-LEN(SUBSTITUTE(Tabela1[[#This Row],[12]],",",""))+1,1),"")</f>
        <v/>
      </c>
      <c r="AL234" t="str">
        <f>IF(Tabela1[[#This Row],[13]]&lt;&gt;"",IF(ISNUMBER(FIND(",",Tabela1[[#This Row],[13]])),LEN(Tabela1[[#This Row],[13]])-LEN(SUBSTITUTE(Tabela1[[#This Row],[13]],",",""))+1,1),"")</f>
        <v/>
      </c>
      <c r="AM234" t="str">
        <f>IF(Tabela1[[#This Row],[14]]&lt;&gt;"",IF(ISNUMBER(FIND(",",Tabela1[[#This Row],[14]])),LEN(Tabela1[[#This Row],[14]])-LEN(SUBSTITUTE(Tabela1[[#This Row],[14]],",",""))+1,1),"")</f>
        <v/>
      </c>
      <c r="AN234" t="str">
        <f>IF(Tabela1[[#This Row],[15]]&lt;&gt;"",IF(ISNUMBER(FIND(",",Tabela1[[#This Row],[15]])),LEN(Tabela1[[#This Row],[15]])-LEN(SUBSTITUTE(Tabela1[[#This Row],[15]],",",""))+1,1),"")</f>
        <v/>
      </c>
      <c r="AO234" t="str">
        <f>IF(Tabela1[[#This Row],[16]]&lt;&gt;"",IF(ISNUMBER(FIND(",",Tabela1[[#This Row],[16]])),LEN(Tabela1[[#This Row],[16]])-LEN(SUBSTITUTE(Tabela1[[#This Row],[16]],",",""))+1,1),"")</f>
        <v/>
      </c>
      <c r="AP234" t="str">
        <f>IF(Tabela1[[#This Row],[17]]&lt;&gt;"",IF(ISNUMBER(FIND(",",Tabela1[[#This Row],[17]])),LEN(Tabela1[[#This Row],[17]])-LEN(SUBSTITUTE(Tabela1[[#This Row],[17]],",",""))+1,1),"")</f>
        <v/>
      </c>
      <c r="AQ234" t="str">
        <f>IF(Tabela1[[#This Row],[18]]&lt;&gt;"",IF(ISNUMBER(FIND(",",Tabela1[[#This Row],[18]])),LEN(Tabela1[[#This Row],[18]])-LEN(SUBSTITUTE(Tabela1[[#This Row],[18]],",",""))+1,1),"")</f>
        <v/>
      </c>
      <c r="AR234" s="13" t="str">
        <f>IF(Tabela1[[#This Row],[19_LENGTH]]&lt;&gt;"",IF(ISNUMBER(FIND(",",Tabela1[[#This Row],[19_LENGTH]])),LEN(Tabela1[[#This Row],[19_LENGTH]])-LEN(SUBSTITUTE(Tabela1[[#This Row],[19_LENGTH]],",",""))+1,1),"")</f>
        <v/>
      </c>
      <c r="AS234" s="21">
        <f>SUM(Tabela1[[#This Row],[1_]:[19_]])</f>
        <v>1</v>
      </c>
    </row>
    <row r="235" spans="1:45" x14ac:dyDescent="0.25">
      <c r="A235" s="27" t="s">
        <v>1322</v>
      </c>
      <c r="B235" s="19" t="s">
        <v>750</v>
      </c>
      <c r="C235" s="19">
        <v>204</v>
      </c>
      <c r="D235" s="19" t="s">
        <v>1299</v>
      </c>
      <c r="E235" s="20">
        <v>43487</v>
      </c>
      <c r="F235" s="19"/>
      <c r="G235" s="19"/>
      <c r="H235" s="19"/>
      <c r="I235" s="19" t="s">
        <v>86</v>
      </c>
      <c r="J235" s="19"/>
      <c r="K235" s="19"/>
      <c r="L235" s="19"/>
      <c r="M235" s="19"/>
      <c r="N235" s="19"/>
      <c r="O235" s="19"/>
      <c r="P235" s="19"/>
      <c r="Q235" s="19"/>
      <c r="R235" s="19"/>
      <c r="S235" s="19"/>
      <c r="T235" s="19"/>
      <c r="U235" s="19"/>
      <c r="V235" s="19"/>
      <c r="W235" s="19"/>
      <c r="X235" s="19"/>
      <c r="Y235" s="19"/>
      <c r="Z235" t="str">
        <f>IF(Tabela1[[#This Row],[1]]&lt;&gt;"",IF(ISNUMBER(FIND(",",Tabela1[[#This Row],[1]])),LEN(Tabela1[[#This Row],[1]])-LEN(SUBSTITUTE(Tabela1[[#This Row],[1]],",",""))+1,1),"")</f>
        <v/>
      </c>
      <c r="AA235" t="str">
        <f>IF(Tabela1[[#This Row],[2]]&lt;&gt;"",IF(ISNUMBER(FIND(",",Tabela1[[#This Row],[2]])),LEN(Tabela1[[#This Row],[2]])-LEN(SUBSTITUTE(Tabela1[[#This Row],[2]],",",""))+1,1),"")</f>
        <v/>
      </c>
      <c r="AB235" t="str">
        <f>IF(Tabela1[[#This Row],[3]]&lt;&gt;"",IF(ISNUMBER(FIND(",",Tabela1[[#This Row],[3]])),LEN(Tabela1[[#This Row],[3]])-LEN(SUBSTITUTE(Tabela1[[#This Row],[3]],",",""))+1,1),"")</f>
        <v/>
      </c>
      <c r="AC235">
        <f>IF(Tabela1[[#This Row],[4]]&lt;&gt;"",IF(ISNUMBER(FIND(",",Tabela1[[#This Row],[4]])),LEN(Tabela1[[#This Row],[4]])-LEN(SUBSTITUTE(Tabela1[[#This Row],[4]],",",""))+1,1),"")</f>
        <v>2</v>
      </c>
      <c r="AD235" t="str">
        <f>IF(Tabela1[[#This Row],[5]]&lt;&gt;"",IF(ISNUMBER(FIND(",",Tabela1[[#This Row],[5]])),LEN(Tabela1[[#This Row],[5]])-LEN(SUBSTITUTE(Tabela1[[#This Row],[5]],",",""))+1,1),"")</f>
        <v/>
      </c>
      <c r="AE235" t="str">
        <f>IF(Tabela1[[#This Row],[6]]&lt;&gt;"",IF(ISNUMBER(FIND(",",Tabela1[[#This Row],[6]])),LEN(Tabela1[[#This Row],[6]])-LEN(SUBSTITUTE(Tabela1[[#This Row],[6]],",",""))+1,1),"")</f>
        <v/>
      </c>
      <c r="AF235" t="str">
        <f>IF(Tabela1[[#This Row],[7]]&lt;&gt;"",IF(ISNUMBER(FIND(",",Tabela1[[#This Row],[7]])),LEN(Tabela1[[#This Row],[7]])-LEN(SUBSTITUTE(Tabela1[[#This Row],[7]],",",""))+1,1),"")</f>
        <v/>
      </c>
      <c r="AG235" t="str">
        <f>IF(Tabela1[[#This Row],[8]]&lt;&gt;"",IF(ISNUMBER(FIND(",",Tabela1[[#This Row],[8]])),LEN(Tabela1[[#This Row],[8]])-LEN(SUBSTITUTE(Tabela1[[#This Row],[8]],",",""))+1,1),"")</f>
        <v/>
      </c>
      <c r="AH235" t="str">
        <f>IF(Tabela1[[#This Row],[9]]&lt;&gt;"",IF(ISNUMBER(FIND(",",Tabela1[[#This Row],[9]])),LEN(Tabela1[[#This Row],[9]])-LEN(SUBSTITUTE(Tabela1[[#This Row],[9]],",",""))+1,1),"")</f>
        <v/>
      </c>
      <c r="AI235" t="str">
        <f>IF(Tabela1[[#This Row],[10]]&lt;&gt;"",IF(ISNUMBER(FIND(",",Tabela1[[#This Row],[10]])),LEN(Tabela1[[#This Row],[10]])-LEN(SUBSTITUTE(Tabela1[[#This Row],[10]],",",""))+1,1),"")</f>
        <v/>
      </c>
      <c r="AJ235" t="str">
        <f>IF(Tabela1[[#This Row],[11]]&lt;&gt;"",IF(ISNUMBER(FIND(",",Tabela1[[#This Row],[11]])),LEN(Tabela1[[#This Row],[11]])-LEN(SUBSTITUTE(Tabela1[[#This Row],[11]],",",""))+1,1),"")</f>
        <v/>
      </c>
      <c r="AK235" t="str">
        <f>IF(Tabela1[[#This Row],[12]]&lt;&gt;"",IF(ISNUMBER(FIND(",",Tabela1[[#This Row],[12]])),LEN(Tabela1[[#This Row],[12]])-LEN(SUBSTITUTE(Tabela1[[#This Row],[12]],",",""))+1,1),"")</f>
        <v/>
      </c>
      <c r="AL235" t="str">
        <f>IF(Tabela1[[#This Row],[13]]&lt;&gt;"",IF(ISNUMBER(FIND(",",Tabela1[[#This Row],[13]])),LEN(Tabela1[[#This Row],[13]])-LEN(SUBSTITUTE(Tabela1[[#This Row],[13]],",",""))+1,1),"")</f>
        <v/>
      </c>
      <c r="AM235" t="str">
        <f>IF(Tabela1[[#This Row],[14]]&lt;&gt;"",IF(ISNUMBER(FIND(",",Tabela1[[#This Row],[14]])),LEN(Tabela1[[#This Row],[14]])-LEN(SUBSTITUTE(Tabela1[[#This Row],[14]],",",""))+1,1),"")</f>
        <v/>
      </c>
      <c r="AN235" t="str">
        <f>IF(Tabela1[[#This Row],[15]]&lt;&gt;"",IF(ISNUMBER(FIND(",",Tabela1[[#This Row],[15]])),LEN(Tabela1[[#This Row],[15]])-LEN(SUBSTITUTE(Tabela1[[#This Row],[15]],",",""))+1,1),"")</f>
        <v/>
      </c>
      <c r="AO235" t="str">
        <f>IF(Tabela1[[#This Row],[16]]&lt;&gt;"",IF(ISNUMBER(FIND(",",Tabela1[[#This Row],[16]])),LEN(Tabela1[[#This Row],[16]])-LEN(SUBSTITUTE(Tabela1[[#This Row],[16]],",",""))+1,1),"")</f>
        <v/>
      </c>
      <c r="AP235" t="str">
        <f>IF(Tabela1[[#This Row],[17]]&lt;&gt;"",IF(ISNUMBER(FIND(",",Tabela1[[#This Row],[17]])),LEN(Tabela1[[#This Row],[17]])-LEN(SUBSTITUTE(Tabela1[[#This Row],[17]],",",""))+1,1),"")</f>
        <v/>
      </c>
      <c r="AQ235" t="str">
        <f>IF(Tabela1[[#This Row],[18]]&lt;&gt;"",IF(ISNUMBER(FIND(",",Tabela1[[#This Row],[18]])),LEN(Tabela1[[#This Row],[18]])-LEN(SUBSTITUTE(Tabela1[[#This Row],[18]],",",""))+1,1),"")</f>
        <v/>
      </c>
      <c r="AR235" s="13" t="str">
        <f>IF(Tabela1[[#This Row],[19_LENGTH]]&lt;&gt;"",IF(ISNUMBER(FIND(",",Tabela1[[#This Row],[19_LENGTH]])),LEN(Tabela1[[#This Row],[19_LENGTH]])-LEN(SUBSTITUTE(Tabela1[[#This Row],[19_LENGTH]],",",""))+1,1),"")</f>
        <v/>
      </c>
      <c r="AS235" s="21">
        <f>SUM(Tabela1[[#This Row],[1_]:[19_]])</f>
        <v>2</v>
      </c>
    </row>
    <row r="236" spans="1:45" x14ac:dyDescent="0.25">
      <c r="A236" s="27" t="s">
        <v>1322</v>
      </c>
      <c r="B236" s="19" t="s">
        <v>751</v>
      </c>
      <c r="C236" s="19">
        <v>202</v>
      </c>
      <c r="D236" s="19" t="s">
        <v>1299</v>
      </c>
      <c r="E236" s="20">
        <v>43486</v>
      </c>
      <c r="F236" s="19"/>
      <c r="G236" s="19"/>
      <c r="H236" s="19" t="s">
        <v>87</v>
      </c>
      <c r="I236" s="19"/>
      <c r="J236" s="19"/>
      <c r="K236" s="19"/>
      <c r="L236" s="19"/>
      <c r="M236" s="19"/>
      <c r="N236" s="19"/>
      <c r="O236" s="19"/>
      <c r="P236" s="19"/>
      <c r="Q236" s="19"/>
      <c r="R236" s="19"/>
      <c r="S236" s="19"/>
      <c r="T236" s="19"/>
      <c r="U236" s="19">
        <v>165</v>
      </c>
      <c r="V236" s="19"/>
      <c r="W236" s="19"/>
      <c r="X236" s="19"/>
      <c r="Y236" s="19"/>
      <c r="Z236" t="str">
        <f>IF(Tabela1[[#This Row],[1]]&lt;&gt;"",IF(ISNUMBER(FIND(",",Tabela1[[#This Row],[1]])),LEN(Tabela1[[#This Row],[1]])-LEN(SUBSTITUTE(Tabela1[[#This Row],[1]],",",""))+1,1),"")</f>
        <v/>
      </c>
      <c r="AA236" t="str">
        <f>IF(Tabela1[[#This Row],[2]]&lt;&gt;"",IF(ISNUMBER(FIND(",",Tabela1[[#This Row],[2]])),LEN(Tabela1[[#This Row],[2]])-LEN(SUBSTITUTE(Tabela1[[#This Row],[2]],",",""))+1,1),"")</f>
        <v/>
      </c>
      <c r="AB236">
        <f>IF(Tabela1[[#This Row],[3]]&lt;&gt;"",IF(ISNUMBER(FIND(",",Tabela1[[#This Row],[3]])),LEN(Tabela1[[#This Row],[3]])-LEN(SUBSTITUTE(Tabela1[[#This Row],[3]],",",""))+1,1),"")</f>
        <v>3</v>
      </c>
      <c r="AC236" t="str">
        <f>IF(Tabela1[[#This Row],[4]]&lt;&gt;"",IF(ISNUMBER(FIND(",",Tabela1[[#This Row],[4]])),LEN(Tabela1[[#This Row],[4]])-LEN(SUBSTITUTE(Tabela1[[#This Row],[4]],",",""))+1,1),"")</f>
        <v/>
      </c>
      <c r="AD236" t="str">
        <f>IF(Tabela1[[#This Row],[5]]&lt;&gt;"",IF(ISNUMBER(FIND(",",Tabela1[[#This Row],[5]])),LEN(Tabela1[[#This Row],[5]])-LEN(SUBSTITUTE(Tabela1[[#This Row],[5]],",",""))+1,1),"")</f>
        <v/>
      </c>
      <c r="AE236" t="str">
        <f>IF(Tabela1[[#This Row],[6]]&lt;&gt;"",IF(ISNUMBER(FIND(",",Tabela1[[#This Row],[6]])),LEN(Tabela1[[#This Row],[6]])-LEN(SUBSTITUTE(Tabela1[[#This Row],[6]],",",""))+1,1),"")</f>
        <v/>
      </c>
      <c r="AF236" t="str">
        <f>IF(Tabela1[[#This Row],[7]]&lt;&gt;"",IF(ISNUMBER(FIND(",",Tabela1[[#This Row],[7]])),LEN(Tabela1[[#This Row],[7]])-LEN(SUBSTITUTE(Tabela1[[#This Row],[7]],",",""))+1,1),"")</f>
        <v/>
      </c>
      <c r="AG236" t="str">
        <f>IF(Tabela1[[#This Row],[8]]&lt;&gt;"",IF(ISNUMBER(FIND(",",Tabela1[[#This Row],[8]])),LEN(Tabela1[[#This Row],[8]])-LEN(SUBSTITUTE(Tabela1[[#This Row],[8]],",",""))+1,1),"")</f>
        <v/>
      </c>
      <c r="AH236" t="str">
        <f>IF(Tabela1[[#This Row],[9]]&lt;&gt;"",IF(ISNUMBER(FIND(",",Tabela1[[#This Row],[9]])),LEN(Tabela1[[#This Row],[9]])-LEN(SUBSTITUTE(Tabela1[[#This Row],[9]],",",""))+1,1),"")</f>
        <v/>
      </c>
      <c r="AI236" t="str">
        <f>IF(Tabela1[[#This Row],[10]]&lt;&gt;"",IF(ISNUMBER(FIND(",",Tabela1[[#This Row],[10]])),LEN(Tabela1[[#This Row],[10]])-LEN(SUBSTITUTE(Tabela1[[#This Row],[10]],",",""))+1,1),"")</f>
        <v/>
      </c>
      <c r="AJ236" t="str">
        <f>IF(Tabela1[[#This Row],[11]]&lt;&gt;"",IF(ISNUMBER(FIND(",",Tabela1[[#This Row],[11]])),LEN(Tabela1[[#This Row],[11]])-LEN(SUBSTITUTE(Tabela1[[#This Row],[11]],",",""))+1,1),"")</f>
        <v/>
      </c>
      <c r="AK236" t="str">
        <f>IF(Tabela1[[#This Row],[12]]&lt;&gt;"",IF(ISNUMBER(FIND(",",Tabela1[[#This Row],[12]])),LEN(Tabela1[[#This Row],[12]])-LEN(SUBSTITUTE(Tabela1[[#This Row],[12]],",",""))+1,1),"")</f>
        <v/>
      </c>
      <c r="AL236" t="str">
        <f>IF(Tabela1[[#This Row],[13]]&lt;&gt;"",IF(ISNUMBER(FIND(",",Tabela1[[#This Row],[13]])),LEN(Tabela1[[#This Row],[13]])-LEN(SUBSTITUTE(Tabela1[[#This Row],[13]],",",""))+1,1),"")</f>
        <v/>
      </c>
      <c r="AM236" t="str">
        <f>IF(Tabela1[[#This Row],[14]]&lt;&gt;"",IF(ISNUMBER(FIND(",",Tabela1[[#This Row],[14]])),LEN(Tabela1[[#This Row],[14]])-LEN(SUBSTITUTE(Tabela1[[#This Row],[14]],",",""))+1,1),"")</f>
        <v/>
      </c>
      <c r="AN236" t="str">
        <f>IF(Tabela1[[#This Row],[15]]&lt;&gt;"",IF(ISNUMBER(FIND(",",Tabela1[[#This Row],[15]])),LEN(Tabela1[[#This Row],[15]])-LEN(SUBSTITUTE(Tabela1[[#This Row],[15]],",",""))+1,1),"")</f>
        <v/>
      </c>
      <c r="AO236">
        <f>IF(Tabela1[[#This Row],[16]]&lt;&gt;"",IF(ISNUMBER(FIND(",",Tabela1[[#This Row],[16]])),LEN(Tabela1[[#This Row],[16]])-LEN(SUBSTITUTE(Tabela1[[#This Row],[16]],",",""))+1,1),"")</f>
        <v>1</v>
      </c>
      <c r="AP236" t="str">
        <f>IF(Tabela1[[#This Row],[17]]&lt;&gt;"",IF(ISNUMBER(FIND(",",Tabela1[[#This Row],[17]])),LEN(Tabela1[[#This Row],[17]])-LEN(SUBSTITUTE(Tabela1[[#This Row],[17]],",",""))+1,1),"")</f>
        <v/>
      </c>
      <c r="AQ236" t="str">
        <f>IF(Tabela1[[#This Row],[18]]&lt;&gt;"",IF(ISNUMBER(FIND(",",Tabela1[[#This Row],[18]])),LEN(Tabela1[[#This Row],[18]])-LEN(SUBSTITUTE(Tabela1[[#This Row],[18]],",",""))+1,1),"")</f>
        <v/>
      </c>
      <c r="AR236" s="13" t="str">
        <f>IF(Tabela1[[#This Row],[19_LENGTH]]&lt;&gt;"",IF(ISNUMBER(FIND(",",Tabela1[[#This Row],[19_LENGTH]])),LEN(Tabela1[[#This Row],[19_LENGTH]])-LEN(SUBSTITUTE(Tabela1[[#This Row],[19_LENGTH]],",",""))+1,1),"")</f>
        <v/>
      </c>
      <c r="AS236" s="21">
        <f>SUM(Tabela1[[#This Row],[1_]:[19_]])</f>
        <v>4</v>
      </c>
    </row>
    <row r="237" spans="1:45" x14ac:dyDescent="0.25">
      <c r="A237" s="27" t="s">
        <v>1322</v>
      </c>
      <c r="B237" s="19" t="s">
        <v>752</v>
      </c>
      <c r="C237" s="19">
        <v>202</v>
      </c>
      <c r="D237" s="19" t="s">
        <v>1299</v>
      </c>
      <c r="E237" s="20">
        <v>43486</v>
      </c>
      <c r="F237" s="19"/>
      <c r="G237" s="19"/>
      <c r="H237" s="19"/>
      <c r="I237" s="19" t="s">
        <v>88</v>
      </c>
      <c r="J237" s="19">
        <v>103</v>
      </c>
      <c r="K237" s="19"/>
      <c r="L237" s="19"/>
      <c r="M237" s="19"/>
      <c r="N237" s="19"/>
      <c r="O237" s="19"/>
      <c r="P237" s="19"/>
      <c r="Q237" s="19"/>
      <c r="R237" s="19"/>
      <c r="S237" s="19"/>
      <c r="T237" s="19"/>
      <c r="U237" s="19"/>
      <c r="V237" s="19"/>
      <c r="W237" s="19">
        <v>32</v>
      </c>
      <c r="X237" s="19"/>
      <c r="Y237" s="19"/>
      <c r="Z237" t="str">
        <f>IF(Tabela1[[#This Row],[1]]&lt;&gt;"",IF(ISNUMBER(FIND(",",Tabela1[[#This Row],[1]])),LEN(Tabela1[[#This Row],[1]])-LEN(SUBSTITUTE(Tabela1[[#This Row],[1]],",",""))+1,1),"")</f>
        <v/>
      </c>
      <c r="AA237" t="str">
        <f>IF(Tabela1[[#This Row],[2]]&lt;&gt;"",IF(ISNUMBER(FIND(",",Tabela1[[#This Row],[2]])),LEN(Tabela1[[#This Row],[2]])-LEN(SUBSTITUTE(Tabela1[[#This Row],[2]],",",""))+1,1),"")</f>
        <v/>
      </c>
      <c r="AB237" t="str">
        <f>IF(Tabela1[[#This Row],[3]]&lt;&gt;"",IF(ISNUMBER(FIND(",",Tabela1[[#This Row],[3]])),LEN(Tabela1[[#This Row],[3]])-LEN(SUBSTITUTE(Tabela1[[#This Row],[3]],",",""))+1,1),"")</f>
        <v/>
      </c>
      <c r="AC237">
        <f>IF(Tabela1[[#This Row],[4]]&lt;&gt;"",IF(ISNUMBER(FIND(",",Tabela1[[#This Row],[4]])),LEN(Tabela1[[#This Row],[4]])-LEN(SUBSTITUTE(Tabela1[[#This Row],[4]],",",""))+1,1),"")</f>
        <v>1</v>
      </c>
      <c r="AD237">
        <f>IF(Tabela1[[#This Row],[5]]&lt;&gt;"",IF(ISNUMBER(FIND(",",Tabela1[[#This Row],[5]])),LEN(Tabela1[[#This Row],[5]])-LEN(SUBSTITUTE(Tabela1[[#This Row],[5]],",",""))+1,1),"")</f>
        <v>1</v>
      </c>
      <c r="AE237" t="str">
        <f>IF(Tabela1[[#This Row],[6]]&lt;&gt;"",IF(ISNUMBER(FIND(",",Tabela1[[#This Row],[6]])),LEN(Tabela1[[#This Row],[6]])-LEN(SUBSTITUTE(Tabela1[[#This Row],[6]],",",""))+1,1),"")</f>
        <v/>
      </c>
      <c r="AF237" t="str">
        <f>IF(Tabela1[[#This Row],[7]]&lt;&gt;"",IF(ISNUMBER(FIND(",",Tabela1[[#This Row],[7]])),LEN(Tabela1[[#This Row],[7]])-LEN(SUBSTITUTE(Tabela1[[#This Row],[7]],",",""))+1,1),"")</f>
        <v/>
      </c>
      <c r="AG237" t="str">
        <f>IF(Tabela1[[#This Row],[8]]&lt;&gt;"",IF(ISNUMBER(FIND(",",Tabela1[[#This Row],[8]])),LEN(Tabela1[[#This Row],[8]])-LEN(SUBSTITUTE(Tabela1[[#This Row],[8]],",",""))+1,1),"")</f>
        <v/>
      </c>
      <c r="AH237" t="str">
        <f>IF(Tabela1[[#This Row],[9]]&lt;&gt;"",IF(ISNUMBER(FIND(",",Tabela1[[#This Row],[9]])),LEN(Tabela1[[#This Row],[9]])-LEN(SUBSTITUTE(Tabela1[[#This Row],[9]],",",""))+1,1),"")</f>
        <v/>
      </c>
      <c r="AI237" t="str">
        <f>IF(Tabela1[[#This Row],[10]]&lt;&gt;"",IF(ISNUMBER(FIND(",",Tabela1[[#This Row],[10]])),LEN(Tabela1[[#This Row],[10]])-LEN(SUBSTITUTE(Tabela1[[#This Row],[10]],",",""))+1,1),"")</f>
        <v/>
      </c>
      <c r="AJ237" t="str">
        <f>IF(Tabela1[[#This Row],[11]]&lt;&gt;"",IF(ISNUMBER(FIND(",",Tabela1[[#This Row],[11]])),LEN(Tabela1[[#This Row],[11]])-LEN(SUBSTITUTE(Tabela1[[#This Row],[11]],",",""))+1,1),"")</f>
        <v/>
      </c>
      <c r="AK237" t="str">
        <f>IF(Tabela1[[#This Row],[12]]&lt;&gt;"",IF(ISNUMBER(FIND(",",Tabela1[[#This Row],[12]])),LEN(Tabela1[[#This Row],[12]])-LEN(SUBSTITUTE(Tabela1[[#This Row],[12]],",",""))+1,1),"")</f>
        <v/>
      </c>
      <c r="AL237" t="str">
        <f>IF(Tabela1[[#This Row],[13]]&lt;&gt;"",IF(ISNUMBER(FIND(",",Tabela1[[#This Row],[13]])),LEN(Tabela1[[#This Row],[13]])-LEN(SUBSTITUTE(Tabela1[[#This Row],[13]],",",""))+1,1),"")</f>
        <v/>
      </c>
      <c r="AM237" t="str">
        <f>IF(Tabela1[[#This Row],[14]]&lt;&gt;"",IF(ISNUMBER(FIND(",",Tabela1[[#This Row],[14]])),LEN(Tabela1[[#This Row],[14]])-LEN(SUBSTITUTE(Tabela1[[#This Row],[14]],",",""))+1,1),"")</f>
        <v/>
      </c>
      <c r="AN237" t="str">
        <f>IF(Tabela1[[#This Row],[15]]&lt;&gt;"",IF(ISNUMBER(FIND(",",Tabela1[[#This Row],[15]])),LEN(Tabela1[[#This Row],[15]])-LEN(SUBSTITUTE(Tabela1[[#This Row],[15]],",",""))+1,1),"")</f>
        <v/>
      </c>
      <c r="AO237" t="str">
        <f>IF(Tabela1[[#This Row],[16]]&lt;&gt;"",IF(ISNUMBER(FIND(",",Tabela1[[#This Row],[16]])),LEN(Tabela1[[#This Row],[16]])-LEN(SUBSTITUTE(Tabela1[[#This Row],[16]],",",""))+1,1),"")</f>
        <v/>
      </c>
      <c r="AP237" t="str">
        <f>IF(Tabela1[[#This Row],[17]]&lt;&gt;"",IF(ISNUMBER(FIND(",",Tabela1[[#This Row],[17]])),LEN(Tabela1[[#This Row],[17]])-LEN(SUBSTITUTE(Tabela1[[#This Row],[17]],",",""))+1,1),"")</f>
        <v/>
      </c>
      <c r="AQ237">
        <f>IF(Tabela1[[#This Row],[18]]&lt;&gt;"",IF(ISNUMBER(FIND(",",Tabela1[[#This Row],[18]])),LEN(Tabela1[[#This Row],[18]])-LEN(SUBSTITUTE(Tabela1[[#This Row],[18]],",",""))+1,1),"")</f>
        <v>1</v>
      </c>
      <c r="AR237" s="13" t="str">
        <f>IF(Tabela1[[#This Row],[19_LENGTH]]&lt;&gt;"",IF(ISNUMBER(FIND(",",Tabela1[[#This Row],[19_LENGTH]])),LEN(Tabela1[[#This Row],[19_LENGTH]])-LEN(SUBSTITUTE(Tabela1[[#This Row],[19_LENGTH]],",",""))+1,1),"")</f>
        <v/>
      </c>
      <c r="AS237" s="21">
        <f>SUM(Tabela1[[#This Row],[1_]:[19_]])</f>
        <v>3</v>
      </c>
    </row>
    <row r="238" spans="1:45" x14ac:dyDescent="0.25">
      <c r="A238" s="27" t="s">
        <v>1322</v>
      </c>
      <c r="B238" s="19" t="s">
        <v>753</v>
      </c>
      <c r="C238" s="19">
        <v>206</v>
      </c>
      <c r="D238" s="19" t="s">
        <v>1300</v>
      </c>
      <c r="E238" s="20">
        <v>43486</v>
      </c>
      <c r="F238" s="19"/>
      <c r="G238" s="19">
        <v>150</v>
      </c>
      <c r="H238" s="19" t="s">
        <v>89</v>
      </c>
      <c r="I238" s="19" t="s">
        <v>90</v>
      </c>
      <c r="J238" s="19">
        <v>120</v>
      </c>
      <c r="K238" s="19"/>
      <c r="L238" s="19"/>
      <c r="M238" s="19"/>
      <c r="N238" s="19"/>
      <c r="O238" s="19"/>
      <c r="P238" s="19"/>
      <c r="Q238" s="19"/>
      <c r="R238" s="19">
        <v>175</v>
      </c>
      <c r="S238" s="19"/>
      <c r="T238" s="19"/>
      <c r="U238" s="19"/>
      <c r="V238" s="19"/>
      <c r="W238" s="19"/>
      <c r="X238" s="19"/>
      <c r="Y238" s="19"/>
      <c r="Z238" t="str">
        <f>IF(Tabela1[[#This Row],[1]]&lt;&gt;"",IF(ISNUMBER(FIND(",",Tabela1[[#This Row],[1]])),LEN(Tabela1[[#This Row],[1]])-LEN(SUBSTITUTE(Tabela1[[#This Row],[1]],",",""))+1,1),"")</f>
        <v/>
      </c>
      <c r="AA238">
        <f>IF(Tabela1[[#This Row],[2]]&lt;&gt;"",IF(ISNUMBER(FIND(",",Tabela1[[#This Row],[2]])),LEN(Tabela1[[#This Row],[2]])-LEN(SUBSTITUTE(Tabela1[[#This Row],[2]],",",""))+1,1),"")</f>
        <v>1</v>
      </c>
      <c r="AB238">
        <f>IF(Tabela1[[#This Row],[3]]&lt;&gt;"",IF(ISNUMBER(FIND(",",Tabela1[[#This Row],[3]])),LEN(Tabela1[[#This Row],[3]])-LEN(SUBSTITUTE(Tabela1[[#This Row],[3]],",",""))+1,1),"")</f>
        <v>2</v>
      </c>
      <c r="AC238">
        <f>IF(Tabela1[[#This Row],[4]]&lt;&gt;"",IF(ISNUMBER(FIND(",",Tabela1[[#This Row],[4]])),LEN(Tabela1[[#This Row],[4]])-LEN(SUBSTITUTE(Tabela1[[#This Row],[4]],",",""))+1,1),"")</f>
        <v>2</v>
      </c>
      <c r="AD238">
        <f>IF(Tabela1[[#This Row],[5]]&lt;&gt;"",IF(ISNUMBER(FIND(",",Tabela1[[#This Row],[5]])),LEN(Tabela1[[#This Row],[5]])-LEN(SUBSTITUTE(Tabela1[[#This Row],[5]],",",""))+1,1),"")</f>
        <v>1</v>
      </c>
      <c r="AE238" t="str">
        <f>IF(Tabela1[[#This Row],[6]]&lt;&gt;"",IF(ISNUMBER(FIND(",",Tabela1[[#This Row],[6]])),LEN(Tabela1[[#This Row],[6]])-LEN(SUBSTITUTE(Tabela1[[#This Row],[6]],",",""))+1,1),"")</f>
        <v/>
      </c>
      <c r="AF238" t="str">
        <f>IF(Tabela1[[#This Row],[7]]&lt;&gt;"",IF(ISNUMBER(FIND(",",Tabela1[[#This Row],[7]])),LEN(Tabela1[[#This Row],[7]])-LEN(SUBSTITUTE(Tabela1[[#This Row],[7]],",",""))+1,1),"")</f>
        <v/>
      </c>
      <c r="AG238" t="str">
        <f>IF(Tabela1[[#This Row],[8]]&lt;&gt;"",IF(ISNUMBER(FIND(",",Tabela1[[#This Row],[8]])),LEN(Tabela1[[#This Row],[8]])-LEN(SUBSTITUTE(Tabela1[[#This Row],[8]],",",""))+1,1),"")</f>
        <v/>
      </c>
      <c r="AH238" t="str">
        <f>IF(Tabela1[[#This Row],[9]]&lt;&gt;"",IF(ISNUMBER(FIND(",",Tabela1[[#This Row],[9]])),LEN(Tabela1[[#This Row],[9]])-LEN(SUBSTITUTE(Tabela1[[#This Row],[9]],",",""))+1,1),"")</f>
        <v/>
      </c>
      <c r="AI238" t="str">
        <f>IF(Tabela1[[#This Row],[10]]&lt;&gt;"",IF(ISNUMBER(FIND(",",Tabela1[[#This Row],[10]])),LEN(Tabela1[[#This Row],[10]])-LEN(SUBSTITUTE(Tabela1[[#This Row],[10]],",",""))+1,1),"")</f>
        <v/>
      </c>
      <c r="AJ238" t="str">
        <f>IF(Tabela1[[#This Row],[11]]&lt;&gt;"",IF(ISNUMBER(FIND(",",Tabela1[[#This Row],[11]])),LEN(Tabela1[[#This Row],[11]])-LEN(SUBSTITUTE(Tabela1[[#This Row],[11]],",",""))+1,1),"")</f>
        <v/>
      </c>
      <c r="AK238" t="str">
        <f>IF(Tabela1[[#This Row],[12]]&lt;&gt;"",IF(ISNUMBER(FIND(",",Tabela1[[#This Row],[12]])),LEN(Tabela1[[#This Row],[12]])-LEN(SUBSTITUTE(Tabela1[[#This Row],[12]],",",""))+1,1),"")</f>
        <v/>
      </c>
      <c r="AL238">
        <f>IF(Tabela1[[#This Row],[13]]&lt;&gt;"",IF(ISNUMBER(FIND(",",Tabela1[[#This Row],[13]])),LEN(Tabela1[[#This Row],[13]])-LEN(SUBSTITUTE(Tabela1[[#This Row],[13]],",",""))+1,1),"")</f>
        <v>1</v>
      </c>
      <c r="AM238" t="str">
        <f>IF(Tabela1[[#This Row],[14]]&lt;&gt;"",IF(ISNUMBER(FIND(",",Tabela1[[#This Row],[14]])),LEN(Tabela1[[#This Row],[14]])-LEN(SUBSTITUTE(Tabela1[[#This Row],[14]],",",""))+1,1),"")</f>
        <v/>
      </c>
      <c r="AN238" t="str">
        <f>IF(Tabela1[[#This Row],[15]]&lt;&gt;"",IF(ISNUMBER(FIND(",",Tabela1[[#This Row],[15]])),LEN(Tabela1[[#This Row],[15]])-LEN(SUBSTITUTE(Tabela1[[#This Row],[15]],",",""))+1,1),"")</f>
        <v/>
      </c>
      <c r="AO238" t="str">
        <f>IF(Tabela1[[#This Row],[16]]&lt;&gt;"",IF(ISNUMBER(FIND(",",Tabela1[[#This Row],[16]])),LEN(Tabela1[[#This Row],[16]])-LEN(SUBSTITUTE(Tabela1[[#This Row],[16]],",",""))+1,1),"")</f>
        <v/>
      </c>
      <c r="AP238" t="str">
        <f>IF(Tabela1[[#This Row],[17]]&lt;&gt;"",IF(ISNUMBER(FIND(",",Tabela1[[#This Row],[17]])),LEN(Tabela1[[#This Row],[17]])-LEN(SUBSTITUTE(Tabela1[[#This Row],[17]],",",""))+1,1),"")</f>
        <v/>
      </c>
      <c r="AQ238" t="str">
        <f>IF(Tabela1[[#This Row],[18]]&lt;&gt;"",IF(ISNUMBER(FIND(",",Tabela1[[#This Row],[18]])),LEN(Tabela1[[#This Row],[18]])-LEN(SUBSTITUTE(Tabela1[[#This Row],[18]],",",""))+1,1),"")</f>
        <v/>
      </c>
      <c r="AR238" s="13" t="str">
        <f>IF(Tabela1[[#This Row],[19_LENGTH]]&lt;&gt;"",IF(ISNUMBER(FIND(",",Tabela1[[#This Row],[19_LENGTH]])),LEN(Tabela1[[#This Row],[19_LENGTH]])-LEN(SUBSTITUTE(Tabela1[[#This Row],[19_LENGTH]],",",""))+1,1),"")</f>
        <v/>
      </c>
      <c r="AS238" s="21">
        <f>SUM(Tabela1[[#This Row],[1_]:[19_]])</f>
        <v>7</v>
      </c>
    </row>
    <row r="239" spans="1:45" x14ac:dyDescent="0.25">
      <c r="A239" s="27" t="s">
        <v>1322</v>
      </c>
      <c r="B239" s="19" t="s">
        <v>754</v>
      </c>
      <c r="C239" s="19">
        <v>202</v>
      </c>
      <c r="D239" s="19" t="s">
        <v>1300</v>
      </c>
      <c r="E239" s="20">
        <v>43486</v>
      </c>
      <c r="F239" s="19"/>
      <c r="G239" s="19">
        <v>11</v>
      </c>
      <c r="H239" s="19"/>
      <c r="I239" s="19">
        <v>136</v>
      </c>
      <c r="J239" s="19"/>
      <c r="K239" s="19"/>
      <c r="L239" s="19"/>
      <c r="M239" s="19"/>
      <c r="N239" s="19"/>
      <c r="O239" s="19"/>
      <c r="P239" s="19"/>
      <c r="Q239" s="19"/>
      <c r="R239" s="19"/>
      <c r="S239" s="19"/>
      <c r="T239" s="19"/>
      <c r="U239" s="19"/>
      <c r="V239" s="19">
        <v>33</v>
      </c>
      <c r="W239" s="19"/>
      <c r="X239" s="19"/>
      <c r="Y239" s="19"/>
      <c r="Z239" t="str">
        <f>IF(Tabela1[[#This Row],[1]]&lt;&gt;"",IF(ISNUMBER(FIND(",",Tabela1[[#This Row],[1]])),LEN(Tabela1[[#This Row],[1]])-LEN(SUBSTITUTE(Tabela1[[#This Row],[1]],",",""))+1,1),"")</f>
        <v/>
      </c>
      <c r="AA239">
        <f>IF(Tabela1[[#This Row],[2]]&lt;&gt;"",IF(ISNUMBER(FIND(",",Tabela1[[#This Row],[2]])),LEN(Tabela1[[#This Row],[2]])-LEN(SUBSTITUTE(Tabela1[[#This Row],[2]],",",""))+1,1),"")</f>
        <v>1</v>
      </c>
      <c r="AB239" t="str">
        <f>IF(Tabela1[[#This Row],[3]]&lt;&gt;"",IF(ISNUMBER(FIND(",",Tabela1[[#This Row],[3]])),LEN(Tabela1[[#This Row],[3]])-LEN(SUBSTITUTE(Tabela1[[#This Row],[3]],",",""))+1,1),"")</f>
        <v/>
      </c>
      <c r="AC239">
        <f>IF(Tabela1[[#This Row],[4]]&lt;&gt;"",IF(ISNUMBER(FIND(",",Tabela1[[#This Row],[4]])),LEN(Tabela1[[#This Row],[4]])-LEN(SUBSTITUTE(Tabela1[[#This Row],[4]],",",""))+1,1),"")</f>
        <v>1</v>
      </c>
      <c r="AD239" t="str">
        <f>IF(Tabela1[[#This Row],[5]]&lt;&gt;"",IF(ISNUMBER(FIND(",",Tabela1[[#This Row],[5]])),LEN(Tabela1[[#This Row],[5]])-LEN(SUBSTITUTE(Tabela1[[#This Row],[5]],",",""))+1,1),"")</f>
        <v/>
      </c>
      <c r="AE239" t="str">
        <f>IF(Tabela1[[#This Row],[6]]&lt;&gt;"",IF(ISNUMBER(FIND(",",Tabela1[[#This Row],[6]])),LEN(Tabela1[[#This Row],[6]])-LEN(SUBSTITUTE(Tabela1[[#This Row],[6]],",",""))+1,1),"")</f>
        <v/>
      </c>
      <c r="AF239" t="str">
        <f>IF(Tabela1[[#This Row],[7]]&lt;&gt;"",IF(ISNUMBER(FIND(",",Tabela1[[#This Row],[7]])),LEN(Tabela1[[#This Row],[7]])-LEN(SUBSTITUTE(Tabela1[[#This Row],[7]],",",""))+1,1),"")</f>
        <v/>
      </c>
      <c r="AG239" t="str">
        <f>IF(Tabela1[[#This Row],[8]]&lt;&gt;"",IF(ISNUMBER(FIND(",",Tabela1[[#This Row],[8]])),LEN(Tabela1[[#This Row],[8]])-LEN(SUBSTITUTE(Tabela1[[#This Row],[8]],",",""))+1,1),"")</f>
        <v/>
      </c>
      <c r="AH239" t="str">
        <f>IF(Tabela1[[#This Row],[9]]&lt;&gt;"",IF(ISNUMBER(FIND(",",Tabela1[[#This Row],[9]])),LEN(Tabela1[[#This Row],[9]])-LEN(SUBSTITUTE(Tabela1[[#This Row],[9]],",",""))+1,1),"")</f>
        <v/>
      </c>
      <c r="AI239" t="str">
        <f>IF(Tabela1[[#This Row],[10]]&lt;&gt;"",IF(ISNUMBER(FIND(",",Tabela1[[#This Row],[10]])),LEN(Tabela1[[#This Row],[10]])-LEN(SUBSTITUTE(Tabela1[[#This Row],[10]],",",""))+1,1),"")</f>
        <v/>
      </c>
      <c r="AJ239" t="str">
        <f>IF(Tabela1[[#This Row],[11]]&lt;&gt;"",IF(ISNUMBER(FIND(",",Tabela1[[#This Row],[11]])),LEN(Tabela1[[#This Row],[11]])-LEN(SUBSTITUTE(Tabela1[[#This Row],[11]],",",""))+1,1),"")</f>
        <v/>
      </c>
      <c r="AK239" t="str">
        <f>IF(Tabela1[[#This Row],[12]]&lt;&gt;"",IF(ISNUMBER(FIND(",",Tabela1[[#This Row],[12]])),LEN(Tabela1[[#This Row],[12]])-LEN(SUBSTITUTE(Tabela1[[#This Row],[12]],",",""))+1,1),"")</f>
        <v/>
      </c>
      <c r="AL239" t="str">
        <f>IF(Tabela1[[#This Row],[13]]&lt;&gt;"",IF(ISNUMBER(FIND(",",Tabela1[[#This Row],[13]])),LEN(Tabela1[[#This Row],[13]])-LEN(SUBSTITUTE(Tabela1[[#This Row],[13]],",",""))+1,1),"")</f>
        <v/>
      </c>
      <c r="AM239" t="str">
        <f>IF(Tabela1[[#This Row],[14]]&lt;&gt;"",IF(ISNUMBER(FIND(",",Tabela1[[#This Row],[14]])),LEN(Tabela1[[#This Row],[14]])-LEN(SUBSTITUTE(Tabela1[[#This Row],[14]],",",""))+1,1),"")</f>
        <v/>
      </c>
      <c r="AN239" t="str">
        <f>IF(Tabela1[[#This Row],[15]]&lt;&gt;"",IF(ISNUMBER(FIND(",",Tabela1[[#This Row],[15]])),LEN(Tabela1[[#This Row],[15]])-LEN(SUBSTITUTE(Tabela1[[#This Row],[15]],",",""))+1,1),"")</f>
        <v/>
      </c>
      <c r="AO239" t="str">
        <f>IF(Tabela1[[#This Row],[16]]&lt;&gt;"",IF(ISNUMBER(FIND(",",Tabela1[[#This Row],[16]])),LEN(Tabela1[[#This Row],[16]])-LEN(SUBSTITUTE(Tabela1[[#This Row],[16]],",",""))+1,1),"")</f>
        <v/>
      </c>
      <c r="AP239">
        <f>IF(Tabela1[[#This Row],[17]]&lt;&gt;"",IF(ISNUMBER(FIND(",",Tabela1[[#This Row],[17]])),LEN(Tabela1[[#This Row],[17]])-LEN(SUBSTITUTE(Tabela1[[#This Row],[17]],",",""))+1,1),"")</f>
        <v>1</v>
      </c>
      <c r="AQ239" t="str">
        <f>IF(Tabela1[[#This Row],[18]]&lt;&gt;"",IF(ISNUMBER(FIND(",",Tabela1[[#This Row],[18]])),LEN(Tabela1[[#This Row],[18]])-LEN(SUBSTITUTE(Tabela1[[#This Row],[18]],",",""))+1,1),"")</f>
        <v/>
      </c>
      <c r="AR239" s="13" t="str">
        <f>IF(Tabela1[[#This Row],[19_LENGTH]]&lt;&gt;"",IF(ISNUMBER(FIND(",",Tabela1[[#This Row],[19_LENGTH]])),LEN(Tabela1[[#This Row],[19_LENGTH]])-LEN(SUBSTITUTE(Tabela1[[#This Row],[19_LENGTH]],",",""))+1,1),"")</f>
        <v/>
      </c>
      <c r="AS239" s="21">
        <f>SUM(Tabela1[[#This Row],[1_]:[19_]])</f>
        <v>3</v>
      </c>
    </row>
    <row r="240" spans="1:45" x14ac:dyDescent="0.25">
      <c r="A240" s="27" t="s">
        <v>1322</v>
      </c>
      <c r="B240" s="19" t="s">
        <v>755</v>
      </c>
      <c r="C240" s="19">
        <v>202</v>
      </c>
      <c r="D240" s="19" t="s">
        <v>1300</v>
      </c>
      <c r="E240" s="20">
        <v>43486</v>
      </c>
      <c r="F240" s="19"/>
      <c r="G240" s="19"/>
      <c r="H240" s="19">
        <v>2</v>
      </c>
      <c r="I240" s="19"/>
      <c r="J240" s="19">
        <v>149</v>
      </c>
      <c r="K240" s="19"/>
      <c r="L240" s="19"/>
      <c r="M240" s="19"/>
      <c r="N240" s="19"/>
      <c r="O240" s="19"/>
      <c r="P240" s="19"/>
      <c r="Q240" s="19"/>
      <c r="R240" s="19"/>
      <c r="S240" s="19"/>
      <c r="T240" s="19"/>
      <c r="U240" s="19"/>
      <c r="V240" s="19"/>
      <c r="W240" s="19"/>
      <c r="X240" s="19"/>
      <c r="Y240" s="19"/>
      <c r="Z240" t="str">
        <f>IF(Tabela1[[#This Row],[1]]&lt;&gt;"",IF(ISNUMBER(FIND(",",Tabela1[[#This Row],[1]])),LEN(Tabela1[[#This Row],[1]])-LEN(SUBSTITUTE(Tabela1[[#This Row],[1]],",",""))+1,1),"")</f>
        <v/>
      </c>
      <c r="AA240" t="str">
        <f>IF(Tabela1[[#This Row],[2]]&lt;&gt;"",IF(ISNUMBER(FIND(",",Tabela1[[#This Row],[2]])),LEN(Tabela1[[#This Row],[2]])-LEN(SUBSTITUTE(Tabela1[[#This Row],[2]],",",""))+1,1),"")</f>
        <v/>
      </c>
      <c r="AB240">
        <f>IF(Tabela1[[#This Row],[3]]&lt;&gt;"",IF(ISNUMBER(FIND(",",Tabela1[[#This Row],[3]])),LEN(Tabela1[[#This Row],[3]])-LEN(SUBSTITUTE(Tabela1[[#This Row],[3]],",",""))+1,1),"")</f>
        <v>1</v>
      </c>
      <c r="AC240" t="str">
        <f>IF(Tabela1[[#This Row],[4]]&lt;&gt;"",IF(ISNUMBER(FIND(",",Tabela1[[#This Row],[4]])),LEN(Tabela1[[#This Row],[4]])-LEN(SUBSTITUTE(Tabela1[[#This Row],[4]],",",""))+1,1),"")</f>
        <v/>
      </c>
      <c r="AD240">
        <f>IF(Tabela1[[#This Row],[5]]&lt;&gt;"",IF(ISNUMBER(FIND(",",Tabela1[[#This Row],[5]])),LEN(Tabela1[[#This Row],[5]])-LEN(SUBSTITUTE(Tabela1[[#This Row],[5]],",",""))+1,1),"")</f>
        <v>1</v>
      </c>
      <c r="AE240" t="str">
        <f>IF(Tabela1[[#This Row],[6]]&lt;&gt;"",IF(ISNUMBER(FIND(",",Tabela1[[#This Row],[6]])),LEN(Tabela1[[#This Row],[6]])-LEN(SUBSTITUTE(Tabela1[[#This Row],[6]],",",""))+1,1),"")</f>
        <v/>
      </c>
      <c r="AF240" t="str">
        <f>IF(Tabela1[[#This Row],[7]]&lt;&gt;"",IF(ISNUMBER(FIND(",",Tabela1[[#This Row],[7]])),LEN(Tabela1[[#This Row],[7]])-LEN(SUBSTITUTE(Tabela1[[#This Row],[7]],",",""))+1,1),"")</f>
        <v/>
      </c>
      <c r="AG240" t="str">
        <f>IF(Tabela1[[#This Row],[8]]&lt;&gt;"",IF(ISNUMBER(FIND(",",Tabela1[[#This Row],[8]])),LEN(Tabela1[[#This Row],[8]])-LEN(SUBSTITUTE(Tabela1[[#This Row],[8]],",",""))+1,1),"")</f>
        <v/>
      </c>
      <c r="AH240" t="str">
        <f>IF(Tabela1[[#This Row],[9]]&lt;&gt;"",IF(ISNUMBER(FIND(",",Tabela1[[#This Row],[9]])),LEN(Tabela1[[#This Row],[9]])-LEN(SUBSTITUTE(Tabela1[[#This Row],[9]],",",""))+1,1),"")</f>
        <v/>
      </c>
      <c r="AI240" t="str">
        <f>IF(Tabela1[[#This Row],[10]]&lt;&gt;"",IF(ISNUMBER(FIND(",",Tabela1[[#This Row],[10]])),LEN(Tabela1[[#This Row],[10]])-LEN(SUBSTITUTE(Tabela1[[#This Row],[10]],",",""))+1,1),"")</f>
        <v/>
      </c>
      <c r="AJ240" t="str">
        <f>IF(Tabela1[[#This Row],[11]]&lt;&gt;"",IF(ISNUMBER(FIND(",",Tabela1[[#This Row],[11]])),LEN(Tabela1[[#This Row],[11]])-LEN(SUBSTITUTE(Tabela1[[#This Row],[11]],",",""))+1,1),"")</f>
        <v/>
      </c>
      <c r="AK240" t="str">
        <f>IF(Tabela1[[#This Row],[12]]&lt;&gt;"",IF(ISNUMBER(FIND(",",Tabela1[[#This Row],[12]])),LEN(Tabela1[[#This Row],[12]])-LEN(SUBSTITUTE(Tabela1[[#This Row],[12]],",",""))+1,1),"")</f>
        <v/>
      </c>
      <c r="AL240" t="str">
        <f>IF(Tabela1[[#This Row],[13]]&lt;&gt;"",IF(ISNUMBER(FIND(",",Tabela1[[#This Row],[13]])),LEN(Tabela1[[#This Row],[13]])-LEN(SUBSTITUTE(Tabela1[[#This Row],[13]],",",""))+1,1),"")</f>
        <v/>
      </c>
      <c r="AM240" t="str">
        <f>IF(Tabela1[[#This Row],[14]]&lt;&gt;"",IF(ISNUMBER(FIND(",",Tabela1[[#This Row],[14]])),LEN(Tabela1[[#This Row],[14]])-LEN(SUBSTITUTE(Tabela1[[#This Row],[14]],",",""))+1,1),"")</f>
        <v/>
      </c>
      <c r="AN240" t="str">
        <f>IF(Tabela1[[#This Row],[15]]&lt;&gt;"",IF(ISNUMBER(FIND(",",Tabela1[[#This Row],[15]])),LEN(Tabela1[[#This Row],[15]])-LEN(SUBSTITUTE(Tabela1[[#This Row],[15]],",",""))+1,1),"")</f>
        <v/>
      </c>
      <c r="AO240" t="str">
        <f>IF(Tabela1[[#This Row],[16]]&lt;&gt;"",IF(ISNUMBER(FIND(",",Tabela1[[#This Row],[16]])),LEN(Tabela1[[#This Row],[16]])-LEN(SUBSTITUTE(Tabela1[[#This Row],[16]],",",""))+1,1),"")</f>
        <v/>
      </c>
      <c r="AP240" t="str">
        <f>IF(Tabela1[[#This Row],[17]]&lt;&gt;"",IF(ISNUMBER(FIND(",",Tabela1[[#This Row],[17]])),LEN(Tabela1[[#This Row],[17]])-LEN(SUBSTITUTE(Tabela1[[#This Row],[17]],",",""))+1,1),"")</f>
        <v/>
      </c>
      <c r="AQ240" t="str">
        <f>IF(Tabela1[[#This Row],[18]]&lt;&gt;"",IF(ISNUMBER(FIND(",",Tabela1[[#This Row],[18]])),LEN(Tabela1[[#This Row],[18]])-LEN(SUBSTITUTE(Tabela1[[#This Row],[18]],",",""))+1,1),"")</f>
        <v/>
      </c>
      <c r="AR240" s="13" t="str">
        <f>IF(Tabela1[[#This Row],[19_LENGTH]]&lt;&gt;"",IF(ISNUMBER(FIND(",",Tabela1[[#This Row],[19_LENGTH]])),LEN(Tabela1[[#This Row],[19_LENGTH]])-LEN(SUBSTITUTE(Tabela1[[#This Row],[19_LENGTH]],",",""))+1,1),"")</f>
        <v/>
      </c>
      <c r="AS240" s="21">
        <f>SUM(Tabela1[[#This Row],[1_]:[19_]])</f>
        <v>2</v>
      </c>
    </row>
    <row r="241" spans="1:45" x14ac:dyDescent="0.25">
      <c r="A241" s="27" t="s">
        <v>1322</v>
      </c>
      <c r="B241" s="19" t="s">
        <v>756</v>
      </c>
      <c r="C241" s="19">
        <v>202</v>
      </c>
      <c r="D241" s="19" t="s">
        <v>1300</v>
      </c>
      <c r="E241" s="20">
        <v>43486</v>
      </c>
      <c r="F241" s="19"/>
      <c r="G241" s="19"/>
      <c r="H241" s="19"/>
      <c r="I241" s="19" t="s">
        <v>91</v>
      </c>
      <c r="J241" s="19"/>
      <c r="K241" s="19"/>
      <c r="L241" s="19"/>
      <c r="M241" s="19"/>
      <c r="N241" s="19"/>
      <c r="O241" s="19"/>
      <c r="P241" s="19"/>
      <c r="Q241" s="19"/>
      <c r="R241" s="19"/>
      <c r="S241" s="19"/>
      <c r="T241" s="19"/>
      <c r="U241" s="19">
        <v>20</v>
      </c>
      <c r="V241" s="19"/>
      <c r="W241" s="19"/>
      <c r="X241" s="19"/>
      <c r="Y241" s="19"/>
      <c r="Z241" t="str">
        <f>IF(Tabela1[[#This Row],[1]]&lt;&gt;"",IF(ISNUMBER(FIND(",",Tabela1[[#This Row],[1]])),LEN(Tabela1[[#This Row],[1]])-LEN(SUBSTITUTE(Tabela1[[#This Row],[1]],",",""))+1,1),"")</f>
        <v/>
      </c>
      <c r="AA241" t="str">
        <f>IF(Tabela1[[#This Row],[2]]&lt;&gt;"",IF(ISNUMBER(FIND(",",Tabela1[[#This Row],[2]])),LEN(Tabela1[[#This Row],[2]])-LEN(SUBSTITUTE(Tabela1[[#This Row],[2]],",",""))+1,1),"")</f>
        <v/>
      </c>
      <c r="AB241" t="str">
        <f>IF(Tabela1[[#This Row],[3]]&lt;&gt;"",IF(ISNUMBER(FIND(",",Tabela1[[#This Row],[3]])),LEN(Tabela1[[#This Row],[3]])-LEN(SUBSTITUTE(Tabela1[[#This Row],[3]],",",""))+1,1),"")</f>
        <v/>
      </c>
      <c r="AC241">
        <f>IF(Tabela1[[#This Row],[4]]&lt;&gt;"",IF(ISNUMBER(FIND(",",Tabela1[[#This Row],[4]])),LEN(Tabela1[[#This Row],[4]])-LEN(SUBSTITUTE(Tabela1[[#This Row],[4]],",",""))+1,1),"")</f>
        <v>3</v>
      </c>
      <c r="AD241" t="str">
        <f>IF(Tabela1[[#This Row],[5]]&lt;&gt;"",IF(ISNUMBER(FIND(",",Tabela1[[#This Row],[5]])),LEN(Tabela1[[#This Row],[5]])-LEN(SUBSTITUTE(Tabela1[[#This Row],[5]],",",""))+1,1),"")</f>
        <v/>
      </c>
      <c r="AE241" t="str">
        <f>IF(Tabela1[[#This Row],[6]]&lt;&gt;"",IF(ISNUMBER(FIND(",",Tabela1[[#This Row],[6]])),LEN(Tabela1[[#This Row],[6]])-LEN(SUBSTITUTE(Tabela1[[#This Row],[6]],",",""))+1,1),"")</f>
        <v/>
      </c>
      <c r="AF241" t="str">
        <f>IF(Tabela1[[#This Row],[7]]&lt;&gt;"",IF(ISNUMBER(FIND(",",Tabela1[[#This Row],[7]])),LEN(Tabela1[[#This Row],[7]])-LEN(SUBSTITUTE(Tabela1[[#This Row],[7]],",",""))+1,1),"")</f>
        <v/>
      </c>
      <c r="AG241" t="str">
        <f>IF(Tabela1[[#This Row],[8]]&lt;&gt;"",IF(ISNUMBER(FIND(",",Tabela1[[#This Row],[8]])),LEN(Tabela1[[#This Row],[8]])-LEN(SUBSTITUTE(Tabela1[[#This Row],[8]],",",""))+1,1),"")</f>
        <v/>
      </c>
      <c r="AH241" t="str">
        <f>IF(Tabela1[[#This Row],[9]]&lt;&gt;"",IF(ISNUMBER(FIND(",",Tabela1[[#This Row],[9]])),LEN(Tabela1[[#This Row],[9]])-LEN(SUBSTITUTE(Tabela1[[#This Row],[9]],",",""))+1,1),"")</f>
        <v/>
      </c>
      <c r="AI241" t="str">
        <f>IF(Tabela1[[#This Row],[10]]&lt;&gt;"",IF(ISNUMBER(FIND(",",Tabela1[[#This Row],[10]])),LEN(Tabela1[[#This Row],[10]])-LEN(SUBSTITUTE(Tabela1[[#This Row],[10]],",",""))+1,1),"")</f>
        <v/>
      </c>
      <c r="AJ241" t="str">
        <f>IF(Tabela1[[#This Row],[11]]&lt;&gt;"",IF(ISNUMBER(FIND(",",Tabela1[[#This Row],[11]])),LEN(Tabela1[[#This Row],[11]])-LEN(SUBSTITUTE(Tabela1[[#This Row],[11]],",",""))+1,1),"")</f>
        <v/>
      </c>
      <c r="AK241" t="str">
        <f>IF(Tabela1[[#This Row],[12]]&lt;&gt;"",IF(ISNUMBER(FIND(",",Tabela1[[#This Row],[12]])),LEN(Tabela1[[#This Row],[12]])-LEN(SUBSTITUTE(Tabela1[[#This Row],[12]],",",""))+1,1),"")</f>
        <v/>
      </c>
      <c r="AL241" t="str">
        <f>IF(Tabela1[[#This Row],[13]]&lt;&gt;"",IF(ISNUMBER(FIND(",",Tabela1[[#This Row],[13]])),LEN(Tabela1[[#This Row],[13]])-LEN(SUBSTITUTE(Tabela1[[#This Row],[13]],",",""))+1,1),"")</f>
        <v/>
      </c>
      <c r="AM241" t="str">
        <f>IF(Tabela1[[#This Row],[14]]&lt;&gt;"",IF(ISNUMBER(FIND(",",Tabela1[[#This Row],[14]])),LEN(Tabela1[[#This Row],[14]])-LEN(SUBSTITUTE(Tabela1[[#This Row],[14]],",",""))+1,1),"")</f>
        <v/>
      </c>
      <c r="AN241" t="str">
        <f>IF(Tabela1[[#This Row],[15]]&lt;&gt;"",IF(ISNUMBER(FIND(",",Tabela1[[#This Row],[15]])),LEN(Tabela1[[#This Row],[15]])-LEN(SUBSTITUTE(Tabela1[[#This Row],[15]],",",""))+1,1),"")</f>
        <v/>
      </c>
      <c r="AO241">
        <f>IF(Tabela1[[#This Row],[16]]&lt;&gt;"",IF(ISNUMBER(FIND(",",Tabela1[[#This Row],[16]])),LEN(Tabela1[[#This Row],[16]])-LEN(SUBSTITUTE(Tabela1[[#This Row],[16]],",",""))+1,1),"")</f>
        <v>1</v>
      </c>
      <c r="AP241" t="str">
        <f>IF(Tabela1[[#This Row],[17]]&lt;&gt;"",IF(ISNUMBER(FIND(",",Tabela1[[#This Row],[17]])),LEN(Tabela1[[#This Row],[17]])-LEN(SUBSTITUTE(Tabela1[[#This Row],[17]],",",""))+1,1),"")</f>
        <v/>
      </c>
      <c r="AQ241" t="str">
        <f>IF(Tabela1[[#This Row],[18]]&lt;&gt;"",IF(ISNUMBER(FIND(",",Tabela1[[#This Row],[18]])),LEN(Tabela1[[#This Row],[18]])-LEN(SUBSTITUTE(Tabela1[[#This Row],[18]],",",""))+1,1),"")</f>
        <v/>
      </c>
      <c r="AR241" s="13" t="str">
        <f>IF(Tabela1[[#This Row],[19_LENGTH]]&lt;&gt;"",IF(ISNUMBER(FIND(",",Tabela1[[#This Row],[19_LENGTH]])),LEN(Tabela1[[#This Row],[19_LENGTH]])-LEN(SUBSTITUTE(Tabela1[[#This Row],[19_LENGTH]],",",""))+1,1),"")</f>
        <v/>
      </c>
      <c r="AS241" s="21">
        <f>SUM(Tabela1[[#This Row],[1_]:[19_]])</f>
        <v>4</v>
      </c>
    </row>
    <row r="242" spans="1:45" x14ac:dyDescent="0.25">
      <c r="A242" s="27" t="s">
        <v>1322</v>
      </c>
      <c r="B242" s="19" t="s">
        <v>426</v>
      </c>
      <c r="C242" s="19">
        <v>58</v>
      </c>
      <c r="D242" s="19" t="s">
        <v>1298</v>
      </c>
      <c r="E242" s="20">
        <v>43486</v>
      </c>
      <c r="F242" s="19"/>
      <c r="G242" s="19">
        <v>14</v>
      </c>
      <c r="H242" s="19"/>
      <c r="I242" s="19"/>
      <c r="J242" s="19"/>
      <c r="K242" s="19"/>
      <c r="L242" s="19"/>
      <c r="M242" s="19"/>
      <c r="N242" s="19"/>
      <c r="O242" s="19"/>
      <c r="P242" s="19"/>
      <c r="Q242" s="19"/>
      <c r="R242" s="19"/>
      <c r="S242" s="19"/>
      <c r="T242" s="19"/>
      <c r="U242" s="19"/>
      <c r="V242" s="19"/>
      <c r="W242" s="19"/>
      <c r="X242" s="19"/>
      <c r="Y242" s="19"/>
      <c r="Z242" t="str">
        <f>IF(Tabela1[[#This Row],[1]]&lt;&gt;"",IF(ISNUMBER(FIND(",",Tabela1[[#This Row],[1]])),LEN(Tabela1[[#This Row],[1]])-LEN(SUBSTITUTE(Tabela1[[#This Row],[1]],",",""))+1,1),"")</f>
        <v/>
      </c>
      <c r="AA242">
        <f>IF(Tabela1[[#This Row],[2]]&lt;&gt;"",IF(ISNUMBER(FIND(",",Tabela1[[#This Row],[2]])),LEN(Tabela1[[#This Row],[2]])-LEN(SUBSTITUTE(Tabela1[[#This Row],[2]],",",""))+1,1),"")</f>
        <v>1</v>
      </c>
      <c r="AB242" t="str">
        <f>IF(Tabela1[[#This Row],[3]]&lt;&gt;"",IF(ISNUMBER(FIND(",",Tabela1[[#This Row],[3]])),LEN(Tabela1[[#This Row],[3]])-LEN(SUBSTITUTE(Tabela1[[#This Row],[3]],",",""))+1,1),"")</f>
        <v/>
      </c>
      <c r="AC242" t="str">
        <f>IF(Tabela1[[#This Row],[4]]&lt;&gt;"",IF(ISNUMBER(FIND(",",Tabela1[[#This Row],[4]])),LEN(Tabela1[[#This Row],[4]])-LEN(SUBSTITUTE(Tabela1[[#This Row],[4]],",",""))+1,1),"")</f>
        <v/>
      </c>
      <c r="AD242" t="str">
        <f>IF(Tabela1[[#This Row],[5]]&lt;&gt;"",IF(ISNUMBER(FIND(",",Tabela1[[#This Row],[5]])),LEN(Tabela1[[#This Row],[5]])-LEN(SUBSTITUTE(Tabela1[[#This Row],[5]],",",""))+1,1),"")</f>
        <v/>
      </c>
      <c r="AE242" t="str">
        <f>IF(Tabela1[[#This Row],[6]]&lt;&gt;"",IF(ISNUMBER(FIND(",",Tabela1[[#This Row],[6]])),LEN(Tabela1[[#This Row],[6]])-LEN(SUBSTITUTE(Tabela1[[#This Row],[6]],",",""))+1,1),"")</f>
        <v/>
      </c>
      <c r="AF242" t="str">
        <f>IF(Tabela1[[#This Row],[7]]&lt;&gt;"",IF(ISNUMBER(FIND(",",Tabela1[[#This Row],[7]])),LEN(Tabela1[[#This Row],[7]])-LEN(SUBSTITUTE(Tabela1[[#This Row],[7]],",",""))+1,1),"")</f>
        <v/>
      </c>
      <c r="AG242" t="str">
        <f>IF(Tabela1[[#This Row],[8]]&lt;&gt;"",IF(ISNUMBER(FIND(",",Tabela1[[#This Row],[8]])),LEN(Tabela1[[#This Row],[8]])-LEN(SUBSTITUTE(Tabela1[[#This Row],[8]],",",""))+1,1),"")</f>
        <v/>
      </c>
      <c r="AH242" t="str">
        <f>IF(Tabela1[[#This Row],[9]]&lt;&gt;"",IF(ISNUMBER(FIND(",",Tabela1[[#This Row],[9]])),LEN(Tabela1[[#This Row],[9]])-LEN(SUBSTITUTE(Tabela1[[#This Row],[9]],",",""))+1,1),"")</f>
        <v/>
      </c>
      <c r="AI242" t="str">
        <f>IF(Tabela1[[#This Row],[10]]&lt;&gt;"",IF(ISNUMBER(FIND(",",Tabela1[[#This Row],[10]])),LEN(Tabela1[[#This Row],[10]])-LEN(SUBSTITUTE(Tabela1[[#This Row],[10]],",",""))+1,1),"")</f>
        <v/>
      </c>
      <c r="AJ242" t="str">
        <f>IF(Tabela1[[#This Row],[11]]&lt;&gt;"",IF(ISNUMBER(FIND(",",Tabela1[[#This Row],[11]])),LEN(Tabela1[[#This Row],[11]])-LEN(SUBSTITUTE(Tabela1[[#This Row],[11]],",",""))+1,1),"")</f>
        <v/>
      </c>
      <c r="AK242" t="str">
        <f>IF(Tabela1[[#This Row],[12]]&lt;&gt;"",IF(ISNUMBER(FIND(",",Tabela1[[#This Row],[12]])),LEN(Tabela1[[#This Row],[12]])-LEN(SUBSTITUTE(Tabela1[[#This Row],[12]],",",""))+1,1),"")</f>
        <v/>
      </c>
      <c r="AL242" t="str">
        <f>IF(Tabela1[[#This Row],[13]]&lt;&gt;"",IF(ISNUMBER(FIND(",",Tabela1[[#This Row],[13]])),LEN(Tabela1[[#This Row],[13]])-LEN(SUBSTITUTE(Tabela1[[#This Row],[13]],",",""))+1,1),"")</f>
        <v/>
      </c>
      <c r="AM242" t="str">
        <f>IF(Tabela1[[#This Row],[14]]&lt;&gt;"",IF(ISNUMBER(FIND(",",Tabela1[[#This Row],[14]])),LEN(Tabela1[[#This Row],[14]])-LEN(SUBSTITUTE(Tabela1[[#This Row],[14]],",",""))+1,1),"")</f>
        <v/>
      </c>
      <c r="AN242" t="str">
        <f>IF(Tabela1[[#This Row],[15]]&lt;&gt;"",IF(ISNUMBER(FIND(",",Tabela1[[#This Row],[15]])),LEN(Tabela1[[#This Row],[15]])-LEN(SUBSTITUTE(Tabela1[[#This Row],[15]],",",""))+1,1),"")</f>
        <v/>
      </c>
      <c r="AO242" t="str">
        <f>IF(Tabela1[[#This Row],[16]]&lt;&gt;"",IF(ISNUMBER(FIND(",",Tabela1[[#This Row],[16]])),LEN(Tabela1[[#This Row],[16]])-LEN(SUBSTITUTE(Tabela1[[#This Row],[16]],",",""))+1,1),"")</f>
        <v/>
      </c>
      <c r="AP242" t="str">
        <f>IF(Tabela1[[#This Row],[17]]&lt;&gt;"",IF(ISNUMBER(FIND(",",Tabela1[[#This Row],[17]])),LEN(Tabela1[[#This Row],[17]])-LEN(SUBSTITUTE(Tabela1[[#This Row],[17]],",",""))+1,1),"")</f>
        <v/>
      </c>
      <c r="AQ242" t="str">
        <f>IF(Tabela1[[#This Row],[18]]&lt;&gt;"",IF(ISNUMBER(FIND(",",Tabela1[[#This Row],[18]])),LEN(Tabela1[[#This Row],[18]])-LEN(SUBSTITUTE(Tabela1[[#This Row],[18]],",",""))+1,1),"")</f>
        <v/>
      </c>
      <c r="AR242" s="13" t="str">
        <f>IF(Tabela1[[#This Row],[19_LENGTH]]&lt;&gt;"",IF(ISNUMBER(FIND(",",Tabela1[[#This Row],[19_LENGTH]])),LEN(Tabela1[[#This Row],[19_LENGTH]])-LEN(SUBSTITUTE(Tabela1[[#This Row],[19_LENGTH]],",",""))+1,1),"")</f>
        <v/>
      </c>
      <c r="AS242" s="21">
        <f>SUM(Tabela1[[#This Row],[1_]:[19_]])</f>
        <v>1</v>
      </c>
    </row>
    <row r="243" spans="1:45" x14ac:dyDescent="0.25">
      <c r="A243" s="27" t="s">
        <v>1322</v>
      </c>
      <c r="B243" s="19" t="s">
        <v>427</v>
      </c>
      <c r="C243" s="19">
        <v>202</v>
      </c>
      <c r="D243" s="19" t="s">
        <v>1298</v>
      </c>
      <c r="E243" s="20">
        <v>43486</v>
      </c>
      <c r="F243" s="19"/>
      <c r="G243" s="19"/>
      <c r="H243" s="19"/>
      <c r="I243" s="19"/>
      <c r="J243" s="19">
        <v>124</v>
      </c>
      <c r="K243" s="19"/>
      <c r="L243" s="19"/>
      <c r="M243" s="19"/>
      <c r="N243" s="19"/>
      <c r="O243" s="19"/>
      <c r="P243" s="19"/>
      <c r="Q243" s="19"/>
      <c r="R243" s="19"/>
      <c r="S243" s="19"/>
      <c r="T243" s="19"/>
      <c r="U243" s="19" t="s">
        <v>92</v>
      </c>
      <c r="V243" s="19"/>
      <c r="W243" s="19"/>
      <c r="X243" s="19"/>
      <c r="Y243" s="19"/>
      <c r="Z243" t="str">
        <f>IF(Tabela1[[#This Row],[1]]&lt;&gt;"",IF(ISNUMBER(FIND(",",Tabela1[[#This Row],[1]])),LEN(Tabela1[[#This Row],[1]])-LEN(SUBSTITUTE(Tabela1[[#This Row],[1]],",",""))+1,1),"")</f>
        <v/>
      </c>
      <c r="AA243" t="str">
        <f>IF(Tabela1[[#This Row],[2]]&lt;&gt;"",IF(ISNUMBER(FIND(",",Tabela1[[#This Row],[2]])),LEN(Tabela1[[#This Row],[2]])-LEN(SUBSTITUTE(Tabela1[[#This Row],[2]],",",""))+1,1),"")</f>
        <v/>
      </c>
      <c r="AB243" t="str">
        <f>IF(Tabela1[[#This Row],[3]]&lt;&gt;"",IF(ISNUMBER(FIND(",",Tabela1[[#This Row],[3]])),LEN(Tabela1[[#This Row],[3]])-LEN(SUBSTITUTE(Tabela1[[#This Row],[3]],",",""))+1,1),"")</f>
        <v/>
      </c>
      <c r="AC243" t="str">
        <f>IF(Tabela1[[#This Row],[4]]&lt;&gt;"",IF(ISNUMBER(FIND(",",Tabela1[[#This Row],[4]])),LEN(Tabela1[[#This Row],[4]])-LEN(SUBSTITUTE(Tabela1[[#This Row],[4]],",",""))+1,1),"")</f>
        <v/>
      </c>
      <c r="AD243">
        <f>IF(Tabela1[[#This Row],[5]]&lt;&gt;"",IF(ISNUMBER(FIND(",",Tabela1[[#This Row],[5]])),LEN(Tabela1[[#This Row],[5]])-LEN(SUBSTITUTE(Tabela1[[#This Row],[5]],",",""))+1,1),"")</f>
        <v>1</v>
      </c>
      <c r="AE243" t="str">
        <f>IF(Tabela1[[#This Row],[6]]&lt;&gt;"",IF(ISNUMBER(FIND(",",Tabela1[[#This Row],[6]])),LEN(Tabela1[[#This Row],[6]])-LEN(SUBSTITUTE(Tabela1[[#This Row],[6]],",",""))+1,1),"")</f>
        <v/>
      </c>
      <c r="AF243" t="str">
        <f>IF(Tabela1[[#This Row],[7]]&lt;&gt;"",IF(ISNUMBER(FIND(",",Tabela1[[#This Row],[7]])),LEN(Tabela1[[#This Row],[7]])-LEN(SUBSTITUTE(Tabela1[[#This Row],[7]],",",""))+1,1),"")</f>
        <v/>
      </c>
      <c r="AG243" t="str">
        <f>IF(Tabela1[[#This Row],[8]]&lt;&gt;"",IF(ISNUMBER(FIND(",",Tabela1[[#This Row],[8]])),LEN(Tabela1[[#This Row],[8]])-LEN(SUBSTITUTE(Tabela1[[#This Row],[8]],",",""))+1,1),"")</f>
        <v/>
      </c>
      <c r="AH243" t="str">
        <f>IF(Tabela1[[#This Row],[9]]&lt;&gt;"",IF(ISNUMBER(FIND(",",Tabela1[[#This Row],[9]])),LEN(Tabela1[[#This Row],[9]])-LEN(SUBSTITUTE(Tabela1[[#This Row],[9]],",",""))+1,1),"")</f>
        <v/>
      </c>
      <c r="AI243" t="str">
        <f>IF(Tabela1[[#This Row],[10]]&lt;&gt;"",IF(ISNUMBER(FIND(",",Tabela1[[#This Row],[10]])),LEN(Tabela1[[#This Row],[10]])-LEN(SUBSTITUTE(Tabela1[[#This Row],[10]],",",""))+1,1),"")</f>
        <v/>
      </c>
      <c r="AJ243" t="str">
        <f>IF(Tabela1[[#This Row],[11]]&lt;&gt;"",IF(ISNUMBER(FIND(",",Tabela1[[#This Row],[11]])),LEN(Tabela1[[#This Row],[11]])-LEN(SUBSTITUTE(Tabela1[[#This Row],[11]],",",""))+1,1),"")</f>
        <v/>
      </c>
      <c r="AK243" t="str">
        <f>IF(Tabela1[[#This Row],[12]]&lt;&gt;"",IF(ISNUMBER(FIND(",",Tabela1[[#This Row],[12]])),LEN(Tabela1[[#This Row],[12]])-LEN(SUBSTITUTE(Tabela1[[#This Row],[12]],",",""))+1,1),"")</f>
        <v/>
      </c>
      <c r="AL243" t="str">
        <f>IF(Tabela1[[#This Row],[13]]&lt;&gt;"",IF(ISNUMBER(FIND(",",Tabela1[[#This Row],[13]])),LEN(Tabela1[[#This Row],[13]])-LEN(SUBSTITUTE(Tabela1[[#This Row],[13]],",",""))+1,1),"")</f>
        <v/>
      </c>
      <c r="AM243" t="str">
        <f>IF(Tabela1[[#This Row],[14]]&lt;&gt;"",IF(ISNUMBER(FIND(",",Tabela1[[#This Row],[14]])),LEN(Tabela1[[#This Row],[14]])-LEN(SUBSTITUTE(Tabela1[[#This Row],[14]],",",""))+1,1),"")</f>
        <v/>
      </c>
      <c r="AN243" t="str">
        <f>IF(Tabela1[[#This Row],[15]]&lt;&gt;"",IF(ISNUMBER(FIND(",",Tabela1[[#This Row],[15]])),LEN(Tabela1[[#This Row],[15]])-LEN(SUBSTITUTE(Tabela1[[#This Row],[15]],",",""))+1,1),"")</f>
        <v/>
      </c>
      <c r="AO243">
        <f>IF(Tabela1[[#This Row],[16]]&lt;&gt;"",IF(ISNUMBER(FIND(",",Tabela1[[#This Row],[16]])),LEN(Tabela1[[#This Row],[16]])-LEN(SUBSTITUTE(Tabela1[[#This Row],[16]],",",""))+1,1),"")</f>
        <v>2</v>
      </c>
      <c r="AP243" t="str">
        <f>IF(Tabela1[[#This Row],[17]]&lt;&gt;"",IF(ISNUMBER(FIND(",",Tabela1[[#This Row],[17]])),LEN(Tabela1[[#This Row],[17]])-LEN(SUBSTITUTE(Tabela1[[#This Row],[17]],",",""))+1,1),"")</f>
        <v/>
      </c>
      <c r="AQ243" t="str">
        <f>IF(Tabela1[[#This Row],[18]]&lt;&gt;"",IF(ISNUMBER(FIND(",",Tabela1[[#This Row],[18]])),LEN(Tabela1[[#This Row],[18]])-LEN(SUBSTITUTE(Tabela1[[#This Row],[18]],",",""))+1,1),"")</f>
        <v/>
      </c>
      <c r="AR243" s="13" t="str">
        <f>IF(Tabela1[[#This Row],[19_LENGTH]]&lt;&gt;"",IF(ISNUMBER(FIND(",",Tabela1[[#This Row],[19_LENGTH]])),LEN(Tabela1[[#This Row],[19_LENGTH]])-LEN(SUBSTITUTE(Tabela1[[#This Row],[19_LENGTH]],",",""))+1,1),"")</f>
        <v/>
      </c>
      <c r="AS243" s="21">
        <f>SUM(Tabela1[[#This Row],[1_]:[19_]])</f>
        <v>3</v>
      </c>
    </row>
    <row r="244" spans="1:45" x14ac:dyDescent="0.25">
      <c r="A244" s="27" t="s">
        <v>1322</v>
      </c>
      <c r="B244" s="19" t="s">
        <v>428</v>
      </c>
      <c r="C244" s="19">
        <v>202</v>
      </c>
      <c r="D244" s="19" t="s">
        <v>1298</v>
      </c>
      <c r="E244" s="20">
        <v>43486</v>
      </c>
      <c r="F244" s="19"/>
      <c r="G244" s="19"/>
      <c r="H244" s="19"/>
      <c r="I244" s="19"/>
      <c r="J244" s="19"/>
      <c r="K244" s="19">
        <v>123</v>
      </c>
      <c r="L244" s="19"/>
      <c r="M244" s="19">
        <v>116</v>
      </c>
      <c r="N244" s="19"/>
      <c r="O244" s="19"/>
      <c r="P244" s="19"/>
      <c r="Q244" s="19"/>
      <c r="R244" s="19">
        <v>97</v>
      </c>
      <c r="S244" s="19"/>
      <c r="T244" s="19"/>
      <c r="U244" s="19">
        <v>23</v>
      </c>
      <c r="V244" s="19"/>
      <c r="W244" s="19">
        <v>128</v>
      </c>
      <c r="X244" s="19"/>
      <c r="Y244" s="19"/>
      <c r="Z244" t="str">
        <f>IF(Tabela1[[#This Row],[1]]&lt;&gt;"",IF(ISNUMBER(FIND(",",Tabela1[[#This Row],[1]])),LEN(Tabela1[[#This Row],[1]])-LEN(SUBSTITUTE(Tabela1[[#This Row],[1]],",",""))+1,1),"")</f>
        <v/>
      </c>
      <c r="AA244" t="str">
        <f>IF(Tabela1[[#This Row],[2]]&lt;&gt;"",IF(ISNUMBER(FIND(",",Tabela1[[#This Row],[2]])),LEN(Tabela1[[#This Row],[2]])-LEN(SUBSTITUTE(Tabela1[[#This Row],[2]],",",""))+1,1),"")</f>
        <v/>
      </c>
      <c r="AB244" t="str">
        <f>IF(Tabela1[[#This Row],[3]]&lt;&gt;"",IF(ISNUMBER(FIND(",",Tabela1[[#This Row],[3]])),LEN(Tabela1[[#This Row],[3]])-LEN(SUBSTITUTE(Tabela1[[#This Row],[3]],",",""))+1,1),"")</f>
        <v/>
      </c>
      <c r="AC244" t="str">
        <f>IF(Tabela1[[#This Row],[4]]&lt;&gt;"",IF(ISNUMBER(FIND(",",Tabela1[[#This Row],[4]])),LEN(Tabela1[[#This Row],[4]])-LEN(SUBSTITUTE(Tabela1[[#This Row],[4]],",",""))+1,1),"")</f>
        <v/>
      </c>
      <c r="AD244" t="str">
        <f>IF(Tabela1[[#This Row],[5]]&lt;&gt;"",IF(ISNUMBER(FIND(",",Tabela1[[#This Row],[5]])),LEN(Tabela1[[#This Row],[5]])-LEN(SUBSTITUTE(Tabela1[[#This Row],[5]],",",""))+1,1),"")</f>
        <v/>
      </c>
      <c r="AE244">
        <f>IF(Tabela1[[#This Row],[6]]&lt;&gt;"",IF(ISNUMBER(FIND(",",Tabela1[[#This Row],[6]])),LEN(Tabela1[[#This Row],[6]])-LEN(SUBSTITUTE(Tabela1[[#This Row],[6]],",",""))+1,1),"")</f>
        <v>1</v>
      </c>
      <c r="AF244" t="str">
        <f>IF(Tabela1[[#This Row],[7]]&lt;&gt;"",IF(ISNUMBER(FIND(",",Tabela1[[#This Row],[7]])),LEN(Tabela1[[#This Row],[7]])-LEN(SUBSTITUTE(Tabela1[[#This Row],[7]],",",""))+1,1),"")</f>
        <v/>
      </c>
      <c r="AG244">
        <f>IF(Tabela1[[#This Row],[8]]&lt;&gt;"",IF(ISNUMBER(FIND(",",Tabela1[[#This Row],[8]])),LEN(Tabela1[[#This Row],[8]])-LEN(SUBSTITUTE(Tabela1[[#This Row],[8]],",",""))+1,1),"")</f>
        <v>1</v>
      </c>
      <c r="AH244" t="str">
        <f>IF(Tabela1[[#This Row],[9]]&lt;&gt;"",IF(ISNUMBER(FIND(",",Tabela1[[#This Row],[9]])),LEN(Tabela1[[#This Row],[9]])-LEN(SUBSTITUTE(Tabela1[[#This Row],[9]],",",""))+1,1),"")</f>
        <v/>
      </c>
      <c r="AI244" t="str">
        <f>IF(Tabela1[[#This Row],[10]]&lt;&gt;"",IF(ISNUMBER(FIND(",",Tabela1[[#This Row],[10]])),LEN(Tabela1[[#This Row],[10]])-LEN(SUBSTITUTE(Tabela1[[#This Row],[10]],",",""))+1,1),"")</f>
        <v/>
      </c>
      <c r="AJ244" t="str">
        <f>IF(Tabela1[[#This Row],[11]]&lt;&gt;"",IF(ISNUMBER(FIND(",",Tabela1[[#This Row],[11]])),LEN(Tabela1[[#This Row],[11]])-LEN(SUBSTITUTE(Tabela1[[#This Row],[11]],",",""))+1,1),"")</f>
        <v/>
      </c>
      <c r="AK244" t="str">
        <f>IF(Tabela1[[#This Row],[12]]&lt;&gt;"",IF(ISNUMBER(FIND(",",Tabela1[[#This Row],[12]])),LEN(Tabela1[[#This Row],[12]])-LEN(SUBSTITUTE(Tabela1[[#This Row],[12]],",",""))+1,1),"")</f>
        <v/>
      </c>
      <c r="AL244">
        <f>IF(Tabela1[[#This Row],[13]]&lt;&gt;"",IF(ISNUMBER(FIND(",",Tabela1[[#This Row],[13]])),LEN(Tabela1[[#This Row],[13]])-LEN(SUBSTITUTE(Tabela1[[#This Row],[13]],",",""))+1,1),"")</f>
        <v>1</v>
      </c>
      <c r="AM244" t="str">
        <f>IF(Tabela1[[#This Row],[14]]&lt;&gt;"",IF(ISNUMBER(FIND(",",Tabela1[[#This Row],[14]])),LEN(Tabela1[[#This Row],[14]])-LEN(SUBSTITUTE(Tabela1[[#This Row],[14]],",",""))+1,1),"")</f>
        <v/>
      </c>
      <c r="AN244" t="str">
        <f>IF(Tabela1[[#This Row],[15]]&lt;&gt;"",IF(ISNUMBER(FIND(",",Tabela1[[#This Row],[15]])),LEN(Tabela1[[#This Row],[15]])-LEN(SUBSTITUTE(Tabela1[[#This Row],[15]],",",""))+1,1),"")</f>
        <v/>
      </c>
      <c r="AO244">
        <f>IF(Tabela1[[#This Row],[16]]&lt;&gt;"",IF(ISNUMBER(FIND(",",Tabela1[[#This Row],[16]])),LEN(Tabela1[[#This Row],[16]])-LEN(SUBSTITUTE(Tabela1[[#This Row],[16]],",",""))+1,1),"")</f>
        <v>1</v>
      </c>
      <c r="AP244" t="str">
        <f>IF(Tabela1[[#This Row],[17]]&lt;&gt;"",IF(ISNUMBER(FIND(",",Tabela1[[#This Row],[17]])),LEN(Tabela1[[#This Row],[17]])-LEN(SUBSTITUTE(Tabela1[[#This Row],[17]],",",""))+1,1),"")</f>
        <v/>
      </c>
      <c r="AQ244">
        <f>IF(Tabela1[[#This Row],[18]]&lt;&gt;"",IF(ISNUMBER(FIND(",",Tabela1[[#This Row],[18]])),LEN(Tabela1[[#This Row],[18]])-LEN(SUBSTITUTE(Tabela1[[#This Row],[18]],",",""))+1,1),"")</f>
        <v>1</v>
      </c>
      <c r="AR244" s="13" t="str">
        <f>IF(Tabela1[[#This Row],[19_LENGTH]]&lt;&gt;"",IF(ISNUMBER(FIND(",",Tabela1[[#This Row],[19_LENGTH]])),LEN(Tabela1[[#This Row],[19_LENGTH]])-LEN(SUBSTITUTE(Tabela1[[#This Row],[19_LENGTH]],",",""))+1,1),"")</f>
        <v/>
      </c>
      <c r="AS244" s="21">
        <f>SUM(Tabela1[[#This Row],[1_]:[19_]])</f>
        <v>5</v>
      </c>
    </row>
    <row r="245" spans="1:45" x14ac:dyDescent="0.25">
      <c r="A245" s="27" t="s">
        <v>1322</v>
      </c>
      <c r="B245" s="19" t="s">
        <v>429</v>
      </c>
      <c r="C245" s="19">
        <v>202</v>
      </c>
      <c r="D245" s="19" t="s">
        <v>1298</v>
      </c>
      <c r="E245" s="20">
        <v>43486</v>
      </c>
      <c r="F245" s="19"/>
      <c r="G245" s="19"/>
      <c r="H245" s="19"/>
      <c r="I245" s="19"/>
      <c r="J245" s="19"/>
      <c r="K245" s="19">
        <v>42</v>
      </c>
      <c r="L245" s="19"/>
      <c r="M245" s="19"/>
      <c r="N245" s="19"/>
      <c r="O245" s="19"/>
      <c r="P245" s="19"/>
      <c r="Q245" s="19"/>
      <c r="R245" s="19"/>
      <c r="S245" s="19"/>
      <c r="T245" s="19"/>
      <c r="U245" s="19">
        <v>40</v>
      </c>
      <c r="V245" s="19"/>
      <c r="W245" s="19"/>
      <c r="X245" s="19"/>
      <c r="Y245" s="19"/>
      <c r="Z245" t="str">
        <f>IF(Tabela1[[#This Row],[1]]&lt;&gt;"",IF(ISNUMBER(FIND(",",Tabela1[[#This Row],[1]])),LEN(Tabela1[[#This Row],[1]])-LEN(SUBSTITUTE(Tabela1[[#This Row],[1]],",",""))+1,1),"")</f>
        <v/>
      </c>
      <c r="AA245" t="str">
        <f>IF(Tabela1[[#This Row],[2]]&lt;&gt;"",IF(ISNUMBER(FIND(",",Tabela1[[#This Row],[2]])),LEN(Tabela1[[#This Row],[2]])-LEN(SUBSTITUTE(Tabela1[[#This Row],[2]],",",""))+1,1),"")</f>
        <v/>
      </c>
      <c r="AB245" t="str">
        <f>IF(Tabela1[[#This Row],[3]]&lt;&gt;"",IF(ISNUMBER(FIND(",",Tabela1[[#This Row],[3]])),LEN(Tabela1[[#This Row],[3]])-LEN(SUBSTITUTE(Tabela1[[#This Row],[3]],",",""))+1,1),"")</f>
        <v/>
      </c>
      <c r="AC245" t="str">
        <f>IF(Tabela1[[#This Row],[4]]&lt;&gt;"",IF(ISNUMBER(FIND(",",Tabela1[[#This Row],[4]])),LEN(Tabela1[[#This Row],[4]])-LEN(SUBSTITUTE(Tabela1[[#This Row],[4]],",",""))+1,1),"")</f>
        <v/>
      </c>
      <c r="AD245" t="str">
        <f>IF(Tabela1[[#This Row],[5]]&lt;&gt;"",IF(ISNUMBER(FIND(",",Tabela1[[#This Row],[5]])),LEN(Tabela1[[#This Row],[5]])-LEN(SUBSTITUTE(Tabela1[[#This Row],[5]],",",""))+1,1),"")</f>
        <v/>
      </c>
      <c r="AE245">
        <f>IF(Tabela1[[#This Row],[6]]&lt;&gt;"",IF(ISNUMBER(FIND(",",Tabela1[[#This Row],[6]])),LEN(Tabela1[[#This Row],[6]])-LEN(SUBSTITUTE(Tabela1[[#This Row],[6]],",",""))+1,1),"")</f>
        <v>1</v>
      </c>
      <c r="AF245" t="str">
        <f>IF(Tabela1[[#This Row],[7]]&lt;&gt;"",IF(ISNUMBER(FIND(",",Tabela1[[#This Row],[7]])),LEN(Tabela1[[#This Row],[7]])-LEN(SUBSTITUTE(Tabela1[[#This Row],[7]],",",""))+1,1),"")</f>
        <v/>
      </c>
      <c r="AG245" t="str">
        <f>IF(Tabela1[[#This Row],[8]]&lt;&gt;"",IF(ISNUMBER(FIND(",",Tabela1[[#This Row],[8]])),LEN(Tabela1[[#This Row],[8]])-LEN(SUBSTITUTE(Tabela1[[#This Row],[8]],",",""))+1,1),"")</f>
        <v/>
      </c>
      <c r="AH245" t="str">
        <f>IF(Tabela1[[#This Row],[9]]&lt;&gt;"",IF(ISNUMBER(FIND(",",Tabela1[[#This Row],[9]])),LEN(Tabela1[[#This Row],[9]])-LEN(SUBSTITUTE(Tabela1[[#This Row],[9]],",",""))+1,1),"")</f>
        <v/>
      </c>
      <c r="AI245" t="str">
        <f>IF(Tabela1[[#This Row],[10]]&lt;&gt;"",IF(ISNUMBER(FIND(",",Tabela1[[#This Row],[10]])),LEN(Tabela1[[#This Row],[10]])-LEN(SUBSTITUTE(Tabela1[[#This Row],[10]],",",""))+1,1),"")</f>
        <v/>
      </c>
      <c r="AJ245" t="str">
        <f>IF(Tabela1[[#This Row],[11]]&lt;&gt;"",IF(ISNUMBER(FIND(",",Tabela1[[#This Row],[11]])),LEN(Tabela1[[#This Row],[11]])-LEN(SUBSTITUTE(Tabela1[[#This Row],[11]],",",""))+1,1),"")</f>
        <v/>
      </c>
      <c r="AK245" t="str">
        <f>IF(Tabela1[[#This Row],[12]]&lt;&gt;"",IF(ISNUMBER(FIND(",",Tabela1[[#This Row],[12]])),LEN(Tabela1[[#This Row],[12]])-LEN(SUBSTITUTE(Tabela1[[#This Row],[12]],",",""))+1,1),"")</f>
        <v/>
      </c>
      <c r="AL245" t="str">
        <f>IF(Tabela1[[#This Row],[13]]&lt;&gt;"",IF(ISNUMBER(FIND(",",Tabela1[[#This Row],[13]])),LEN(Tabela1[[#This Row],[13]])-LEN(SUBSTITUTE(Tabela1[[#This Row],[13]],",",""))+1,1),"")</f>
        <v/>
      </c>
      <c r="AM245" t="str">
        <f>IF(Tabela1[[#This Row],[14]]&lt;&gt;"",IF(ISNUMBER(FIND(",",Tabela1[[#This Row],[14]])),LEN(Tabela1[[#This Row],[14]])-LEN(SUBSTITUTE(Tabela1[[#This Row],[14]],",",""))+1,1),"")</f>
        <v/>
      </c>
      <c r="AN245" t="str">
        <f>IF(Tabela1[[#This Row],[15]]&lt;&gt;"",IF(ISNUMBER(FIND(",",Tabela1[[#This Row],[15]])),LEN(Tabela1[[#This Row],[15]])-LEN(SUBSTITUTE(Tabela1[[#This Row],[15]],",",""))+1,1),"")</f>
        <v/>
      </c>
      <c r="AO245">
        <f>IF(Tabela1[[#This Row],[16]]&lt;&gt;"",IF(ISNUMBER(FIND(",",Tabela1[[#This Row],[16]])),LEN(Tabela1[[#This Row],[16]])-LEN(SUBSTITUTE(Tabela1[[#This Row],[16]],",",""))+1,1),"")</f>
        <v>1</v>
      </c>
      <c r="AP245" t="str">
        <f>IF(Tabela1[[#This Row],[17]]&lt;&gt;"",IF(ISNUMBER(FIND(",",Tabela1[[#This Row],[17]])),LEN(Tabela1[[#This Row],[17]])-LEN(SUBSTITUTE(Tabela1[[#This Row],[17]],",",""))+1,1),"")</f>
        <v/>
      </c>
      <c r="AQ245" t="str">
        <f>IF(Tabela1[[#This Row],[18]]&lt;&gt;"",IF(ISNUMBER(FIND(",",Tabela1[[#This Row],[18]])),LEN(Tabela1[[#This Row],[18]])-LEN(SUBSTITUTE(Tabela1[[#This Row],[18]],",",""))+1,1),"")</f>
        <v/>
      </c>
      <c r="AR245" s="13" t="str">
        <f>IF(Tabela1[[#This Row],[19_LENGTH]]&lt;&gt;"",IF(ISNUMBER(FIND(",",Tabela1[[#This Row],[19_LENGTH]])),LEN(Tabela1[[#This Row],[19_LENGTH]])-LEN(SUBSTITUTE(Tabela1[[#This Row],[19_LENGTH]],",",""))+1,1),"")</f>
        <v/>
      </c>
      <c r="AS245" s="21">
        <f>SUM(Tabela1[[#This Row],[1_]:[19_]])</f>
        <v>2</v>
      </c>
    </row>
    <row r="246" spans="1:45" x14ac:dyDescent="0.25">
      <c r="A246" s="27" t="s">
        <v>1322</v>
      </c>
      <c r="B246" s="19" t="s">
        <v>757</v>
      </c>
      <c r="C246" s="19">
        <v>212</v>
      </c>
      <c r="D246" s="19" t="s">
        <v>1296</v>
      </c>
      <c r="E246" s="20">
        <v>43486</v>
      </c>
      <c r="F246" s="19"/>
      <c r="G246" s="19"/>
      <c r="H246" s="19"/>
      <c r="I246" s="19">
        <v>95</v>
      </c>
      <c r="J246" s="19"/>
      <c r="K246" s="19"/>
      <c r="L246" s="19"/>
      <c r="M246" s="19"/>
      <c r="N246" s="19"/>
      <c r="O246" s="19"/>
      <c r="P246" s="19"/>
      <c r="Q246" s="19"/>
      <c r="R246" s="19"/>
      <c r="S246" s="19"/>
      <c r="T246" s="19"/>
      <c r="U246" s="19"/>
      <c r="V246" s="19"/>
      <c r="W246" s="19"/>
      <c r="X246" s="19"/>
      <c r="Y246" s="19"/>
      <c r="Z246" t="str">
        <f>IF(Tabela1[[#This Row],[1]]&lt;&gt;"",IF(ISNUMBER(FIND(",",Tabela1[[#This Row],[1]])),LEN(Tabela1[[#This Row],[1]])-LEN(SUBSTITUTE(Tabela1[[#This Row],[1]],",",""))+1,1),"")</f>
        <v/>
      </c>
      <c r="AA246" t="str">
        <f>IF(Tabela1[[#This Row],[2]]&lt;&gt;"",IF(ISNUMBER(FIND(",",Tabela1[[#This Row],[2]])),LEN(Tabela1[[#This Row],[2]])-LEN(SUBSTITUTE(Tabela1[[#This Row],[2]],",",""))+1,1),"")</f>
        <v/>
      </c>
      <c r="AB246" t="str">
        <f>IF(Tabela1[[#This Row],[3]]&lt;&gt;"",IF(ISNUMBER(FIND(",",Tabela1[[#This Row],[3]])),LEN(Tabela1[[#This Row],[3]])-LEN(SUBSTITUTE(Tabela1[[#This Row],[3]],",",""))+1,1),"")</f>
        <v/>
      </c>
      <c r="AC246">
        <f>IF(Tabela1[[#This Row],[4]]&lt;&gt;"",IF(ISNUMBER(FIND(",",Tabela1[[#This Row],[4]])),LEN(Tabela1[[#This Row],[4]])-LEN(SUBSTITUTE(Tabela1[[#This Row],[4]],",",""))+1,1),"")</f>
        <v>1</v>
      </c>
      <c r="AD246" t="str">
        <f>IF(Tabela1[[#This Row],[5]]&lt;&gt;"",IF(ISNUMBER(FIND(",",Tabela1[[#This Row],[5]])),LEN(Tabela1[[#This Row],[5]])-LEN(SUBSTITUTE(Tabela1[[#This Row],[5]],",",""))+1,1),"")</f>
        <v/>
      </c>
      <c r="AE246" t="str">
        <f>IF(Tabela1[[#This Row],[6]]&lt;&gt;"",IF(ISNUMBER(FIND(",",Tabela1[[#This Row],[6]])),LEN(Tabela1[[#This Row],[6]])-LEN(SUBSTITUTE(Tabela1[[#This Row],[6]],",",""))+1,1),"")</f>
        <v/>
      </c>
      <c r="AF246" t="str">
        <f>IF(Tabela1[[#This Row],[7]]&lt;&gt;"",IF(ISNUMBER(FIND(",",Tabela1[[#This Row],[7]])),LEN(Tabela1[[#This Row],[7]])-LEN(SUBSTITUTE(Tabela1[[#This Row],[7]],",",""))+1,1),"")</f>
        <v/>
      </c>
      <c r="AG246" t="str">
        <f>IF(Tabela1[[#This Row],[8]]&lt;&gt;"",IF(ISNUMBER(FIND(",",Tabela1[[#This Row],[8]])),LEN(Tabela1[[#This Row],[8]])-LEN(SUBSTITUTE(Tabela1[[#This Row],[8]],",",""))+1,1),"")</f>
        <v/>
      </c>
      <c r="AH246" t="str">
        <f>IF(Tabela1[[#This Row],[9]]&lt;&gt;"",IF(ISNUMBER(FIND(",",Tabela1[[#This Row],[9]])),LEN(Tabela1[[#This Row],[9]])-LEN(SUBSTITUTE(Tabela1[[#This Row],[9]],",",""))+1,1),"")</f>
        <v/>
      </c>
      <c r="AI246" t="str">
        <f>IF(Tabela1[[#This Row],[10]]&lt;&gt;"",IF(ISNUMBER(FIND(",",Tabela1[[#This Row],[10]])),LEN(Tabela1[[#This Row],[10]])-LEN(SUBSTITUTE(Tabela1[[#This Row],[10]],",",""))+1,1),"")</f>
        <v/>
      </c>
      <c r="AJ246" t="str">
        <f>IF(Tabela1[[#This Row],[11]]&lt;&gt;"",IF(ISNUMBER(FIND(",",Tabela1[[#This Row],[11]])),LEN(Tabela1[[#This Row],[11]])-LEN(SUBSTITUTE(Tabela1[[#This Row],[11]],",",""))+1,1),"")</f>
        <v/>
      </c>
      <c r="AK246" t="str">
        <f>IF(Tabela1[[#This Row],[12]]&lt;&gt;"",IF(ISNUMBER(FIND(",",Tabela1[[#This Row],[12]])),LEN(Tabela1[[#This Row],[12]])-LEN(SUBSTITUTE(Tabela1[[#This Row],[12]],",",""))+1,1),"")</f>
        <v/>
      </c>
      <c r="AL246" t="str">
        <f>IF(Tabela1[[#This Row],[13]]&lt;&gt;"",IF(ISNUMBER(FIND(",",Tabela1[[#This Row],[13]])),LEN(Tabela1[[#This Row],[13]])-LEN(SUBSTITUTE(Tabela1[[#This Row],[13]],",",""))+1,1),"")</f>
        <v/>
      </c>
      <c r="AM246" t="str">
        <f>IF(Tabela1[[#This Row],[14]]&lt;&gt;"",IF(ISNUMBER(FIND(",",Tabela1[[#This Row],[14]])),LEN(Tabela1[[#This Row],[14]])-LEN(SUBSTITUTE(Tabela1[[#This Row],[14]],",",""))+1,1),"")</f>
        <v/>
      </c>
      <c r="AN246" t="str">
        <f>IF(Tabela1[[#This Row],[15]]&lt;&gt;"",IF(ISNUMBER(FIND(",",Tabela1[[#This Row],[15]])),LEN(Tabela1[[#This Row],[15]])-LEN(SUBSTITUTE(Tabela1[[#This Row],[15]],",",""))+1,1),"")</f>
        <v/>
      </c>
      <c r="AO246" t="str">
        <f>IF(Tabela1[[#This Row],[16]]&lt;&gt;"",IF(ISNUMBER(FIND(",",Tabela1[[#This Row],[16]])),LEN(Tabela1[[#This Row],[16]])-LEN(SUBSTITUTE(Tabela1[[#This Row],[16]],",",""))+1,1),"")</f>
        <v/>
      </c>
      <c r="AP246" t="str">
        <f>IF(Tabela1[[#This Row],[17]]&lt;&gt;"",IF(ISNUMBER(FIND(",",Tabela1[[#This Row],[17]])),LEN(Tabela1[[#This Row],[17]])-LEN(SUBSTITUTE(Tabela1[[#This Row],[17]],",",""))+1,1),"")</f>
        <v/>
      </c>
      <c r="AQ246" t="str">
        <f>IF(Tabela1[[#This Row],[18]]&lt;&gt;"",IF(ISNUMBER(FIND(",",Tabela1[[#This Row],[18]])),LEN(Tabela1[[#This Row],[18]])-LEN(SUBSTITUTE(Tabela1[[#This Row],[18]],",",""))+1,1),"")</f>
        <v/>
      </c>
      <c r="AR246" s="13" t="str">
        <f>IF(Tabela1[[#This Row],[19_LENGTH]]&lt;&gt;"",IF(ISNUMBER(FIND(",",Tabela1[[#This Row],[19_LENGTH]])),LEN(Tabela1[[#This Row],[19_LENGTH]])-LEN(SUBSTITUTE(Tabela1[[#This Row],[19_LENGTH]],",",""))+1,1),"")</f>
        <v/>
      </c>
      <c r="AS246" s="21">
        <f>SUM(Tabela1[[#This Row],[1_]:[19_]])</f>
        <v>1</v>
      </c>
    </row>
    <row r="247" spans="1:45" x14ac:dyDescent="0.25">
      <c r="A247" s="27" t="s">
        <v>1322</v>
      </c>
      <c r="B247" s="19" t="s">
        <v>430</v>
      </c>
      <c r="C247" s="19">
        <v>202</v>
      </c>
      <c r="D247" s="19" t="s">
        <v>1300</v>
      </c>
      <c r="E247" s="20">
        <v>43486</v>
      </c>
      <c r="F247" s="19"/>
      <c r="G247" s="19">
        <v>32</v>
      </c>
      <c r="H247" s="19"/>
      <c r="I247" s="19">
        <v>144</v>
      </c>
      <c r="J247" s="19"/>
      <c r="K247" s="19"/>
      <c r="L247" s="19"/>
      <c r="M247" s="19"/>
      <c r="N247" s="19"/>
      <c r="O247" s="19"/>
      <c r="P247" s="19"/>
      <c r="Q247" s="19"/>
      <c r="R247" s="19"/>
      <c r="S247" s="19"/>
      <c r="T247" s="19"/>
      <c r="U247" s="19"/>
      <c r="V247" s="19">
        <v>120</v>
      </c>
      <c r="W247" s="19"/>
      <c r="X247" s="19"/>
      <c r="Y247" s="19"/>
      <c r="Z247" t="str">
        <f>IF(Tabela1[[#This Row],[1]]&lt;&gt;"",IF(ISNUMBER(FIND(",",Tabela1[[#This Row],[1]])),LEN(Tabela1[[#This Row],[1]])-LEN(SUBSTITUTE(Tabela1[[#This Row],[1]],",",""))+1,1),"")</f>
        <v/>
      </c>
      <c r="AA247">
        <f>IF(Tabela1[[#This Row],[2]]&lt;&gt;"",IF(ISNUMBER(FIND(",",Tabela1[[#This Row],[2]])),LEN(Tabela1[[#This Row],[2]])-LEN(SUBSTITUTE(Tabela1[[#This Row],[2]],",",""))+1,1),"")</f>
        <v>1</v>
      </c>
      <c r="AB247" t="str">
        <f>IF(Tabela1[[#This Row],[3]]&lt;&gt;"",IF(ISNUMBER(FIND(",",Tabela1[[#This Row],[3]])),LEN(Tabela1[[#This Row],[3]])-LEN(SUBSTITUTE(Tabela1[[#This Row],[3]],",",""))+1,1),"")</f>
        <v/>
      </c>
      <c r="AC247">
        <f>IF(Tabela1[[#This Row],[4]]&lt;&gt;"",IF(ISNUMBER(FIND(",",Tabela1[[#This Row],[4]])),LEN(Tabela1[[#This Row],[4]])-LEN(SUBSTITUTE(Tabela1[[#This Row],[4]],",",""))+1,1),"")</f>
        <v>1</v>
      </c>
      <c r="AD247" t="str">
        <f>IF(Tabela1[[#This Row],[5]]&lt;&gt;"",IF(ISNUMBER(FIND(",",Tabela1[[#This Row],[5]])),LEN(Tabela1[[#This Row],[5]])-LEN(SUBSTITUTE(Tabela1[[#This Row],[5]],",",""))+1,1),"")</f>
        <v/>
      </c>
      <c r="AE247" t="str">
        <f>IF(Tabela1[[#This Row],[6]]&lt;&gt;"",IF(ISNUMBER(FIND(",",Tabela1[[#This Row],[6]])),LEN(Tabela1[[#This Row],[6]])-LEN(SUBSTITUTE(Tabela1[[#This Row],[6]],",",""))+1,1),"")</f>
        <v/>
      </c>
      <c r="AF247" t="str">
        <f>IF(Tabela1[[#This Row],[7]]&lt;&gt;"",IF(ISNUMBER(FIND(",",Tabela1[[#This Row],[7]])),LEN(Tabela1[[#This Row],[7]])-LEN(SUBSTITUTE(Tabela1[[#This Row],[7]],",",""))+1,1),"")</f>
        <v/>
      </c>
      <c r="AG247" t="str">
        <f>IF(Tabela1[[#This Row],[8]]&lt;&gt;"",IF(ISNUMBER(FIND(",",Tabela1[[#This Row],[8]])),LEN(Tabela1[[#This Row],[8]])-LEN(SUBSTITUTE(Tabela1[[#This Row],[8]],",",""))+1,1),"")</f>
        <v/>
      </c>
      <c r="AH247" t="str">
        <f>IF(Tabela1[[#This Row],[9]]&lt;&gt;"",IF(ISNUMBER(FIND(",",Tabela1[[#This Row],[9]])),LEN(Tabela1[[#This Row],[9]])-LEN(SUBSTITUTE(Tabela1[[#This Row],[9]],",",""))+1,1),"")</f>
        <v/>
      </c>
      <c r="AI247" t="str">
        <f>IF(Tabela1[[#This Row],[10]]&lt;&gt;"",IF(ISNUMBER(FIND(",",Tabela1[[#This Row],[10]])),LEN(Tabela1[[#This Row],[10]])-LEN(SUBSTITUTE(Tabela1[[#This Row],[10]],",",""))+1,1),"")</f>
        <v/>
      </c>
      <c r="AJ247" t="str">
        <f>IF(Tabela1[[#This Row],[11]]&lt;&gt;"",IF(ISNUMBER(FIND(",",Tabela1[[#This Row],[11]])),LEN(Tabela1[[#This Row],[11]])-LEN(SUBSTITUTE(Tabela1[[#This Row],[11]],",",""))+1,1),"")</f>
        <v/>
      </c>
      <c r="AK247" t="str">
        <f>IF(Tabela1[[#This Row],[12]]&lt;&gt;"",IF(ISNUMBER(FIND(",",Tabela1[[#This Row],[12]])),LEN(Tabela1[[#This Row],[12]])-LEN(SUBSTITUTE(Tabela1[[#This Row],[12]],",",""))+1,1),"")</f>
        <v/>
      </c>
      <c r="AL247" t="str">
        <f>IF(Tabela1[[#This Row],[13]]&lt;&gt;"",IF(ISNUMBER(FIND(",",Tabela1[[#This Row],[13]])),LEN(Tabela1[[#This Row],[13]])-LEN(SUBSTITUTE(Tabela1[[#This Row],[13]],",",""))+1,1),"")</f>
        <v/>
      </c>
      <c r="AM247" t="str">
        <f>IF(Tabela1[[#This Row],[14]]&lt;&gt;"",IF(ISNUMBER(FIND(",",Tabela1[[#This Row],[14]])),LEN(Tabela1[[#This Row],[14]])-LEN(SUBSTITUTE(Tabela1[[#This Row],[14]],",",""))+1,1),"")</f>
        <v/>
      </c>
      <c r="AN247" t="str">
        <f>IF(Tabela1[[#This Row],[15]]&lt;&gt;"",IF(ISNUMBER(FIND(",",Tabela1[[#This Row],[15]])),LEN(Tabela1[[#This Row],[15]])-LEN(SUBSTITUTE(Tabela1[[#This Row],[15]],",",""))+1,1),"")</f>
        <v/>
      </c>
      <c r="AO247" t="str">
        <f>IF(Tabela1[[#This Row],[16]]&lt;&gt;"",IF(ISNUMBER(FIND(",",Tabela1[[#This Row],[16]])),LEN(Tabela1[[#This Row],[16]])-LEN(SUBSTITUTE(Tabela1[[#This Row],[16]],",",""))+1,1),"")</f>
        <v/>
      </c>
      <c r="AP247">
        <f>IF(Tabela1[[#This Row],[17]]&lt;&gt;"",IF(ISNUMBER(FIND(",",Tabela1[[#This Row],[17]])),LEN(Tabela1[[#This Row],[17]])-LEN(SUBSTITUTE(Tabela1[[#This Row],[17]],",",""))+1,1),"")</f>
        <v>1</v>
      </c>
      <c r="AQ247" t="str">
        <f>IF(Tabela1[[#This Row],[18]]&lt;&gt;"",IF(ISNUMBER(FIND(",",Tabela1[[#This Row],[18]])),LEN(Tabela1[[#This Row],[18]])-LEN(SUBSTITUTE(Tabela1[[#This Row],[18]],",",""))+1,1),"")</f>
        <v/>
      </c>
      <c r="AR247" s="13" t="str">
        <f>IF(Tabela1[[#This Row],[19_LENGTH]]&lt;&gt;"",IF(ISNUMBER(FIND(",",Tabela1[[#This Row],[19_LENGTH]])),LEN(Tabela1[[#This Row],[19_LENGTH]])-LEN(SUBSTITUTE(Tabela1[[#This Row],[19_LENGTH]],",",""))+1,1),"")</f>
        <v/>
      </c>
      <c r="AS247" s="21">
        <f>SUM(Tabela1[[#This Row],[1_]:[19_]])</f>
        <v>3</v>
      </c>
    </row>
    <row r="248" spans="1:45" x14ac:dyDescent="0.25">
      <c r="A248" s="27" t="s">
        <v>1322</v>
      </c>
      <c r="B248" s="19" t="s">
        <v>431</v>
      </c>
      <c r="C248" s="19">
        <v>202</v>
      </c>
      <c r="D248" s="19" t="s">
        <v>1300</v>
      </c>
      <c r="E248" s="20">
        <v>43486</v>
      </c>
      <c r="F248" s="19"/>
      <c r="G248" s="19"/>
      <c r="H248" s="19">
        <v>103</v>
      </c>
      <c r="I248" s="19" t="s">
        <v>93</v>
      </c>
      <c r="J248" s="19"/>
      <c r="K248" s="19"/>
      <c r="L248" s="19"/>
      <c r="M248" s="19"/>
      <c r="N248" s="19"/>
      <c r="O248" s="19"/>
      <c r="P248" s="19"/>
      <c r="Q248" s="19"/>
      <c r="R248" s="19"/>
      <c r="S248" s="19"/>
      <c r="T248" s="19"/>
      <c r="U248" s="19"/>
      <c r="V248" s="19"/>
      <c r="W248" s="19"/>
      <c r="X248" s="19"/>
      <c r="Y248" s="19"/>
      <c r="Z248" t="str">
        <f>IF(Tabela1[[#This Row],[1]]&lt;&gt;"",IF(ISNUMBER(FIND(",",Tabela1[[#This Row],[1]])),LEN(Tabela1[[#This Row],[1]])-LEN(SUBSTITUTE(Tabela1[[#This Row],[1]],",",""))+1,1),"")</f>
        <v/>
      </c>
      <c r="AA248" t="str">
        <f>IF(Tabela1[[#This Row],[2]]&lt;&gt;"",IF(ISNUMBER(FIND(",",Tabela1[[#This Row],[2]])),LEN(Tabela1[[#This Row],[2]])-LEN(SUBSTITUTE(Tabela1[[#This Row],[2]],",",""))+1,1),"")</f>
        <v/>
      </c>
      <c r="AB248">
        <f>IF(Tabela1[[#This Row],[3]]&lt;&gt;"",IF(ISNUMBER(FIND(",",Tabela1[[#This Row],[3]])),LEN(Tabela1[[#This Row],[3]])-LEN(SUBSTITUTE(Tabela1[[#This Row],[3]],",",""))+1,1),"")</f>
        <v>1</v>
      </c>
      <c r="AC248">
        <f>IF(Tabela1[[#This Row],[4]]&lt;&gt;"",IF(ISNUMBER(FIND(",",Tabela1[[#This Row],[4]])),LEN(Tabela1[[#This Row],[4]])-LEN(SUBSTITUTE(Tabela1[[#This Row],[4]],",",""))+1,1),"")</f>
        <v>2</v>
      </c>
      <c r="AD248" t="str">
        <f>IF(Tabela1[[#This Row],[5]]&lt;&gt;"",IF(ISNUMBER(FIND(",",Tabela1[[#This Row],[5]])),LEN(Tabela1[[#This Row],[5]])-LEN(SUBSTITUTE(Tabela1[[#This Row],[5]],",",""))+1,1),"")</f>
        <v/>
      </c>
      <c r="AE248" t="str">
        <f>IF(Tabela1[[#This Row],[6]]&lt;&gt;"",IF(ISNUMBER(FIND(",",Tabela1[[#This Row],[6]])),LEN(Tabela1[[#This Row],[6]])-LEN(SUBSTITUTE(Tabela1[[#This Row],[6]],",",""))+1,1),"")</f>
        <v/>
      </c>
      <c r="AF248" t="str">
        <f>IF(Tabela1[[#This Row],[7]]&lt;&gt;"",IF(ISNUMBER(FIND(",",Tabela1[[#This Row],[7]])),LEN(Tabela1[[#This Row],[7]])-LEN(SUBSTITUTE(Tabela1[[#This Row],[7]],",",""))+1,1),"")</f>
        <v/>
      </c>
      <c r="AG248" t="str">
        <f>IF(Tabela1[[#This Row],[8]]&lt;&gt;"",IF(ISNUMBER(FIND(",",Tabela1[[#This Row],[8]])),LEN(Tabela1[[#This Row],[8]])-LEN(SUBSTITUTE(Tabela1[[#This Row],[8]],",",""))+1,1),"")</f>
        <v/>
      </c>
      <c r="AH248" t="str">
        <f>IF(Tabela1[[#This Row],[9]]&lt;&gt;"",IF(ISNUMBER(FIND(",",Tabela1[[#This Row],[9]])),LEN(Tabela1[[#This Row],[9]])-LEN(SUBSTITUTE(Tabela1[[#This Row],[9]],",",""))+1,1),"")</f>
        <v/>
      </c>
      <c r="AI248" t="str">
        <f>IF(Tabela1[[#This Row],[10]]&lt;&gt;"",IF(ISNUMBER(FIND(",",Tabela1[[#This Row],[10]])),LEN(Tabela1[[#This Row],[10]])-LEN(SUBSTITUTE(Tabela1[[#This Row],[10]],",",""))+1,1),"")</f>
        <v/>
      </c>
      <c r="AJ248" t="str">
        <f>IF(Tabela1[[#This Row],[11]]&lt;&gt;"",IF(ISNUMBER(FIND(",",Tabela1[[#This Row],[11]])),LEN(Tabela1[[#This Row],[11]])-LEN(SUBSTITUTE(Tabela1[[#This Row],[11]],",",""))+1,1),"")</f>
        <v/>
      </c>
      <c r="AK248" t="str">
        <f>IF(Tabela1[[#This Row],[12]]&lt;&gt;"",IF(ISNUMBER(FIND(",",Tabela1[[#This Row],[12]])),LEN(Tabela1[[#This Row],[12]])-LEN(SUBSTITUTE(Tabela1[[#This Row],[12]],",",""))+1,1),"")</f>
        <v/>
      </c>
      <c r="AL248" t="str">
        <f>IF(Tabela1[[#This Row],[13]]&lt;&gt;"",IF(ISNUMBER(FIND(",",Tabela1[[#This Row],[13]])),LEN(Tabela1[[#This Row],[13]])-LEN(SUBSTITUTE(Tabela1[[#This Row],[13]],",",""))+1,1),"")</f>
        <v/>
      </c>
      <c r="AM248" t="str">
        <f>IF(Tabela1[[#This Row],[14]]&lt;&gt;"",IF(ISNUMBER(FIND(",",Tabela1[[#This Row],[14]])),LEN(Tabela1[[#This Row],[14]])-LEN(SUBSTITUTE(Tabela1[[#This Row],[14]],",",""))+1,1),"")</f>
        <v/>
      </c>
      <c r="AN248" t="str">
        <f>IF(Tabela1[[#This Row],[15]]&lt;&gt;"",IF(ISNUMBER(FIND(",",Tabela1[[#This Row],[15]])),LEN(Tabela1[[#This Row],[15]])-LEN(SUBSTITUTE(Tabela1[[#This Row],[15]],",",""))+1,1),"")</f>
        <v/>
      </c>
      <c r="AO248" t="str">
        <f>IF(Tabela1[[#This Row],[16]]&lt;&gt;"",IF(ISNUMBER(FIND(",",Tabela1[[#This Row],[16]])),LEN(Tabela1[[#This Row],[16]])-LEN(SUBSTITUTE(Tabela1[[#This Row],[16]],",",""))+1,1),"")</f>
        <v/>
      </c>
      <c r="AP248" t="str">
        <f>IF(Tabela1[[#This Row],[17]]&lt;&gt;"",IF(ISNUMBER(FIND(",",Tabela1[[#This Row],[17]])),LEN(Tabela1[[#This Row],[17]])-LEN(SUBSTITUTE(Tabela1[[#This Row],[17]],",",""))+1,1),"")</f>
        <v/>
      </c>
      <c r="AQ248" t="str">
        <f>IF(Tabela1[[#This Row],[18]]&lt;&gt;"",IF(ISNUMBER(FIND(",",Tabela1[[#This Row],[18]])),LEN(Tabela1[[#This Row],[18]])-LEN(SUBSTITUTE(Tabela1[[#This Row],[18]],",",""))+1,1),"")</f>
        <v/>
      </c>
      <c r="AR248" s="13" t="str">
        <f>IF(Tabela1[[#This Row],[19_LENGTH]]&lt;&gt;"",IF(ISNUMBER(FIND(",",Tabela1[[#This Row],[19_LENGTH]])),LEN(Tabela1[[#This Row],[19_LENGTH]])-LEN(SUBSTITUTE(Tabela1[[#This Row],[19_LENGTH]],",",""))+1,1),"")</f>
        <v/>
      </c>
      <c r="AS248" s="21">
        <f>SUM(Tabela1[[#This Row],[1_]:[19_]])</f>
        <v>3</v>
      </c>
    </row>
    <row r="249" spans="1:45" x14ac:dyDescent="0.25">
      <c r="A249" s="27" t="s">
        <v>1322</v>
      </c>
      <c r="B249" s="19" t="s">
        <v>432</v>
      </c>
      <c r="C249" s="19">
        <v>202</v>
      </c>
      <c r="D249" s="19" t="s">
        <v>1315</v>
      </c>
      <c r="E249" s="20">
        <v>43487</v>
      </c>
      <c r="F249" s="19"/>
      <c r="G249" s="19"/>
      <c r="H249" s="19">
        <v>167</v>
      </c>
      <c r="I249" s="19">
        <v>91</v>
      </c>
      <c r="J249" s="19"/>
      <c r="K249" s="19"/>
      <c r="L249" s="19"/>
      <c r="M249" s="19"/>
      <c r="N249" s="19"/>
      <c r="O249" s="19"/>
      <c r="P249" s="19"/>
      <c r="Q249" s="19"/>
      <c r="R249" s="19"/>
      <c r="S249" s="19"/>
      <c r="T249" s="19"/>
      <c r="U249" s="19">
        <v>167</v>
      </c>
      <c r="V249" s="19"/>
      <c r="W249" s="19"/>
      <c r="X249" s="19"/>
      <c r="Y249" s="19"/>
      <c r="Z249" t="str">
        <f>IF(Tabela1[[#This Row],[1]]&lt;&gt;"",IF(ISNUMBER(FIND(",",Tabela1[[#This Row],[1]])),LEN(Tabela1[[#This Row],[1]])-LEN(SUBSTITUTE(Tabela1[[#This Row],[1]],",",""))+1,1),"")</f>
        <v/>
      </c>
      <c r="AA249" t="str">
        <f>IF(Tabela1[[#This Row],[2]]&lt;&gt;"",IF(ISNUMBER(FIND(",",Tabela1[[#This Row],[2]])),LEN(Tabela1[[#This Row],[2]])-LEN(SUBSTITUTE(Tabela1[[#This Row],[2]],",",""))+1,1),"")</f>
        <v/>
      </c>
      <c r="AB249">
        <f>IF(Tabela1[[#This Row],[3]]&lt;&gt;"",IF(ISNUMBER(FIND(",",Tabela1[[#This Row],[3]])),LEN(Tabela1[[#This Row],[3]])-LEN(SUBSTITUTE(Tabela1[[#This Row],[3]],",",""))+1,1),"")</f>
        <v>1</v>
      </c>
      <c r="AC249">
        <f>IF(Tabela1[[#This Row],[4]]&lt;&gt;"",IF(ISNUMBER(FIND(",",Tabela1[[#This Row],[4]])),LEN(Tabela1[[#This Row],[4]])-LEN(SUBSTITUTE(Tabela1[[#This Row],[4]],",",""))+1,1),"")</f>
        <v>1</v>
      </c>
      <c r="AD249" t="str">
        <f>IF(Tabela1[[#This Row],[5]]&lt;&gt;"",IF(ISNUMBER(FIND(",",Tabela1[[#This Row],[5]])),LEN(Tabela1[[#This Row],[5]])-LEN(SUBSTITUTE(Tabela1[[#This Row],[5]],",",""))+1,1),"")</f>
        <v/>
      </c>
      <c r="AE249" t="str">
        <f>IF(Tabela1[[#This Row],[6]]&lt;&gt;"",IF(ISNUMBER(FIND(",",Tabela1[[#This Row],[6]])),LEN(Tabela1[[#This Row],[6]])-LEN(SUBSTITUTE(Tabela1[[#This Row],[6]],",",""))+1,1),"")</f>
        <v/>
      </c>
      <c r="AF249" t="str">
        <f>IF(Tabela1[[#This Row],[7]]&lt;&gt;"",IF(ISNUMBER(FIND(",",Tabela1[[#This Row],[7]])),LEN(Tabela1[[#This Row],[7]])-LEN(SUBSTITUTE(Tabela1[[#This Row],[7]],",",""))+1,1),"")</f>
        <v/>
      </c>
      <c r="AG249" t="str">
        <f>IF(Tabela1[[#This Row],[8]]&lt;&gt;"",IF(ISNUMBER(FIND(",",Tabela1[[#This Row],[8]])),LEN(Tabela1[[#This Row],[8]])-LEN(SUBSTITUTE(Tabela1[[#This Row],[8]],",",""))+1,1),"")</f>
        <v/>
      </c>
      <c r="AH249" t="str">
        <f>IF(Tabela1[[#This Row],[9]]&lt;&gt;"",IF(ISNUMBER(FIND(",",Tabela1[[#This Row],[9]])),LEN(Tabela1[[#This Row],[9]])-LEN(SUBSTITUTE(Tabela1[[#This Row],[9]],",",""))+1,1),"")</f>
        <v/>
      </c>
      <c r="AI249" t="str">
        <f>IF(Tabela1[[#This Row],[10]]&lt;&gt;"",IF(ISNUMBER(FIND(",",Tabela1[[#This Row],[10]])),LEN(Tabela1[[#This Row],[10]])-LEN(SUBSTITUTE(Tabela1[[#This Row],[10]],",",""))+1,1),"")</f>
        <v/>
      </c>
      <c r="AJ249" t="str">
        <f>IF(Tabela1[[#This Row],[11]]&lt;&gt;"",IF(ISNUMBER(FIND(",",Tabela1[[#This Row],[11]])),LEN(Tabela1[[#This Row],[11]])-LEN(SUBSTITUTE(Tabela1[[#This Row],[11]],",",""))+1,1),"")</f>
        <v/>
      </c>
      <c r="AK249" t="str">
        <f>IF(Tabela1[[#This Row],[12]]&lt;&gt;"",IF(ISNUMBER(FIND(",",Tabela1[[#This Row],[12]])),LEN(Tabela1[[#This Row],[12]])-LEN(SUBSTITUTE(Tabela1[[#This Row],[12]],",",""))+1,1),"")</f>
        <v/>
      </c>
      <c r="AL249" t="str">
        <f>IF(Tabela1[[#This Row],[13]]&lt;&gt;"",IF(ISNUMBER(FIND(",",Tabela1[[#This Row],[13]])),LEN(Tabela1[[#This Row],[13]])-LEN(SUBSTITUTE(Tabela1[[#This Row],[13]],",",""))+1,1),"")</f>
        <v/>
      </c>
      <c r="AM249" t="str">
        <f>IF(Tabela1[[#This Row],[14]]&lt;&gt;"",IF(ISNUMBER(FIND(",",Tabela1[[#This Row],[14]])),LEN(Tabela1[[#This Row],[14]])-LEN(SUBSTITUTE(Tabela1[[#This Row],[14]],",",""))+1,1),"")</f>
        <v/>
      </c>
      <c r="AN249" t="str">
        <f>IF(Tabela1[[#This Row],[15]]&lt;&gt;"",IF(ISNUMBER(FIND(",",Tabela1[[#This Row],[15]])),LEN(Tabela1[[#This Row],[15]])-LEN(SUBSTITUTE(Tabela1[[#This Row],[15]],",",""))+1,1),"")</f>
        <v/>
      </c>
      <c r="AO249">
        <f>IF(Tabela1[[#This Row],[16]]&lt;&gt;"",IF(ISNUMBER(FIND(",",Tabela1[[#This Row],[16]])),LEN(Tabela1[[#This Row],[16]])-LEN(SUBSTITUTE(Tabela1[[#This Row],[16]],",",""))+1,1),"")</f>
        <v>1</v>
      </c>
      <c r="AP249" t="str">
        <f>IF(Tabela1[[#This Row],[17]]&lt;&gt;"",IF(ISNUMBER(FIND(",",Tabela1[[#This Row],[17]])),LEN(Tabela1[[#This Row],[17]])-LEN(SUBSTITUTE(Tabela1[[#This Row],[17]],",",""))+1,1),"")</f>
        <v/>
      </c>
      <c r="AQ249" t="str">
        <f>IF(Tabela1[[#This Row],[18]]&lt;&gt;"",IF(ISNUMBER(FIND(",",Tabela1[[#This Row],[18]])),LEN(Tabela1[[#This Row],[18]])-LEN(SUBSTITUTE(Tabela1[[#This Row],[18]],",",""))+1,1),"")</f>
        <v/>
      </c>
      <c r="AR249" s="13" t="str">
        <f>IF(Tabela1[[#This Row],[19_LENGTH]]&lt;&gt;"",IF(ISNUMBER(FIND(",",Tabela1[[#This Row],[19_LENGTH]])),LEN(Tabela1[[#This Row],[19_LENGTH]])-LEN(SUBSTITUTE(Tabela1[[#This Row],[19_LENGTH]],",",""))+1,1),"")</f>
        <v/>
      </c>
      <c r="AS249" s="21">
        <f>SUM(Tabela1[[#This Row],[1_]:[19_]])</f>
        <v>3</v>
      </c>
    </row>
    <row r="250" spans="1:45" x14ac:dyDescent="0.25">
      <c r="A250" s="27" t="s">
        <v>1322</v>
      </c>
      <c r="B250" s="19" t="s">
        <v>433</v>
      </c>
      <c r="C250" s="19">
        <v>202</v>
      </c>
      <c r="D250" s="19" t="s">
        <v>1292</v>
      </c>
      <c r="E250" s="20">
        <v>43493</v>
      </c>
      <c r="F250" s="19"/>
      <c r="G250" s="19"/>
      <c r="H250" s="19">
        <v>63</v>
      </c>
      <c r="I250" s="19"/>
      <c r="J250" s="19"/>
      <c r="K250" s="19"/>
      <c r="L250" s="19"/>
      <c r="M250" s="19"/>
      <c r="N250" s="19"/>
      <c r="O250" s="19"/>
      <c r="P250" s="19"/>
      <c r="Q250" s="19"/>
      <c r="R250" s="19"/>
      <c r="S250" s="19"/>
      <c r="T250" s="19"/>
      <c r="U250" s="19" t="s">
        <v>94</v>
      </c>
      <c r="V250" s="19"/>
      <c r="W250" s="19"/>
      <c r="X250" s="19" t="s">
        <v>95</v>
      </c>
      <c r="Y250" s="19">
        <v>51</v>
      </c>
      <c r="Z250" t="str">
        <f>IF(Tabela1[[#This Row],[1]]&lt;&gt;"",IF(ISNUMBER(FIND(",",Tabela1[[#This Row],[1]])),LEN(Tabela1[[#This Row],[1]])-LEN(SUBSTITUTE(Tabela1[[#This Row],[1]],",",""))+1,1),"")</f>
        <v/>
      </c>
      <c r="AA250" t="str">
        <f>IF(Tabela1[[#This Row],[2]]&lt;&gt;"",IF(ISNUMBER(FIND(",",Tabela1[[#This Row],[2]])),LEN(Tabela1[[#This Row],[2]])-LEN(SUBSTITUTE(Tabela1[[#This Row],[2]],",",""))+1,1),"")</f>
        <v/>
      </c>
      <c r="AB250">
        <f>IF(Tabela1[[#This Row],[3]]&lt;&gt;"",IF(ISNUMBER(FIND(",",Tabela1[[#This Row],[3]])),LEN(Tabela1[[#This Row],[3]])-LEN(SUBSTITUTE(Tabela1[[#This Row],[3]],",",""))+1,1),"")</f>
        <v>1</v>
      </c>
      <c r="AC250" t="str">
        <f>IF(Tabela1[[#This Row],[4]]&lt;&gt;"",IF(ISNUMBER(FIND(",",Tabela1[[#This Row],[4]])),LEN(Tabela1[[#This Row],[4]])-LEN(SUBSTITUTE(Tabela1[[#This Row],[4]],",",""))+1,1),"")</f>
        <v/>
      </c>
      <c r="AD250" t="str">
        <f>IF(Tabela1[[#This Row],[5]]&lt;&gt;"",IF(ISNUMBER(FIND(",",Tabela1[[#This Row],[5]])),LEN(Tabela1[[#This Row],[5]])-LEN(SUBSTITUTE(Tabela1[[#This Row],[5]],",",""))+1,1),"")</f>
        <v/>
      </c>
      <c r="AE250" t="str">
        <f>IF(Tabela1[[#This Row],[6]]&lt;&gt;"",IF(ISNUMBER(FIND(",",Tabela1[[#This Row],[6]])),LEN(Tabela1[[#This Row],[6]])-LEN(SUBSTITUTE(Tabela1[[#This Row],[6]],",",""))+1,1),"")</f>
        <v/>
      </c>
      <c r="AF250" t="str">
        <f>IF(Tabela1[[#This Row],[7]]&lt;&gt;"",IF(ISNUMBER(FIND(",",Tabela1[[#This Row],[7]])),LEN(Tabela1[[#This Row],[7]])-LEN(SUBSTITUTE(Tabela1[[#This Row],[7]],",",""))+1,1),"")</f>
        <v/>
      </c>
      <c r="AG250" t="str">
        <f>IF(Tabela1[[#This Row],[8]]&lt;&gt;"",IF(ISNUMBER(FIND(",",Tabela1[[#This Row],[8]])),LEN(Tabela1[[#This Row],[8]])-LEN(SUBSTITUTE(Tabela1[[#This Row],[8]],",",""))+1,1),"")</f>
        <v/>
      </c>
      <c r="AH250" t="str">
        <f>IF(Tabela1[[#This Row],[9]]&lt;&gt;"",IF(ISNUMBER(FIND(",",Tabela1[[#This Row],[9]])),LEN(Tabela1[[#This Row],[9]])-LEN(SUBSTITUTE(Tabela1[[#This Row],[9]],",",""))+1,1),"")</f>
        <v/>
      </c>
      <c r="AI250" t="str">
        <f>IF(Tabela1[[#This Row],[10]]&lt;&gt;"",IF(ISNUMBER(FIND(",",Tabela1[[#This Row],[10]])),LEN(Tabela1[[#This Row],[10]])-LEN(SUBSTITUTE(Tabela1[[#This Row],[10]],",",""))+1,1),"")</f>
        <v/>
      </c>
      <c r="AJ250" t="str">
        <f>IF(Tabela1[[#This Row],[11]]&lt;&gt;"",IF(ISNUMBER(FIND(",",Tabela1[[#This Row],[11]])),LEN(Tabela1[[#This Row],[11]])-LEN(SUBSTITUTE(Tabela1[[#This Row],[11]],",",""))+1,1),"")</f>
        <v/>
      </c>
      <c r="AK250" t="str">
        <f>IF(Tabela1[[#This Row],[12]]&lt;&gt;"",IF(ISNUMBER(FIND(",",Tabela1[[#This Row],[12]])),LEN(Tabela1[[#This Row],[12]])-LEN(SUBSTITUTE(Tabela1[[#This Row],[12]],",",""))+1,1),"")</f>
        <v/>
      </c>
      <c r="AL250" t="str">
        <f>IF(Tabela1[[#This Row],[13]]&lt;&gt;"",IF(ISNUMBER(FIND(",",Tabela1[[#This Row],[13]])),LEN(Tabela1[[#This Row],[13]])-LEN(SUBSTITUTE(Tabela1[[#This Row],[13]],",",""))+1,1),"")</f>
        <v/>
      </c>
      <c r="AM250" t="str">
        <f>IF(Tabela1[[#This Row],[14]]&lt;&gt;"",IF(ISNUMBER(FIND(",",Tabela1[[#This Row],[14]])),LEN(Tabela1[[#This Row],[14]])-LEN(SUBSTITUTE(Tabela1[[#This Row],[14]],",",""))+1,1),"")</f>
        <v/>
      </c>
      <c r="AN250" t="str">
        <f>IF(Tabela1[[#This Row],[15]]&lt;&gt;"",IF(ISNUMBER(FIND(",",Tabela1[[#This Row],[15]])),LEN(Tabela1[[#This Row],[15]])-LEN(SUBSTITUTE(Tabela1[[#This Row],[15]],",",""))+1,1),"")</f>
        <v/>
      </c>
      <c r="AO250">
        <f>IF(Tabela1[[#This Row],[16]]&lt;&gt;"",IF(ISNUMBER(FIND(",",Tabela1[[#This Row],[16]])),LEN(Tabela1[[#This Row],[16]])-LEN(SUBSTITUTE(Tabela1[[#This Row],[16]],",",""))+1,1),"")</f>
        <v>4</v>
      </c>
      <c r="AP250" t="str">
        <f>IF(Tabela1[[#This Row],[17]]&lt;&gt;"",IF(ISNUMBER(FIND(",",Tabela1[[#This Row],[17]])),LEN(Tabela1[[#This Row],[17]])-LEN(SUBSTITUTE(Tabela1[[#This Row],[17]],",",""))+1,1),"")</f>
        <v/>
      </c>
      <c r="AQ250" t="str">
        <f>IF(Tabela1[[#This Row],[18]]&lt;&gt;"",IF(ISNUMBER(FIND(",",Tabela1[[#This Row],[18]])),LEN(Tabela1[[#This Row],[18]])-LEN(SUBSTITUTE(Tabela1[[#This Row],[18]],",",""))+1,1),"")</f>
        <v/>
      </c>
      <c r="AR250" s="13">
        <f>IF(Tabela1[[#This Row],[19_LENGTH]]&lt;&gt;"",IF(ISNUMBER(FIND(",",Tabela1[[#This Row],[19_LENGTH]])),LEN(Tabela1[[#This Row],[19_LENGTH]])-LEN(SUBSTITUTE(Tabela1[[#This Row],[19_LENGTH]],",",""))+1,1),"")</f>
        <v>1</v>
      </c>
      <c r="AS250" s="21">
        <f>SUM(Tabela1[[#This Row],[1_]:[19_]])</f>
        <v>6</v>
      </c>
    </row>
    <row r="251" spans="1:45" x14ac:dyDescent="0.25">
      <c r="A251" s="27" t="s">
        <v>1322</v>
      </c>
      <c r="B251" s="19" t="s">
        <v>434</v>
      </c>
      <c r="C251" s="19">
        <v>198</v>
      </c>
      <c r="D251" s="19" t="s">
        <v>1292</v>
      </c>
      <c r="E251" s="20">
        <v>43493</v>
      </c>
      <c r="F251" s="19"/>
      <c r="G251" s="19"/>
      <c r="H251" s="19"/>
      <c r="I251" s="19"/>
      <c r="J251" s="19"/>
      <c r="K251" s="19"/>
      <c r="L251" s="19"/>
      <c r="M251" s="19"/>
      <c r="N251" s="19"/>
      <c r="O251" s="19"/>
      <c r="P251" s="19"/>
      <c r="Q251" s="19"/>
      <c r="R251" s="19"/>
      <c r="S251" s="19"/>
      <c r="T251" s="19"/>
      <c r="U251" s="19">
        <v>128</v>
      </c>
      <c r="V251" s="19"/>
      <c r="W251" s="19"/>
      <c r="X251" s="19"/>
      <c r="Y251" s="19"/>
      <c r="Z251" t="str">
        <f>IF(Tabela1[[#This Row],[1]]&lt;&gt;"",IF(ISNUMBER(FIND(",",Tabela1[[#This Row],[1]])),LEN(Tabela1[[#This Row],[1]])-LEN(SUBSTITUTE(Tabela1[[#This Row],[1]],",",""))+1,1),"")</f>
        <v/>
      </c>
      <c r="AA251" t="str">
        <f>IF(Tabela1[[#This Row],[2]]&lt;&gt;"",IF(ISNUMBER(FIND(",",Tabela1[[#This Row],[2]])),LEN(Tabela1[[#This Row],[2]])-LEN(SUBSTITUTE(Tabela1[[#This Row],[2]],",",""))+1,1),"")</f>
        <v/>
      </c>
      <c r="AB251" t="str">
        <f>IF(Tabela1[[#This Row],[3]]&lt;&gt;"",IF(ISNUMBER(FIND(",",Tabela1[[#This Row],[3]])),LEN(Tabela1[[#This Row],[3]])-LEN(SUBSTITUTE(Tabela1[[#This Row],[3]],",",""))+1,1),"")</f>
        <v/>
      </c>
      <c r="AC251" t="str">
        <f>IF(Tabela1[[#This Row],[4]]&lt;&gt;"",IF(ISNUMBER(FIND(",",Tabela1[[#This Row],[4]])),LEN(Tabela1[[#This Row],[4]])-LEN(SUBSTITUTE(Tabela1[[#This Row],[4]],",",""))+1,1),"")</f>
        <v/>
      </c>
      <c r="AD251" t="str">
        <f>IF(Tabela1[[#This Row],[5]]&lt;&gt;"",IF(ISNUMBER(FIND(",",Tabela1[[#This Row],[5]])),LEN(Tabela1[[#This Row],[5]])-LEN(SUBSTITUTE(Tabela1[[#This Row],[5]],",",""))+1,1),"")</f>
        <v/>
      </c>
      <c r="AE251" t="str">
        <f>IF(Tabela1[[#This Row],[6]]&lt;&gt;"",IF(ISNUMBER(FIND(",",Tabela1[[#This Row],[6]])),LEN(Tabela1[[#This Row],[6]])-LEN(SUBSTITUTE(Tabela1[[#This Row],[6]],",",""))+1,1),"")</f>
        <v/>
      </c>
      <c r="AF251" t="str">
        <f>IF(Tabela1[[#This Row],[7]]&lt;&gt;"",IF(ISNUMBER(FIND(",",Tabela1[[#This Row],[7]])),LEN(Tabela1[[#This Row],[7]])-LEN(SUBSTITUTE(Tabela1[[#This Row],[7]],",",""))+1,1),"")</f>
        <v/>
      </c>
      <c r="AG251" t="str">
        <f>IF(Tabela1[[#This Row],[8]]&lt;&gt;"",IF(ISNUMBER(FIND(",",Tabela1[[#This Row],[8]])),LEN(Tabela1[[#This Row],[8]])-LEN(SUBSTITUTE(Tabela1[[#This Row],[8]],",",""))+1,1),"")</f>
        <v/>
      </c>
      <c r="AH251" t="str">
        <f>IF(Tabela1[[#This Row],[9]]&lt;&gt;"",IF(ISNUMBER(FIND(",",Tabela1[[#This Row],[9]])),LEN(Tabela1[[#This Row],[9]])-LEN(SUBSTITUTE(Tabela1[[#This Row],[9]],",",""))+1,1),"")</f>
        <v/>
      </c>
      <c r="AI251" t="str">
        <f>IF(Tabela1[[#This Row],[10]]&lt;&gt;"",IF(ISNUMBER(FIND(",",Tabela1[[#This Row],[10]])),LEN(Tabela1[[#This Row],[10]])-LEN(SUBSTITUTE(Tabela1[[#This Row],[10]],",",""))+1,1),"")</f>
        <v/>
      </c>
      <c r="AJ251" t="str">
        <f>IF(Tabela1[[#This Row],[11]]&lt;&gt;"",IF(ISNUMBER(FIND(",",Tabela1[[#This Row],[11]])),LEN(Tabela1[[#This Row],[11]])-LEN(SUBSTITUTE(Tabela1[[#This Row],[11]],",",""))+1,1),"")</f>
        <v/>
      </c>
      <c r="AK251" t="str">
        <f>IF(Tabela1[[#This Row],[12]]&lt;&gt;"",IF(ISNUMBER(FIND(",",Tabela1[[#This Row],[12]])),LEN(Tabela1[[#This Row],[12]])-LEN(SUBSTITUTE(Tabela1[[#This Row],[12]],",",""))+1,1),"")</f>
        <v/>
      </c>
      <c r="AL251" t="str">
        <f>IF(Tabela1[[#This Row],[13]]&lt;&gt;"",IF(ISNUMBER(FIND(",",Tabela1[[#This Row],[13]])),LEN(Tabela1[[#This Row],[13]])-LEN(SUBSTITUTE(Tabela1[[#This Row],[13]],",",""))+1,1),"")</f>
        <v/>
      </c>
      <c r="AM251" t="str">
        <f>IF(Tabela1[[#This Row],[14]]&lt;&gt;"",IF(ISNUMBER(FIND(",",Tabela1[[#This Row],[14]])),LEN(Tabela1[[#This Row],[14]])-LEN(SUBSTITUTE(Tabela1[[#This Row],[14]],",",""))+1,1),"")</f>
        <v/>
      </c>
      <c r="AN251" t="str">
        <f>IF(Tabela1[[#This Row],[15]]&lt;&gt;"",IF(ISNUMBER(FIND(",",Tabela1[[#This Row],[15]])),LEN(Tabela1[[#This Row],[15]])-LEN(SUBSTITUTE(Tabela1[[#This Row],[15]],",",""))+1,1),"")</f>
        <v/>
      </c>
      <c r="AO251">
        <f>IF(Tabela1[[#This Row],[16]]&lt;&gt;"",IF(ISNUMBER(FIND(",",Tabela1[[#This Row],[16]])),LEN(Tabela1[[#This Row],[16]])-LEN(SUBSTITUTE(Tabela1[[#This Row],[16]],",",""))+1,1),"")</f>
        <v>1</v>
      </c>
      <c r="AP251" t="str">
        <f>IF(Tabela1[[#This Row],[17]]&lt;&gt;"",IF(ISNUMBER(FIND(",",Tabela1[[#This Row],[17]])),LEN(Tabela1[[#This Row],[17]])-LEN(SUBSTITUTE(Tabela1[[#This Row],[17]],",",""))+1,1),"")</f>
        <v/>
      </c>
      <c r="AQ251" t="str">
        <f>IF(Tabela1[[#This Row],[18]]&lt;&gt;"",IF(ISNUMBER(FIND(",",Tabela1[[#This Row],[18]])),LEN(Tabela1[[#This Row],[18]])-LEN(SUBSTITUTE(Tabela1[[#This Row],[18]],",",""))+1,1),"")</f>
        <v/>
      </c>
      <c r="AR251" s="13" t="str">
        <f>IF(Tabela1[[#This Row],[19_LENGTH]]&lt;&gt;"",IF(ISNUMBER(FIND(",",Tabela1[[#This Row],[19_LENGTH]])),LEN(Tabela1[[#This Row],[19_LENGTH]])-LEN(SUBSTITUTE(Tabela1[[#This Row],[19_LENGTH]],",",""))+1,1),"")</f>
        <v/>
      </c>
      <c r="AS251" s="21">
        <f>SUM(Tabela1[[#This Row],[1_]:[19_]])</f>
        <v>1</v>
      </c>
    </row>
    <row r="252" spans="1:45" x14ac:dyDescent="0.25">
      <c r="A252" s="27" t="s">
        <v>1322</v>
      </c>
      <c r="B252" s="19" t="s">
        <v>435</v>
      </c>
      <c r="C252" s="19">
        <v>202</v>
      </c>
      <c r="D252" s="19" t="s">
        <v>1292</v>
      </c>
      <c r="E252" s="20">
        <v>43493</v>
      </c>
      <c r="F252" s="19"/>
      <c r="G252" s="19"/>
      <c r="H252" s="19"/>
      <c r="I252" s="19"/>
      <c r="J252" s="19"/>
      <c r="K252" s="19"/>
      <c r="L252" s="19"/>
      <c r="M252" s="19"/>
      <c r="N252" s="19"/>
      <c r="O252" s="19"/>
      <c r="P252" s="19"/>
      <c r="Q252" s="19"/>
      <c r="R252" s="19"/>
      <c r="S252" s="19"/>
      <c r="T252" s="19"/>
      <c r="U252" s="19">
        <v>125</v>
      </c>
      <c r="V252" s="19">
        <v>125</v>
      </c>
      <c r="W252" s="19"/>
      <c r="X252" s="19"/>
      <c r="Y252" s="19"/>
      <c r="Z252" t="str">
        <f>IF(Tabela1[[#This Row],[1]]&lt;&gt;"",IF(ISNUMBER(FIND(",",Tabela1[[#This Row],[1]])),LEN(Tabela1[[#This Row],[1]])-LEN(SUBSTITUTE(Tabela1[[#This Row],[1]],",",""))+1,1),"")</f>
        <v/>
      </c>
      <c r="AA252" t="str">
        <f>IF(Tabela1[[#This Row],[2]]&lt;&gt;"",IF(ISNUMBER(FIND(",",Tabela1[[#This Row],[2]])),LEN(Tabela1[[#This Row],[2]])-LEN(SUBSTITUTE(Tabela1[[#This Row],[2]],",",""))+1,1),"")</f>
        <v/>
      </c>
      <c r="AB252" t="str">
        <f>IF(Tabela1[[#This Row],[3]]&lt;&gt;"",IF(ISNUMBER(FIND(",",Tabela1[[#This Row],[3]])),LEN(Tabela1[[#This Row],[3]])-LEN(SUBSTITUTE(Tabela1[[#This Row],[3]],",",""))+1,1),"")</f>
        <v/>
      </c>
      <c r="AC252" t="str">
        <f>IF(Tabela1[[#This Row],[4]]&lt;&gt;"",IF(ISNUMBER(FIND(",",Tabela1[[#This Row],[4]])),LEN(Tabela1[[#This Row],[4]])-LEN(SUBSTITUTE(Tabela1[[#This Row],[4]],",",""))+1,1),"")</f>
        <v/>
      </c>
      <c r="AD252" t="str">
        <f>IF(Tabela1[[#This Row],[5]]&lt;&gt;"",IF(ISNUMBER(FIND(",",Tabela1[[#This Row],[5]])),LEN(Tabela1[[#This Row],[5]])-LEN(SUBSTITUTE(Tabela1[[#This Row],[5]],",",""))+1,1),"")</f>
        <v/>
      </c>
      <c r="AE252" t="str">
        <f>IF(Tabela1[[#This Row],[6]]&lt;&gt;"",IF(ISNUMBER(FIND(",",Tabela1[[#This Row],[6]])),LEN(Tabela1[[#This Row],[6]])-LEN(SUBSTITUTE(Tabela1[[#This Row],[6]],",",""))+1,1),"")</f>
        <v/>
      </c>
      <c r="AF252" t="str">
        <f>IF(Tabela1[[#This Row],[7]]&lt;&gt;"",IF(ISNUMBER(FIND(",",Tabela1[[#This Row],[7]])),LEN(Tabela1[[#This Row],[7]])-LEN(SUBSTITUTE(Tabela1[[#This Row],[7]],",",""))+1,1),"")</f>
        <v/>
      </c>
      <c r="AG252" t="str">
        <f>IF(Tabela1[[#This Row],[8]]&lt;&gt;"",IF(ISNUMBER(FIND(",",Tabela1[[#This Row],[8]])),LEN(Tabela1[[#This Row],[8]])-LEN(SUBSTITUTE(Tabela1[[#This Row],[8]],",",""))+1,1),"")</f>
        <v/>
      </c>
      <c r="AH252" t="str">
        <f>IF(Tabela1[[#This Row],[9]]&lt;&gt;"",IF(ISNUMBER(FIND(",",Tabela1[[#This Row],[9]])),LEN(Tabela1[[#This Row],[9]])-LEN(SUBSTITUTE(Tabela1[[#This Row],[9]],",",""))+1,1),"")</f>
        <v/>
      </c>
      <c r="AI252" t="str">
        <f>IF(Tabela1[[#This Row],[10]]&lt;&gt;"",IF(ISNUMBER(FIND(",",Tabela1[[#This Row],[10]])),LEN(Tabela1[[#This Row],[10]])-LEN(SUBSTITUTE(Tabela1[[#This Row],[10]],",",""))+1,1),"")</f>
        <v/>
      </c>
      <c r="AJ252" t="str">
        <f>IF(Tabela1[[#This Row],[11]]&lt;&gt;"",IF(ISNUMBER(FIND(",",Tabela1[[#This Row],[11]])),LEN(Tabela1[[#This Row],[11]])-LEN(SUBSTITUTE(Tabela1[[#This Row],[11]],",",""))+1,1),"")</f>
        <v/>
      </c>
      <c r="AK252" t="str">
        <f>IF(Tabela1[[#This Row],[12]]&lt;&gt;"",IF(ISNUMBER(FIND(",",Tabela1[[#This Row],[12]])),LEN(Tabela1[[#This Row],[12]])-LEN(SUBSTITUTE(Tabela1[[#This Row],[12]],",",""))+1,1),"")</f>
        <v/>
      </c>
      <c r="AL252" t="str">
        <f>IF(Tabela1[[#This Row],[13]]&lt;&gt;"",IF(ISNUMBER(FIND(",",Tabela1[[#This Row],[13]])),LEN(Tabela1[[#This Row],[13]])-LEN(SUBSTITUTE(Tabela1[[#This Row],[13]],",",""))+1,1),"")</f>
        <v/>
      </c>
      <c r="AM252" t="str">
        <f>IF(Tabela1[[#This Row],[14]]&lt;&gt;"",IF(ISNUMBER(FIND(",",Tabela1[[#This Row],[14]])),LEN(Tabela1[[#This Row],[14]])-LEN(SUBSTITUTE(Tabela1[[#This Row],[14]],",",""))+1,1),"")</f>
        <v/>
      </c>
      <c r="AN252" t="str">
        <f>IF(Tabela1[[#This Row],[15]]&lt;&gt;"",IF(ISNUMBER(FIND(",",Tabela1[[#This Row],[15]])),LEN(Tabela1[[#This Row],[15]])-LEN(SUBSTITUTE(Tabela1[[#This Row],[15]],",",""))+1,1),"")</f>
        <v/>
      </c>
      <c r="AO252">
        <f>IF(Tabela1[[#This Row],[16]]&lt;&gt;"",IF(ISNUMBER(FIND(",",Tabela1[[#This Row],[16]])),LEN(Tabela1[[#This Row],[16]])-LEN(SUBSTITUTE(Tabela1[[#This Row],[16]],",",""))+1,1),"")</f>
        <v>1</v>
      </c>
      <c r="AP252">
        <f>IF(Tabela1[[#This Row],[17]]&lt;&gt;"",IF(ISNUMBER(FIND(",",Tabela1[[#This Row],[17]])),LEN(Tabela1[[#This Row],[17]])-LEN(SUBSTITUTE(Tabela1[[#This Row],[17]],",",""))+1,1),"")</f>
        <v>1</v>
      </c>
      <c r="AQ252" t="str">
        <f>IF(Tabela1[[#This Row],[18]]&lt;&gt;"",IF(ISNUMBER(FIND(",",Tabela1[[#This Row],[18]])),LEN(Tabela1[[#This Row],[18]])-LEN(SUBSTITUTE(Tabela1[[#This Row],[18]],",",""))+1,1),"")</f>
        <v/>
      </c>
      <c r="AR252" s="13" t="str">
        <f>IF(Tabela1[[#This Row],[19_LENGTH]]&lt;&gt;"",IF(ISNUMBER(FIND(",",Tabela1[[#This Row],[19_LENGTH]])),LEN(Tabela1[[#This Row],[19_LENGTH]])-LEN(SUBSTITUTE(Tabela1[[#This Row],[19_LENGTH]],",",""))+1,1),"")</f>
        <v/>
      </c>
      <c r="AS252" s="21">
        <f>SUM(Tabela1[[#This Row],[1_]:[19_]])</f>
        <v>2</v>
      </c>
    </row>
    <row r="253" spans="1:45" x14ac:dyDescent="0.25">
      <c r="A253" s="27" t="s">
        <v>1322</v>
      </c>
      <c r="B253" s="19" t="s">
        <v>1403</v>
      </c>
      <c r="C253" s="19">
        <v>202</v>
      </c>
      <c r="D253" s="19" t="s">
        <v>1298</v>
      </c>
      <c r="E253" s="20">
        <v>43493</v>
      </c>
      <c r="F253" s="19"/>
      <c r="G253" s="19"/>
      <c r="H253" s="19"/>
      <c r="I253" s="19" t="s">
        <v>96</v>
      </c>
      <c r="J253" s="19"/>
      <c r="K253" s="19"/>
      <c r="L253" s="19"/>
      <c r="M253" s="19"/>
      <c r="N253" s="19"/>
      <c r="O253" s="19"/>
      <c r="P253" s="19"/>
      <c r="Q253" s="19"/>
      <c r="R253" s="19"/>
      <c r="S253" s="19"/>
      <c r="T253" s="19"/>
      <c r="U253" s="19"/>
      <c r="V253" s="19"/>
      <c r="W253" s="19"/>
      <c r="X253" s="19" t="s">
        <v>95</v>
      </c>
      <c r="Y253" s="19" t="s">
        <v>97</v>
      </c>
      <c r="Z253" t="str">
        <f>IF(Tabela1[[#This Row],[1]]&lt;&gt;"",IF(ISNUMBER(FIND(",",Tabela1[[#This Row],[1]])),LEN(Tabela1[[#This Row],[1]])-LEN(SUBSTITUTE(Tabela1[[#This Row],[1]],",",""))+1,1),"")</f>
        <v/>
      </c>
      <c r="AA253" t="str">
        <f>IF(Tabela1[[#This Row],[2]]&lt;&gt;"",IF(ISNUMBER(FIND(",",Tabela1[[#This Row],[2]])),LEN(Tabela1[[#This Row],[2]])-LEN(SUBSTITUTE(Tabela1[[#This Row],[2]],",",""))+1,1),"")</f>
        <v/>
      </c>
      <c r="AB253" t="str">
        <f>IF(Tabela1[[#This Row],[3]]&lt;&gt;"",IF(ISNUMBER(FIND(",",Tabela1[[#This Row],[3]])),LEN(Tabela1[[#This Row],[3]])-LEN(SUBSTITUTE(Tabela1[[#This Row],[3]],",",""))+1,1),"")</f>
        <v/>
      </c>
      <c r="AC253">
        <f>IF(Tabela1[[#This Row],[4]]&lt;&gt;"",IF(ISNUMBER(FIND(",",Tabela1[[#This Row],[4]])),LEN(Tabela1[[#This Row],[4]])-LEN(SUBSTITUTE(Tabela1[[#This Row],[4]],",",""))+1,1),"")</f>
        <v>1</v>
      </c>
      <c r="AD253" t="str">
        <f>IF(Tabela1[[#This Row],[5]]&lt;&gt;"",IF(ISNUMBER(FIND(",",Tabela1[[#This Row],[5]])),LEN(Tabela1[[#This Row],[5]])-LEN(SUBSTITUTE(Tabela1[[#This Row],[5]],",",""))+1,1),"")</f>
        <v/>
      </c>
      <c r="AE253" t="str">
        <f>IF(Tabela1[[#This Row],[6]]&lt;&gt;"",IF(ISNUMBER(FIND(",",Tabela1[[#This Row],[6]])),LEN(Tabela1[[#This Row],[6]])-LEN(SUBSTITUTE(Tabela1[[#This Row],[6]],",",""))+1,1),"")</f>
        <v/>
      </c>
      <c r="AF253" t="str">
        <f>IF(Tabela1[[#This Row],[7]]&lt;&gt;"",IF(ISNUMBER(FIND(",",Tabela1[[#This Row],[7]])),LEN(Tabela1[[#This Row],[7]])-LEN(SUBSTITUTE(Tabela1[[#This Row],[7]],",",""))+1,1),"")</f>
        <v/>
      </c>
      <c r="AG253" t="str">
        <f>IF(Tabela1[[#This Row],[8]]&lt;&gt;"",IF(ISNUMBER(FIND(",",Tabela1[[#This Row],[8]])),LEN(Tabela1[[#This Row],[8]])-LEN(SUBSTITUTE(Tabela1[[#This Row],[8]],",",""))+1,1),"")</f>
        <v/>
      </c>
      <c r="AH253" t="str">
        <f>IF(Tabela1[[#This Row],[9]]&lt;&gt;"",IF(ISNUMBER(FIND(",",Tabela1[[#This Row],[9]])),LEN(Tabela1[[#This Row],[9]])-LEN(SUBSTITUTE(Tabela1[[#This Row],[9]],",",""))+1,1),"")</f>
        <v/>
      </c>
      <c r="AI253" t="str">
        <f>IF(Tabela1[[#This Row],[10]]&lt;&gt;"",IF(ISNUMBER(FIND(",",Tabela1[[#This Row],[10]])),LEN(Tabela1[[#This Row],[10]])-LEN(SUBSTITUTE(Tabela1[[#This Row],[10]],",",""))+1,1),"")</f>
        <v/>
      </c>
      <c r="AJ253" t="str">
        <f>IF(Tabela1[[#This Row],[11]]&lt;&gt;"",IF(ISNUMBER(FIND(",",Tabela1[[#This Row],[11]])),LEN(Tabela1[[#This Row],[11]])-LEN(SUBSTITUTE(Tabela1[[#This Row],[11]],",",""))+1,1),"")</f>
        <v/>
      </c>
      <c r="AK253" t="str">
        <f>IF(Tabela1[[#This Row],[12]]&lt;&gt;"",IF(ISNUMBER(FIND(",",Tabela1[[#This Row],[12]])),LEN(Tabela1[[#This Row],[12]])-LEN(SUBSTITUTE(Tabela1[[#This Row],[12]],",",""))+1,1),"")</f>
        <v/>
      </c>
      <c r="AL253" t="str">
        <f>IF(Tabela1[[#This Row],[13]]&lt;&gt;"",IF(ISNUMBER(FIND(",",Tabela1[[#This Row],[13]])),LEN(Tabela1[[#This Row],[13]])-LEN(SUBSTITUTE(Tabela1[[#This Row],[13]],",",""))+1,1),"")</f>
        <v/>
      </c>
      <c r="AM253" t="str">
        <f>IF(Tabela1[[#This Row],[14]]&lt;&gt;"",IF(ISNUMBER(FIND(",",Tabela1[[#This Row],[14]])),LEN(Tabela1[[#This Row],[14]])-LEN(SUBSTITUTE(Tabela1[[#This Row],[14]],",",""))+1,1),"")</f>
        <v/>
      </c>
      <c r="AN253" t="str">
        <f>IF(Tabela1[[#This Row],[15]]&lt;&gt;"",IF(ISNUMBER(FIND(",",Tabela1[[#This Row],[15]])),LEN(Tabela1[[#This Row],[15]])-LEN(SUBSTITUTE(Tabela1[[#This Row],[15]],",",""))+1,1),"")</f>
        <v/>
      </c>
      <c r="AO253" t="str">
        <f>IF(Tabela1[[#This Row],[16]]&lt;&gt;"",IF(ISNUMBER(FIND(",",Tabela1[[#This Row],[16]])),LEN(Tabela1[[#This Row],[16]])-LEN(SUBSTITUTE(Tabela1[[#This Row],[16]],",",""))+1,1),"")</f>
        <v/>
      </c>
      <c r="AP253" t="str">
        <f>IF(Tabela1[[#This Row],[17]]&lt;&gt;"",IF(ISNUMBER(FIND(",",Tabela1[[#This Row],[17]])),LEN(Tabela1[[#This Row],[17]])-LEN(SUBSTITUTE(Tabela1[[#This Row],[17]],",",""))+1,1),"")</f>
        <v/>
      </c>
      <c r="AQ253" t="str">
        <f>IF(Tabela1[[#This Row],[18]]&lt;&gt;"",IF(ISNUMBER(FIND(",",Tabela1[[#This Row],[18]])),LEN(Tabela1[[#This Row],[18]])-LEN(SUBSTITUTE(Tabela1[[#This Row],[18]],",",""))+1,1),"")</f>
        <v/>
      </c>
      <c r="AR253" s="13">
        <f>IF(Tabela1[[#This Row],[19_LENGTH]]&lt;&gt;"",IF(ISNUMBER(FIND(",",Tabela1[[#This Row],[19_LENGTH]])),LEN(Tabela1[[#This Row],[19_LENGTH]])-LEN(SUBSTITUTE(Tabela1[[#This Row],[19_LENGTH]],",",""))+1,1),"")</f>
        <v>1</v>
      </c>
      <c r="AS253" s="21">
        <f>SUM(Tabela1[[#This Row],[1_]:[19_]])</f>
        <v>2</v>
      </c>
    </row>
    <row r="254" spans="1:45" x14ac:dyDescent="0.25">
      <c r="A254" s="27" t="s">
        <v>1322</v>
      </c>
      <c r="B254" s="19" t="s">
        <v>758</v>
      </c>
      <c r="C254" s="19">
        <v>208</v>
      </c>
      <c r="D254" s="19" t="s">
        <v>1298</v>
      </c>
      <c r="E254" s="20">
        <v>43493</v>
      </c>
      <c r="F254" s="19"/>
      <c r="G254" s="19">
        <v>155</v>
      </c>
      <c r="H254" s="19"/>
      <c r="I254" s="19"/>
      <c r="J254" s="19"/>
      <c r="K254" s="19"/>
      <c r="L254" s="19"/>
      <c r="M254" s="19"/>
      <c r="N254" s="19"/>
      <c r="O254" s="19" t="s">
        <v>98</v>
      </c>
      <c r="P254" s="19"/>
      <c r="Q254" s="19"/>
      <c r="R254" s="19"/>
      <c r="S254" s="19"/>
      <c r="T254" s="19"/>
      <c r="U254" s="19"/>
      <c r="V254" s="19"/>
      <c r="W254" s="19">
        <v>26</v>
      </c>
      <c r="X254" s="19"/>
      <c r="Y254" s="19"/>
      <c r="Z254" t="str">
        <f>IF(Tabela1[[#This Row],[1]]&lt;&gt;"",IF(ISNUMBER(FIND(",",Tabela1[[#This Row],[1]])),LEN(Tabela1[[#This Row],[1]])-LEN(SUBSTITUTE(Tabela1[[#This Row],[1]],",",""))+1,1),"")</f>
        <v/>
      </c>
      <c r="AA254">
        <f>IF(Tabela1[[#This Row],[2]]&lt;&gt;"",IF(ISNUMBER(FIND(",",Tabela1[[#This Row],[2]])),LEN(Tabela1[[#This Row],[2]])-LEN(SUBSTITUTE(Tabela1[[#This Row],[2]],",",""))+1,1),"")</f>
        <v>1</v>
      </c>
      <c r="AB254" t="str">
        <f>IF(Tabela1[[#This Row],[3]]&lt;&gt;"",IF(ISNUMBER(FIND(",",Tabela1[[#This Row],[3]])),LEN(Tabela1[[#This Row],[3]])-LEN(SUBSTITUTE(Tabela1[[#This Row],[3]],",",""))+1,1),"")</f>
        <v/>
      </c>
      <c r="AC254" t="str">
        <f>IF(Tabela1[[#This Row],[4]]&lt;&gt;"",IF(ISNUMBER(FIND(",",Tabela1[[#This Row],[4]])),LEN(Tabela1[[#This Row],[4]])-LEN(SUBSTITUTE(Tabela1[[#This Row],[4]],",",""))+1,1),"")</f>
        <v/>
      </c>
      <c r="AD254" t="str">
        <f>IF(Tabela1[[#This Row],[5]]&lt;&gt;"",IF(ISNUMBER(FIND(",",Tabela1[[#This Row],[5]])),LEN(Tabela1[[#This Row],[5]])-LEN(SUBSTITUTE(Tabela1[[#This Row],[5]],",",""))+1,1),"")</f>
        <v/>
      </c>
      <c r="AE254" t="str">
        <f>IF(Tabela1[[#This Row],[6]]&lt;&gt;"",IF(ISNUMBER(FIND(",",Tabela1[[#This Row],[6]])),LEN(Tabela1[[#This Row],[6]])-LEN(SUBSTITUTE(Tabela1[[#This Row],[6]],",",""))+1,1),"")</f>
        <v/>
      </c>
      <c r="AF254" t="str">
        <f>IF(Tabela1[[#This Row],[7]]&lt;&gt;"",IF(ISNUMBER(FIND(",",Tabela1[[#This Row],[7]])),LEN(Tabela1[[#This Row],[7]])-LEN(SUBSTITUTE(Tabela1[[#This Row],[7]],",",""))+1,1),"")</f>
        <v/>
      </c>
      <c r="AG254" t="str">
        <f>IF(Tabela1[[#This Row],[8]]&lt;&gt;"",IF(ISNUMBER(FIND(",",Tabela1[[#This Row],[8]])),LEN(Tabela1[[#This Row],[8]])-LEN(SUBSTITUTE(Tabela1[[#This Row],[8]],",",""))+1,1),"")</f>
        <v/>
      </c>
      <c r="AH254" t="str">
        <f>IF(Tabela1[[#This Row],[9]]&lt;&gt;"",IF(ISNUMBER(FIND(",",Tabela1[[#This Row],[9]])),LEN(Tabela1[[#This Row],[9]])-LEN(SUBSTITUTE(Tabela1[[#This Row],[9]],",",""))+1,1),"")</f>
        <v/>
      </c>
      <c r="AI254">
        <f>IF(Tabela1[[#This Row],[10]]&lt;&gt;"",IF(ISNUMBER(FIND(",",Tabela1[[#This Row],[10]])),LEN(Tabela1[[#This Row],[10]])-LEN(SUBSTITUTE(Tabela1[[#This Row],[10]],",",""))+1,1),"")</f>
        <v>1</v>
      </c>
      <c r="AJ254" t="str">
        <f>IF(Tabela1[[#This Row],[11]]&lt;&gt;"",IF(ISNUMBER(FIND(",",Tabela1[[#This Row],[11]])),LEN(Tabela1[[#This Row],[11]])-LEN(SUBSTITUTE(Tabela1[[#This Row],[11]],",",""))+1,1),"")</f>
        <v/>
      </c>
      <c r="AK254" t="str">
        <f>IF(Tabela1[[#This Row],[12]]&lt;&gt;"",IF(ISNUMBER(FIND(",",Tabela1[[#This Row],[12]])),LEN(Tabela1[[#This Row],[12]])-LEN(SUBSTITUTE(Tabela1[[#This Row],[12]],",",""))+1,1),"")</f>
        <v/>
      </c>
      <c r="AL254" t="str">
        <f>IF(Tabela1[[#This Row],[13]]&lt;&gt;"",IF(ISNUMBER(FIND(",",Tabela1[[#This Row],[13]])),LEN(Tabela1[[#This Row],[13]])-LEN(SUBSTITUTE(Tabela1[[#This Row],[13]],",",""))+1,1),"")</f>
        <v/>
      </c>
      <c r="AM254" t="str">
        <f>IF(Tabela1[[#This Row],[14]]&lt;&gt;"",IF(ISNUMBER(FIND(",",Tabela1[[#This Row],[14]])),LEN(Tabela1[[#This Row],[14]])-LEN(SUBSTITUTE(Tabela1[[#This Row],[14]],",",""))+1,1),"")</f>
        <v/>
      </c>
      <c r="AN254" t="str">
        <f>IF(Tabela1[[#This Row],[15]]&lt;&gt;"",IF(ISNUMBER(FIND(",",Tabela1[[#This Row],[15]])),LEN(Tabela1[[#This Row],[15]])-LEN(SUBSTITUTE(Tabela1[[#This Row],[15]],",",""))+1,1),"")</f>
        <v/>
      </c>
      <c r="AO254" t="str">
        <f>IF(Tabela1[[#This Row],[16]]&lt;&gt;"",IF(ISNUMBER(FIND(",",Tabela1[[#This Row],[16]])),LEN(Tabela1[[#This Row],[16]])-LEN(SUBSTITUTE(Tabela1[[#This Row],[16]],",",""))+1,1),"")</f>
        <v/>
      </c>
      <c r="AP254" t="str">
        <f>IF(Tabela1[[#This Row],[17]]&lt;&gt;"",IF(ISNUMBER(FIND(",",Tabela1[[#This Row],[17]])),LEN(Tabela1[[#This Row],[17]])-LEN(SUBSTITUTE(Tabela1[[#This Row],[17]],",",""))+1,1),"")</f>
        <v/>
      </c>
      <c r="AQ254">
        <f>IF(Tabela1[[#This Row],[18]]&lt;&gt;"",IF(ISNUMBER(FIND(",",Tabela1[[#This Row],[18]])),LEN(Tabela1[[#This Row],[18]])-LEN(SUBSTITUTE(Tabela1[[#This Row],[18]],",",""))+1,1),"")</f>
        <v>1</v>
      </c>
      <c r="AR254" s="13" t="str">
        <f>IF(Tabela1[[#This Row],[19_LENGTH]]&lt;&gt;"",IF(ISNUMBER(FIND(",",Tabela1[[#This Row],[19_LENGTH]])),LEN(Tabela1[[#This Row],[19_LENGTH]])-LEN(SUBSTITUTE(Tabela1[[#This Row],[19_LENGTH]],",",""))+1,1),"")</f>
        <v/>
      </c>
      <c r="AS254" s="21">
        <f>SUM(Tabela1[[#This Row],[1_]:[19_]])</f>
        <v>3</v>
      </c>
    </row>
    <row r="255" spans="1:45" x14ac:dyDescent="0.25">
      <c r="A255" s="27" t="s">
        <v>1322</v>
      </c>
      <c r="B255" s="19" t="s">
        <v>759</v>
      </c>
      <c r="C255" s="19">
        <v>202</v>
      </c>
      <c r="D255" s="19" t="s">
        <v>1298</v>
      </c>
      <c r="E255" s="20">
        <v>43493</v>
      </c>
      <c r="F255" s="19"/>
      <c r="G255" s="19"/>
      <c r="H255" s="19"/>
      <c r="I255" s="19">
        <v>118</v>
      </c>
      <c r="J255" s="19"/>
      <c r="K255" s="19"/>
      <c r="L255" s="19"/>
      <c r="M255" s="19"/>
      <c r="N255" s="19"/>
      <c r="O255" s="19"/>
      <c r="P255" s="19"/>
      <c r="Q255" s="19"/>
      <c r="R255" s="19"/>
      <c r="S255" s="19"/>
      <c r="T255" s="19"/>
      <c r="U255" s="19"/>
      <c r="V255" s="19"/>
      <c r="W255" s="19"/>
      <c r="X255" s="19"/>
      <c r="Y255" s="19"/>
      <c r="Z255" t="str">
        <f>IF(Tabela1[[#This Row],[1]]&lt;&gt;"",IF(ISNUMBER(FIND(",",Tabela1[[#This Row],[1]])),LEN(Tabela1[[#This Row],[1]])-LEN(SUBSTITUTE(Tabela1[[#This Row],[1]],",",""))+1,1),"")</f>
        <v/>
      </c>
      <c r="AA255" t="str">
        <f>IF(Tabela1[[#This Row],[2]]&lt;&gt;"",IF(ISNUMBER(FIND(",",Tabela1[[#This Row],[2]])),LEN(Tabela1[[#This Row],[2]])-LEN(SUBSTITUTE(Tabela1[[#This Row],[2]],",",""))+1,1),"")</f>
        <v/>
      </c>
      <c r="AB255" t="str">
        <f>IF(Tabela1[[#This Row],[3]]&lt;&gt;"",IF(ISNUMBER(FIND(",",Tabela1[[#This Row],[3]])),LEN(Tabela1[[#This Row],[3]])-LEN(SUBSTITUTE(Tabela1[[#This Row],[3]],",",""))+1,1),"")</f>
        <v/>
      </c>
      <c r="AC255">
        <f>IF(Tabela1[[#This Row],[4]]&lt;&gt;"",IF(ISNUMBER(FIND(",",Tabela1[[#This Row],[4]])),LEN(Tabela1[[#This Row],[4]])-LEN(SUBSTITUTE(Tabela1[[#This Row],[4]],",",""))+1,1),"")</f>
        <v>1</v>
      </c>
      <c r="AD255" t="str">
        <f>IF(Tabela1[[#This Row],[5]]&lt;&gt;"",IF(ISNUMBER(FIND(",",Tabela1[[#This Row],[5]])),LEN(Tabela1[[#This Row],[5]])-LEN(SUBSTITUTE(Tabela1[[#This Row],[5]],",",""))+1,1),"")</f>
        <v/>
      </c>
      <c r="AE255" t="str">
        <f>IF(Tabela1[[#This Row],[6]]&lt;&gt;"",IF(ISNUMBER(FIND(",",Tabela1[[#This Row],[6]])),LEN(Tabela1[[#This Row],[6]])-LEN(SUBSTITUTE(Tabela1[[#This Row],[6]],",",""))+1,1),"")</f>
        <v/>
      </c>
      <c r="AF255" t="str">
        <f>IF(Tabela1[[#This Row],[7]]&lt;&gt;"",IF(ISNUMBER(FIND(",",Tabela1[[#This Row],[7]])),LEN(Tabela1[[#This Row],[7]])-LEN(SUBSTITUTE(Tabela1[[#This Row],[7]],",",""))+1,1),"")</f>
        <v/>
      </c>
      <c r="AG255" t="str">
        <f>IF(Tabela1[[#This Row],[8]]&lt;&gt;"",IF(ISNUMBER(FIND(",",Tabela1[[#This Row],[8]])),LEN(Tabela1[[#This Row],[8]])-LEN(SUBSTITUTE(Tabela1[[#This Row],[8]],",",""))+1,1),"")</f>
        <v/>
      </c>
      <c r="AH255" t="str">
        <f>IF(Tabela1[[#This Row],[9]]&lt;&gt;"",IF(ISNUMBER(FIND(",",Tabela1[[#This Row],[9]])),LEN(Tabela1[[#This Row],[9]])-LEN(SUBSTITUTE(Tabela1[[#This Row],[9]],",",""))+1,1),"")</f>
        <v/>
      </c>
      <c r="AI255" t="str">
        <f>IF(Tabela1[[#This Row],[10]]&lt;&gt;"",IF(ISNUMBER(FIND(",",Tabela1[[#This Row],[10]])),LEN(Tabela1[[#This Row],[10]])-LEN(SUBSTITUTE(Tabela1[[#This Row],[10]],",",""))+1,1),"")</f>
        <v/>
      </c>
      <c r="AJ255" t="str">
        <f>IF(Tabela1[[#This Row],[11]]&lt;&gt;"",IF(ISNUMBER(FIND(",",Tabela1[[#This Row],[11]])),LEN(Tabela1[[#This Row],[11]])-LEN(SUBSTITUTE(Tabela1[[#This Row],[11]],",",""))+1,1),"")</f>
        <v/>
      </c>
      <c r="AK255" t="str">
        <f>IF(Tabela1[[#This Row],[12]]&lt;&gt;"",IF(ISNUMBER(FIND(",",Tabela1[[#This Row],[12]])),LEN(Tabela1[[#This Row],[12]])-LEN(SUBSTITUTE(Tabela1[[#This Row],[12]],",",""))+1,1),"")</f>
        <v/>
      </c>
      <c r="AL255" t="str">
        <f>IF(Tabela1[[#This Row],[13]]&lt;&gt;"",IF(ISNUMBER(FIND(",",Tabela1[[#This Row],[13]])),LEN(Tabela1[[#This Row],[13]])-LEN(SUBSTITUTE(Tabela1[[#This Row],[13]],",",""))+1,1),"")</f>
        <v/>
      </c>
      <c r="AM255" t="str">
        <f>IF(Tabela1[[#This Row],[14]]&lt;&gt;"",IF(ISNUMBER(FIND(",",Tabela1[[#This Row],[14]])),LEN(Tabela1[[#This Row],[14]])-LEN(SUBSTITUTE(Tabela1[[#This Row],[14]],",",""))+1,1),"")</f>
        <v/>
      </c>
      <c r="AN255" t="str">
        <f>IF(Tabela1[[#This Row],[15]]&lt;&gt;"",IF(ISNUMBER(FIND(",",Tabela1[[#This Row],[15]])),LEN(Tabela1[[#This Row],[15]])-LEN(SUBSTITUTE(Tabela1[[#This Row],[15]],",",""))+1,1),"")</f>
        <v/>
      </c>
      <c r="AO255" t="str">
        <f>IF(Tabela1[[#This Row],[16]]&lt;&gt;"",IF(ISNUMBER(FIND(",",Tabela1[[#This Row],[16]])),LEN(Tabela1[[#This Row],[16]])-LEN(SUBSTITUTE(Tabela1[[#This Row],[16]],",",""))+1,1),"")</f>
        <v/>
      </c>
      <c r="AP255" t="str">
        <f>IF(Tabela1[[#This Row],[17]]&lt;&gt;"",IF(ISNUMBER(FIND(",",Tabela1[[#This Row],[17]])),LEN(Tabela1[[#This Row],[17]])-LEN(SUBSTITUTE(Tabela1[[#This Row],[17]],",",""))+1,1),"")</f>
        <v/>
      </c>
      <c r="AQ255" t="str">
        <f>IF(Tabela1[[#This Row],[18]]&lt;&gt;"",IF(ISNUMBER(FIND(",",Tabela1[[#This Row],[18]])),LEN(Tabela1[[#This Row],[18]])-LEN(SUBSTITUTE(Tabela1[[#This Row],[18]],",",""))+1,1),"")</f>
        <v/>
      </c>
      <c r="AR255" s="13" t="str">
        <f>IF(Tabela1[[#This Row],[19_LENGTH]]&lt;&gt;"",IF(ISNUMBER(FIND(",",Tabela1[[#This Row],[19_LENGTH]])),LEN(Tabela1[[#This Row],[19_LENGTH]])-LEN(SUBSTITUTE(Tabela1[[#This Row],[19_LENGTH]],",",""))+1,1),"")</f>
        <v/>
      </c>
      <c r="AS255" s="21">
        <f>SUM(Tabela1[[#This Row],[1_]:[19_]])</f>
        <v>1</v>
      </c>
    </row>
    <row r="256" spans="1:45" x14ac:dyDescent="0.25">
      <c r="A256" s="27" t="s">
        <v>1322</v>
      </c>
      <c r="B256" s="19" t="s">
        <v>760</v>
      </c>
      <c r="C256" s="19">
        <v>202</v>
      </c>
      <c r="D256" s="19" t="s">
        <v>1298</v>
      </c>
      <c r="E256" s="20">
        <v>43493</v>
      </c>
      <c r="F256" s="19"/>
      <c r="G256" s="19"/>
      <c r="H256" s="19"/>
      <c r="I256" s="19"/>
      <c r="J256" s="19">
        <v>77</v>
      </c>
      <c r="K256" s="19"/>
      <c r="L256" s="19"/>
      <c r="M256" s="19"/>
      <c r="N256" s="19"/>
      <c r="O256" s="19"/>
      <c r="P256" s="19"/>
      <c r="Q256" s="19"/>
      <c r="R256" s="19"/>
      <c r="S256" s="19"/>
      <c r="T256" s="19"/>
      <c r="U256" s="19"/>
      <c r="V256" s="19"/>
      <c r="W256" s="19"/>
      <c r="X256" s="19"/>
      <c r="Y256" s="19"/>
      <c r="Z256" t="str">
        <f>IF(Tabela1[[#This Row],[1]]&lt;&gt;"",IF(ISNUMBER(FIND(",",Tabela1[[#This Row],[1]])),LEN(Tabela1[[#This Row],[1]])-LEN(SUBSTITUTE(Tabela1[[#This Row],[1]],",",""))+1,1),"")</f>
        <v/>
      </c>
      <c r="AA256" t="str">
        <f>IF(Tabela1[[#This Row],[2]]&lt;&gt;"",IF(ISNUMBER(FIND(",",Tabela1[[#This Row],[2]])),LEN(Tabela1[[#This Row],[2]])-LEN(SUBSTITUTE(Tabela1[[#This Row],[2]],",",""))+1,1),"")</f>
        <v/>
      </c>
      <c r="AB256" t="str">
        <f>IF(Tabela1[[#This Row],[3]]&lt;&gt;"",IF(ISNUMBER(FIND(",",Tabela1[[#This Row],[3]])),LEN(Tabela1[[#This Row],[3]])-LEN(SUBSTITUTE(Tabela1[[#This Row],[3]],",",""))+1,1),"")</f>
        <v/>
      </c>
      <c r="AC256" t="str">
        <f>IF(Tabela1[[#This Row],[4]]&lt;&gt;"",IF(ISNUMBER(FIND(",",Tabela1[[#This Row],[4]])),LEN(Tabela1[[#This Row],[4]])-LEN(SUBSTITUTE(Tabela1[[#This Row],[4]],",",""))+1,1),"")</f>
        <v/>
      </c>
      <c r="AD256">
        <f>IF(Tabela1[[#This Row],[5]]&lt;&gt;"",IF(ISNUMBER(FIND(",",Tabela1[[#This Row],[5]])),LEN(Tabela1[[#This Row],[5]])-LEN(SUBSTITUTE(Tabela1[[#This Row],[5]],",",""))+1,1),"")</f>
        <v>1</v>
      </c>
      <c r="AE256" t="str">
        <f>IF(Tabela1[[#This Row],[6]]&lt;&gt;"",IF(ISNUMBER(FIND(",",Tabela1[[#This Row],[6]])),LEN(Tabela1[[#This Row],[6]])-LEN(SUBSTITUTE(Tabela1[[#This Row],[6]],",",""))+1,1),"")</f>
        <v/>
      </c>
      <c r="AF256" t="str">
        <f>IF(Tabela1[[#This Row],[7]]&lt;&gt;"",IF(ISNUMBER(FIND(",",Tabela1[[#This Row],[7]])),LEN(Tabela1[[#This Row],[7]])-LEN(SUBSTITUTE(Tabela1[[#This Row],[7]],",",""))+1,1),"")</f>
        <v/>
      </c>
      <c r="AG256" t="str">
        <f>IF(Tabela1[[#This Row],[8]]&lt;&gt;"",IF(ISNUMBER(FIND(",",Tabela1[[#This Row],[8]])),LEN(Tabela1[[#This Row],[8]])-LEN(SUBSTITUTE(Tabela1[[#This Row],[8]],",",""))+1,1),"")</f>
        <v/>
      </c>
      <c r="AH256" t="str">
        <f>IF(Tabela1[[#This Row],[9]]&lt;&gt;"",IF(ISNUMBER(FIND(",",Tabela1[[#This Row],[9]])),LEN(Tabela1[[#This Row],[9]])-LEN(SUBSTITUTE(Tabela1[[#This Row],[9]],",",""))+1,1),"")</f>
        <v/>
      </c>
      <c r="AI256" t="str">
        <f>IF(Tabela1[[#This Row],[10]]&lt;&gt;"",IF(ISNUMBER(FIND(",",Tabela1[[#This Row],[10]])),LEN(Tabela1[[#This Row],[10]])-LEN(SUBSTITUTE(Tabela1[[#This Row],[10]],",",""))+1,1),"")</f>
        <v/>
      </c>
      <c r="AJ256" t="str">
        <f>IF(Tabela1[[#This Row],[11]]&lt;&gt;"",IF(ISNUMBER(FIND(",",Tabela1[[#This Row],[11]])),LEN(Tabela1[[#This Row],[11]])-LEN(SUBSTITUTE(Tabela1[[#This Row],[11]],",",""))+1,1),"")</f>
        <v/>
      </c>
      <c r="AK256" t="str">
        <f>IF(Tabela1[[#This Row],[12]]&lt;&gt;"",IF(ISNUMBER(FIND(",",Tabela1[[#This Row],[12]])),LEN(Tabela1[[#This Row],[12]])-LEN(SUBSTITUTE(Tabela1[[#This Row],[12]],",",""))+1,1),"")</f>
        <v/>
      </c>
      <c r="AL256" t="str">
        <f>IF(Tabela1[[#This Row],[13]]&lt;&gt;"",IF(ISNUMBER(FIND(",",Tabela1[[#This Row],[13]])),LEN(Tabela1[[#This Row],[13]])-LEN(SUBSTITUTE(Tabela1[[#This Row],[13]],",",""))+1,1),"")</f>
        <v/>
      </c>
      <c r="AM256" t="str">
        <f>IF(Tabela1[[#This Row],[14]]&lt;&gt;"",IF(ISNUMBER(FIND(",",Tabela1[[#This Row],[14]])),LEN(Tabela1[[#This Row],[14]])-LEN(SUBSTITUTE(Tabela1[[#This Row],[14]],",",""))+1,1),"")</f>
        <v/>
      </c>
      <c r="AN256" t="str">
        <f>IF(Tabela1[[#This Row],[15]]&lt;&gt;"",IF(ISNUMBER(FIND(",",Tabela1[[#This Row],[15]])),LEN(Tabela1[[#This Row],[15]])-LEN(SUBSTITUTE(Tabela1[[#This Row],[15]],",",""))+1,1),"")</f>
        <v/>
      </c>
      <c r="AO256" t="str">
        <f>IF(Tabela1[[#This Row],[16]]&lt;&gt;"",IF(ISNUMBER(FIND(",",Tabela1[[#This Row],[16]])),LEN(Tabela1[[#This Row],[16]])-LEN(SUBSTITUTE(Tabela1[[#This Row],[16]],",",""))+1,1),"")</f>
        <v/>
      </c>
      <c r="AP256" t="str">
        <f>IF(Tabela1[[#This Row],[17]]&lt;&gt;"",IF(ISNUMBER(FIND(",",Tabela1[[#This Row],[17]])),LEN(Tabela1[[#This Row],[17]])-LEN(SUBSTITUTE(Tabela1[[#This Row],[17]],",",""))+1,1),"")</f>
        <v/>
      </c>
      <c r="AQ256" t="str">
        <f>IF(Tabela1[[#This Row],[18]]&lt;&gt;"",IF(ISNUMBER(FIND(",",Tabela1[[#This Row],[18]])),LEN(Tabela1[[#This Row],[18]])-LEN(SUBSTITUTE(Tabela1[[#This Row],[18]],",",""))+1,1),"")</f>
        <v/>
      </c>
      <c r="AR256" s="13" t="str">
        <f>IF(Tabela1[[#This Row],[19_LENGTH]]&lt;&gt;"",IF(ISNUMBER(FIND(",",Tabela1[[#This Row],[19_LENGTH]])),LEN(Tabela1[[#This Row],[19_LENGTH]])-LEN(SUBSTITUTE(Tabela1[[#This Row],[19_LENGTH]],",",""))+1,1),"")</f>
        <v/>
      </c>
      <c r="AS256" s="21">
        <f>SUM(Tabela1[[#This Row],[1_]:[19_]])</f>
        <v>1</v>
      </c>
    </row>
    <row r="257" spans="1:45" x14ac:dyDescent="0.25">
      <c r="A257" s="27" t="s">
        <v>1322</v>
      </c>
      <c r="B257" s="19" t="s">
        <v>436</v>
      </c>
      <c r="C257" s="19">
        <v>202</v>
      </c>
      <c r="D257" s="19" t="s">
        <v>1299</v>
      </c>
      <c r="E257" s="20">
        <v>43491</v>
      </c>
      <c r="F257" s="19"/>
      <c r="G257" s="19"/>
      <c r="H257" s="19" t="s">
        <v>99</v>
      </c>
      <c r="I257" s="19"/>
      <c r="J257" s="19"/>
      <c r="K257" s="19"/>
      <c r="L257" s="19"/>
      <c r="M257" s="19"/>
      <c r="N257" s="19"/>
      <c r="O257" s="19"/>
      <c r="P257" s="19"/>
      <c r="Q257" s="19"/>
      <c r="R257" s="19"/>
      <c r="S257" s="19"/>
      <c r="T257" s="19"/>
      <c r="U257" s="19"/>
      <c r="V257" s="19"/>
      <c r="W257" s="19"/>
      <c r="X257" s="19"/>
      <c r="Y257" s="19"/>
      <c r="Z257" t="str">
        <f>IF(Tabela1[[#This Row],[1]]&lt;&gt;"",IF(ISNUMBER(FIND(",",Tabela1[[#This Row],[1]])),LEN(Tabela1[[#This Row],[1]])-LEN(SUBSTITUTE(Tabela1[[#This Row],[1]],",",""))+1,1),"")</f>
        <v/>
      </c>
      <c r="AA257" t="str">
        <f>IF(Tabela1[[#This Row],[2]]&lt;&gt;"",IF(ISNUMBER(FIND(",",Tabela1[[#This Row],[2]])),LEN(Tabela1[[#This Row],[2]])-LEN(SUBSTITUTE(Tabela1[[#This Row],[2]],",",""))+1,1),"")</f>
        <v/>
      </c>
      <c r="AB257">
        <f>IF(Tabela1[[#This Row],[3]]&lt;&gt;"",IF(ISNUMBER(FIND(",",Tabela1[[#This Row],[3]])),LEN(Tabela1[[#This Row],[3]])-LEN(SUBSTITUTE(Tabela1[[#This Row],[3]],",",""))+1,1),"")</f>
        <v>1</v>
      </c>
      <c r="AC257" t="str">
        <f>IF(Tabela1[[#This Row],[4]]&lt;&gt;"",IF(ISNUMBER(FIND(",",Tabela1[[#This Row],[4]])),LEN(Tabela1[[#This Row],[4]])-LEN(SUBSTITUTE(Tabela1[[#This Row],[4]],",",""))+1,1),"")</f>
        <v/>
      </c>
      <c r="AD257" t="str">
        <f>IF(Tabela1[[#This Row],[5]]&lt;&gt;"",IF(ISNUMBER(FIND(",",Tabela1[[#This Row],[5]])),LEN(Tabela1[[#This Row],[5]])-LEN(SUBSTITUTE(Tabela1[[#This Row],[5]],",",""))+1,1),"")</f>
        <v/>
      </c>
      <c r="AE257" t="str">
        <f>IF(Tabela1[[#This Row],[6]]&lt;&gt;"",IF(ISNUMBER(FIND(",",Tabela1[[#This Row],[6]])),LEN(Tabela1[[#This Row],[6]])-LEN(SUBSTITUTE(Tabela1[[#This Row],[6]],",",""))+1,1),"")</f>
        <v/>
      </c>
      <c r="AF257" t="str">
        <f>IF(Tabela1[[#This Row],[7]]&lt;&gt;"",IF(ISNUMBER(FIND(",",Tabela1[[#This Row],[7]])),LEN(Tabela1[[#This Row],[7]])-LEN(SUBSTITUTE(Tabela1[[#This Row],[7]],",",""))+1,1),"")</f>
        <v/>
      </c>
      <c r="AG257" t="str">
        <f>IF(Tabela1[[#This Row],[8]]&lt;&gt;"",IF(ISNUMBER(FIND(",",Tabela1[[#This Row],[8]])),LEN(Tabela1[[#This Row],[8]])-LEN(SUBSTITUTE(Tabela1[[#This Row],[8]],",",""))+1,1),"")</f>
        <v/>
      </c>
      <c r="AH257" t="str">
        <f>IF(Tabela1[[#This Row],[9]]&lt;&gt;"",IF(ISNUMBER(FIND(",",Tabela1[[#This Row],[9]])),LEN(Tabela1[[#This Row],[9]])-LEN(SUBSTITUTE(Tabela1[[#This Row],[9]],",",""))+1,1),"")</f>
        <v/>
      </c>
      <c r="AI257" t="str">
        <f>IF(Tabela1[[#This Row],[10]]&lt;&gt;"",IF(ISNUMBER(FIND(",",Tabela1[[#This Row],[10]])),LEN(Tabela1[[#This Row],[10]])-LEN(SUBSTITUTE(Tabela1[[#This Row],[10]],",",""))+1,1),"")</f>
        <v/>
      </c>
      <c r="AJ257" t="str">
        <f>IF(Tabela1[[#This Row],[11]]&lt;&gt;"",IF(ISNUMBER(FIND(",",Tabela1[[#This Row],[11]])),LEN(Tabela1[[#This Row],[11]])-LEN(SUBSTITUTE(Tabela1[[#This Row],[11]],",",""))+1,1),"")</f>
        <v/>
      </c>
      <c r="AK257" t="str">
        <f>IF(Tabela1[[#This Row],[12]]&lt;&gt;"",IF(ISNUMBER(FIND(",",Tabela1[[#This Row],[12]])),LEN(Tabela1[[#This Row],[12]])-LEN(SUBSTITUTE(Tabela1[[#This Row],[12]],",",""))+1,1),"")</f>
        <v/>
      </c>
      <c r="AL257" t="str">
        <f>IF(Tabela1[[#This Row],[13]]&lt;&gt;"",IF(ISNUMBER(FIND(",",Tabela1[[#This Row],[13]])),LEN(Tabela1[[#This Row],[13]])-LEN(SUBSTITUTE(Tabela1[[#This Row],[13]],",",""))+1,1),"")</f>
        <v/>
      </c>
      <c r="AM257" t="str">
        <f>IF(Tabela1[[#This Row],[14]]&lt;&gt;"",IF(ISNUMBER(FIND(",",Tabela1[[#This Row],[14]])),LEN(Tabela1[[#This Row],[14]])-LEN(SUBSTITUTE(Tabela1[[#This Row],[14]],",",""))+1,1),"")</f>
        <v/>
      </c>
      <c r="AN257" t="str">
        <f>IF(Tabela1[[#This Row],[15]]&lt;&gt;"",IF(ISNUMBER(FIND(",",Tabela1[[#This Row],[15]])),LEN(Tabela1[[#This Row],[15]])-LEN(SUBSTITUTE(Tabela1[[#This Row],[15]],",",""))+1,1),"")</f>
        <v/>
      </c>
      <c r="AO257" t="str">
        <f>IF(Tabela1[[#This Row],[16]]&lt;&gt;"",IF(ISNUMBER(FIND(",",Tabela1[[#This Row],[16]])),LEN(Tabela1[[#This Row],[16]])-LEN(SUBSTITUTE(Tabela1[[#This Row],[16]],",",""))+1,1),"")</f>
        <v/>
      </c>
      <c r="AP257" t="str">
        <f>IF(Tabela1[[#This Row],[17]]&lt;&gt;"",IF(ISNUMBER(FIND(",",Tabela1[[#This Row],[17]])),LEN(Tabela1[[#This Row],[17]])-LEN(SUBSTITUTE(Tabela1[[#This Row],[17]],",",""))+1,1),"")</f>
        <v/>
      </c>
      <c r="AQ257" t="str">
        <f>IF(Tabela1[[#This Row],[18]]&lt;&gt;"",IF(ISNUMBER(FIND(",",Tabela1[[#This Row],[18]])),LEN(Tabela1[[#This Row],[18]])-LEN(SUBSTITUTE(Tabela1[[#This Row],[18]],",",""))+1,1),"")</f>
        <v/>
      </c>
      <c r="AR257" s="13" t="str">
        <f>IF(Tabela1[[#This Row],[19_LENGTH]]&lt;&gt;"",IF(ISNUMBER(FIND(",",Tabela1[[#This Row],[19_LENGTH]])),LEN(Tabela1[[#This Row],[19_LENGTH]])-LEN(SUBSTITUTE(Tabela1[[#This Row],[19_LENGTH]],",",""))+1,1),"")</f>
        <v/>
      </c>
      <c r="AS257" s="21">
        <f>SUM(Tabela1[[#This Row],[1_]:[19_]])</f>
        <v>1</v>
      </c>
    </row>
    <row r="258" spans="1:45" x14ac:dyDescent="0.25">
      <c r="A258" s="27" t="s">
        <v>1322</v>
      </c>
      <c r="B258" s="19" t="s">
        <v>437</v>
      </c>
      <c r="C258" s="19">
        <v>202</v>
      </c>
      <c r="D258" s="19" t="s">
        <v>1295</v>
      </c>
      <c r="E258" s="20">
        <v>43491</v>
      </c>
      <c r="F258" s="19"/>
      <c r="G258" s="19">
        <v>179</v>
      </c>
      <c r="H258" s="19"/>
      <c r="I258" s="19">
        <v>81</v>
      </c>
      <c r="J258" s="19">
        <v>6</v>
      </c>
      <c r="K258" s="19"/>
      <c r="L258" s="19"/>
      <c r="M258" s="19"/>
      <c r="N258" s="19"/>
      <c r="O258" s="19"/>
      <c r="P258" s="19"/>
      <c r="Q258" s="19"/>
      <c r="R258" s="19"/>
      <c r="S258" s="19"/>
      <c r="T258" s="19"/>
      <c r="U258" s="19"/>
      <c r="V258" s="19"/>
      <c r="W258" s="19"/>
      <c r="X258" s="19"/>
      <c r="Y258" s="19"/>
      <c r="Z258" t="str">
        <f>IF(Tabela1[[#This Row],[1]]&lt;&gt;"",IF(ISNUMBER(FIND(",",Tabela1[[#This Row],[1]])),LEN(Tabela1[[#This Row],[1]])-LEN(SUBSTITUTE(Tabela1[[#This Row],[1]],",",""))+1,1),"")</f>
        <v/>
      </c>
      <c r="AA258">
        <f>IF(Tabela1[[#This Row],[2]]&lt;&gt;"",IF(ISNUMBER(FIND(",",Tabela1[[#This Row],[2]])),LEN(Tabela1[[#This Row],[2]])-LEN(SUBSTITUTE(Tabela1[[#This Row],[2]],",",""))+1,1),"")</f>
        <v>1</v>
      </c>
      <c r="AB258" t="str">
        <f>IF(Tabela1[[#This Row],[3]]&lt;&gt;"",IF(ISNUMBER(FIND(",",Tabela1[[#This Row],[3]])),LEN(Tabela1[[#This Row],[3]])-LEN(SUBSTITUTE(Tabela1[[#This Row],[3]],",",""))+1,1),"")</f>
        <v/>
      </c>
      <c r="AC258">
        <f>IF(Tabela1[[#This Row],[4]]&lt;&gt;"",IF(ISNUMBER(FIND(",",Tabela1[[#This Row],[4]])),LEN(Tabela1[[#This Row],[4]])-LEN(SUBSTITUTE(Tabela1[[#This Row],[4]],",",""))+1,1),"")</f>
        <v>1</v>
      </c>
      <c r="AD258">
        <f>IF(Tabela1[[#This Row],[5]]&lt;&gt;"",IF(ISNUMBER(FIND(",",Tabela1[[#This Row],[5]])),LEN(Tabela1[[#This Row],[5]])-LEN(SUBSTITUTE(Tabela1[[#This Row],[5]],",",""))+1,1),"")</f>
        <v>1</v>
      </c>
      <c r="AE258" t="str">
        <f>IF(Tabela1[[#This Row],[6]]&lt;&gt;"",IF(ISNUMBER(FIND(",",Tabela1[[#This Row],[6]])),LEN(Tabela1[[#This Row],[6]])-LEN(SUBSTITUTE(Tabela1[[#This Row],[6]],",",""))+1,1),"")</f>
        <v/>
      </c>
      <c r="AF258" t="str">
        <f>IF(Tabela1[[#This Row],[7]]&lt;&gt;"",IF(ISNUMBER(FIND(",",Tabela1[[#This Row],[7]])),LEN(Tabela1[[#This Row],[7]])-LEN(SUBSTITUTE(Tabela1[[#This Row],[7]],",",""))+1,1),"")</f>
        <v/>
      </c>
      <c r="AG258" t="str">
        <f>IF(Tabela1[[#This Row],[8]]&lt;&gt;"",IF(ISNUMBER(FIND(",",Tabela1[[#This Row],[8]])),LEN(Tabela1[[#This Row],[8]])-LEN(SUBSTITUTE(Tabela1[[#This Row],[8]],",",""))+1,1),"")</f>
        <v/>
      </c>
      <c r="AH258" t="str">
        <f>IF(Tabela1[[#This Row],[9]]&lt;&gt;"",IF(ISNUMBER(FIND(",",Tabela1[[#This Row],[9]])),LEN(Tabela1[[#This Row],[9]])-LEN(SUBSTITUTE(Tabela1[[#This Row],[9]],",",""))+1,1),"")</f>
        <v/>
      </c>
      <c r="AI258" t="str">
        <f>IF(Tabela1[[#This Row],[10]]&lt;&gt;"",IF(ISNUMBER(FIND(",",Tabela1[[#This Row],[10]])),LEN(Tabela1[[#This Row],[10]])-LEN(SUBSTITUTE(Tabela1[[#This Row],[10]],",",""))+1,1),"")</f>
        <v/>
      </c>
      <c r="AJ258" t="str">
        <f>IF(Tabela1[[#This Row],[11]]&lt;&gt;"",IF(ISNUMBER(FIND(",",Tabela1[[#This Row],[11]])),LEN(Tabela1[[#This Row],[11]])-LEN(SUBSTITUTE(Tabela1[[#This Row],[11]],",",""))+1,1),"")</f>
        <v/>
      </c>
      <c r="AK258" t="str">
        <f>IF(Tabela1[[#This Row],[12]]&lt;&gt;"",IF(ISNUMBER(FIND(",",Tabela1[[#This Row],[12]])),LEN(Tabela1[[#This Row],[12]])-LEN(SUBSTITUTE(Tabela1[[#This Row],[12]],",",""))+1,1),"")</f>
        <v/>
      </c>
      <c r="AL258" t="str">
        <f>IF(Tabela1[[#This Row],[13]]&lt;&gt;"",IF(ISNUMBER(FIND(",",Tabela1[[#This Row],[13]])),LEN(Tabela1[[#This Row],[13]])-LEN(SUBSTITUTE(Tabela1[[#This Row],[13]],",",""))+1,1),"")</f>
        <v/>
      </c>
      <c r="AM258" t="str">
        <f>IF(Tabela1[[#This Row],[14]]&lt;&gt;"",IF(ISNUMBER(FIND(",",Tabela1[[#This Row],[14]])),LEN(Tabela1[[#This Row],[14]])-LEN(SUBSTITUTE(Tabela1[[#This Row],[14]],",",""))+1,1),"")</f>
        <v/>
      </c>
      <c r="AN258" t="str">
        <f>IF(Tabela1[[#This Row],[15]]&lt;&gt;"",IF(ISNUMBER(FIND(",",Tabela1[[#This Row],[15]])),LEN(Tabela1[[#This Row],[15]])-LEN(SUBSTITUTE(Tabela1[[#This Row],[15]],",",""))+1,1),"")</f>
        <v/>
      </c>
      <c r="AO258" t="str">
        <f>IF(Tabela1[[#This Row],[16]]&lt;&gt;"",IF(ISNUMBER(FIND(",",Tabela1[[#This Row],[16]])),LEN(Tabela1[[#This Row],[16]])-LEN(SUBSTITUTE(Tabela1[[#This Row],[16]],",",""))+1,1),"")</f>
        <v/>
      </c>
      <c r="AP258" t="str">
        <f>IF(Tabela1[[#This Row],[17]]&lt;&gt;"",IF(ISNUMBER(FIND(",",Tabela1[[#This Row],[17]])),LEN(Tabela1[[#This Row],[17]])-LEN(SUBSTITUTE(Tabela1[[#This Row],[17]],",",""))+1,1),"")</f>
        <v/>
      </c>
      <c r="AQ258" t="str">
        <f>IF(Tabela1[[#This Row],[18]]&lt;&gt;"",IF(ISNUMBER(FIND(",",Tabela1[[#This Row],[18]])),LEN(Tabela1[[#This Row],[18]])-LEN(SUBSTITUTE(Tabela1[[#This Row],[18]],",",""))+1,1),"")</f>
        <v/>
      </c>
      <c r="AR258" s="13" t="str">
        <f>IF(Tabela1[[#This Row],[19_LENGTH]]&lt;&gt;"",IF(ISNUMBER(FIND(",",Tabela1[[#This Row],[19_LENGTH]])),LEN(Tabela1[[#This Row],[19_LENGTH]])-LEN(SUBSTITUTE(Tabela1[[#This Row],[19_LENGTH]],",",""))+1,1),"")</f>
        <v/>
      </c>
      <c r="AS258" s="21">
        <f>SUM(Tabela1[[#This Row],[1_]:[19_]])</f>
        <v>3</v>
      </c>
    </row>
    <row r="259" spans="1:45" x14ac:dyDescent="0.25">
      <c r="A259" s="27" t="s">
        <v>1322</v>
      </c>
      <c r="B259" s="19" t="s">
        <v>438</v>
      </c>
      <c r="C259" s="19">
        <v>202</v>
      </c>
      <c r="D259" s="19" t="s">
        <v>1314</v>
      </c>
      <c r="E259" s="20">
        <v>43491</v>
      </c>
      <c r="F259" s="19"/>
      <c r="G259" s="19"/>
      <c r="H259" s="19"/>
      <c r="I259" s="19">
        <v>126</v>
      </c>
      <c r="J259" s="19">
        <v>124</v>
      </c>
      <c r="K259" s="19"/>
      <c r="L259" s="19"/>
      <c r="M259" s="19"/>
      <c r="N259" s="19"/>
      <c r="O259" s="19"/>
      <c r="P259" s="19"/>
      <c r="Q259" s="19"/>
      <c r="R259" s="19"/>
      <c r="S259" s="19"/>
      <c r="T259" s="19"/>
      <c r="U259" s="19"/>
      <c r="V259" s="19"/>
      <c r="W259" s="19"/>
      <c r="X259" s="19" t="s">
        <v>95</v>
      </c>
      <c r="Y259" s="19">
        <v>167</v>
      </c>
      <c r="Z259" t="str">
        <f>IF(Tabela1[[#This Row],[1]]&lt;&gt;"",IF(ISNUMBER(FIND(",",Tabela1[[#This Row],[1]])),LEN(Tabela1[[#This Row],[1]])-LEN(SUBSTITUTE(Tabela1[[#This Row],[1]],",",""))+1,1),"")</f>
        <v/>
      </c>
      <c r="AA259" t="str">
        <f>IF(Tabela1[[#This Row],[2]]&lt;&gt;"",IF(ISNUMBER(FIND(",",Tabela1[[#This Row],[2]])),LEN(Tabela1[[#This Row],[2]])-LEN(SUBSTITUTE(Tabela1[[#This Row],[2]],",",""))+1,1),"")</f>
        <v/>
      </c>
      <c r="AB259" t="str">
        <f>IF(Tabela1[[#This Row],[3]]&lt;&gt;"",IF(ISNUMBER(FIND(",",Tabela1[[#This Row],[3]])),LEN(Tabela1[[#This Row],[3]])-LEN(SUBSTITUTE(Tabela1[[#This Row],[3]],",",""))+1,1),"")</f>
        <v/>
      </c>
      <c r="AC259">
        <f>IF(Tabela1[[#This Row],[4]]&lt;&gt;"",IF(ISNUMBER(FIND(",",Tabela1[[#This Row],[4]])),LEN(Tabela1[[#This Row],[4]])-LEN(SUBSTITUTE(Tabela1[[#This Row],[4]],",",""))+1,1),"")</f>
        <v>1</v>
      </c>
      <c r="AD259">
        <f>IF(Tabela1[[#This Row],[5]]&lt;&gt;"",IF(ISNUMBER(FIND(",",Tabela1[[#This Row],[5]])),LEN(Tabela1[[#This Row],[5]])-LEN(SUBSTITUTE(Tabela1[[#This Row],[5]],",",""))+1,1),"")</f>
        <v>1</v>
      </c>
      <c r="AE259" t="str">
        <f>IF(Tabela1[[#This Row],[6]]&lt;&gt;"",IF(ISNUMBER(FIND(",",Tabela1[[#This Row],[6]])),LEN(Tabela1[[#This Row],[6]])-LEN(SUBSTITUTE(Tabela1[[#This Row],[6]],",",""))+1,1),"")</f>
        <v/>
      </c>
      <c r="AF259" t="str">
        <f>IF(Tabela1[[#This Row],[7]]&lt;&gt;"",IF(ISNUMBER(FIND(",",Tabela1[[#This Row],[7]])),LEN(Tabela1[[#This Row],[7]])-LEN(SUBSTITUTE(Tabela1[[#This Row],[7]],",",""))+1,1),"")</f>
        <v/>
      </c>
      <c r="AG259" t="str">
        <f>IF(Tabela1[[#This Row],[8]]&lt;&gt;"",IF(ISNUMBER(FIND(",",Tabela1[[#This Row],[8]])),LEN(Tabela1[[#This Row],[8]])-LEN(SUBSTITUTE(Tabela1[[#This Row],[8]],",",""))+1,1),"")</f>
        <v/>
      </c>
      <c r="AH259" t="str">
        <f>IF(Tabela1[[#This Row],[9]]&lt;&gt;"",IF(ISNUMBER(FIND(",",Tabela1[[#This Row],[9]])),LEN(Tabela1[[#This Row],[9]])-LEN(SUBSTITUTE(Tabela1[[#This Row],[9]],",",""))+1,1),"")</f>
        <v/>
      </c>
      <c r="AI259" t="str">
        <f>IF(Tabela1[[#This Row],[10]]&lt;&gt;"",IF(ISNUMBER(FIND(",",Tabela1[[#This Row],[10]])),LEN(Tabela1[[#This Row],[10]])-LEN(SUBSTITUTE(Tabela1[[#This Row],[10]],",",""))+1,1),"")</f>
        <v/>
      </c>
      <c r="AJ259" t="str">
        <f>IF(Tabela1[[#This Row],[11]]&lt;&gt;"",IF(ISNUMBER(FIND(",",Tabela1[[#This Row],[11]])),LEN(Tabela1[[#This Row],[11]])-LEN(SUBSTITUTE(Tabela1[[#This Row],[11]],",",""))+1,1),"")</f>
        <v/>
      </c>
      <c r="AK259" t="str">
        <f>IF(Tabela1[[#This Row],[12]]&lt;&gt;"",IF(ISNUMBER(FIND(",",Tabela1[[#This Row],[12]])),LEN(Tabela1[[#This Row],[12]])-LEN(SUBSTITUTE(Tabela1[[#This Row],[12]],",",""))+1,1),"")</f>
        <v/>
      </c>
      <c r="AL259" t="str">
        <f>IF(Tabela1[[#This Row],[13]]&lt;&gt;"",IF(ISNUMBER(FIND(",",Tabela1[[#This Row],[13]])),LEN(Tabela1[[#This Row],[13]])-LEN(SUBSTITUTE(Tabela1[[#This Row],[13]],",",""))+1,1),"")</f>
        <v/>
      </c>
      <c r="AM259" t="str">
        <f>IF(Tabela1[[#This Row],[14]]&lt;&gt;"",IF(ISNUMBER(FIND(",",Tabela1[[#This Row],[14]])),LEN(Tabela1[[#This Row],[14]])-LEN(SUBSTITUTE(Tabela1[[#This Row],[14]],",",""))+1,1),"")</f>
        <v/>
      </c>
      <c r="AN259" t="str">
        <f>IF(Tabela1[[#This Row],[15]]&lt;&gt;"",IF(ISNUMBER(FIND(",",Tabela1[[#This Row],[15]])),LEN(Tabela1[[#This Row],[15]])-LEN(SUBSTITUTE(Tabela1[[#This Row],[15]],",",""))+1,1),"")</f>
        <v/>
      </c>
      <c r="AO259" t="str">
        <f>IF(Tabela1[[#This Row],[16]]&lt;&gt;"",IF(ISNUMBER(FIND(",",Tabela1[[#This Row],[16]])),LEN(Tabela1[[#This Row],[16]])-LEN(SUBSTITUTE(Tabela1[[#This Row],[16]],",",""))+1,1),"")</f>
        <v/>
      </c>
      <c r="AP259" t="str">
        <f>IF(Tabela1[[#This Row],[17]]&lt;&gt;"",IF(ISNUMBER(FIND(",",Tabela1[[#This Row],[17]])),LEN(Tabela1[[#This Row],[17]])-LEN(SUBSTITUTE(Tabela1[[#This Row],[17]],",",""))+1,1),"")</f>
        <v/>
      </c>
      <c r="AQ259" t="str">
        <f>IF(Tabela1[[#This Row],[18]]&lt;&gt;"",IF(ISNUMBER(FIND(",",Tabela1[[#This Row],[18]])),LEN(Tabela1[[#This Row],[18]])-LEN(SUBSTITUTE(Tabela1[[#This Row],[18]],",",""))+1,1),"")</f>
        <v/>
      </c>
      <c r="AR259" s="13">
        <f>IF(Tabela1[[#This Row],[19_LENGTH]]&lt;&gt;"",IF(ISNUMBER(FIND(",",Tabela1[[#This Row],[19_LENGTH]])),LEN(Tabela1[[#This Row],[19_LENGTH]])-LEN(SUBSTITUTE(Tabela1[[#This Row],[19_LENGTH]],",",""))+1,1),"")</f>
        <v>1</v>
      </c>
      <c r="AS259" s="21">
        <f>SUM(Tabela1[[#This Row],[1_]:[19_]])</f>
        <v>3</v>
      </c>
    </row>
    <row r="260" spans="1:45" x14ac:dyDescent="0.25">
      <c r="A260" s="27" t="s">
        <v>1322</v>
      </c>
      <c r="B260" s="19" t="s">
        <v>761</v>
      </c>
      <c r="C260" s="19">
        <v>210</v>
      </c>
      <c r="D260" s="19" t="s">
        <v>1315</v>
      </c>
      <c r="E260" s="20">
        <v>43493</v>
      </c>
      <c r="F260" s="19"/>
      <c r="G260" s="19"/>
      <c r="H260" s="19"/>
      <c r="I260" s="19"/>
      <c r="J260" s="19"/>
      <c r="K260" s="19"/>
      <c r="L260" s="19"/>
      <c r="M260" s="19"/>
      <c r="N260" s="19"/>
      <c r="O260" s="19"/>
      <c r="P260" s="19"/>
      <c r="Q260" s="19"/>
      <c r="R260" s="19"/>
      <c r="S260" s="19"/>
      <c r="T260" s="19"/>
      <c r="U260" s="19">
        <v>7</v>
      </c>
      <c r="V260" s="19"/>
      <c r="W260" s="19"/>
      <c r="X260" s="19"/>
      <c r="Y260" s="19"/>
      <c r="Z260" t="str">
        <f>IF(Tabela1[[#This Row],[1]]&lt;&gt;"",IF(ISNUMBER(FIND(",",Tabela1[[#This Row],[1]])),LEN(Tabela1[[#This Row],[1]])-LEN(SUBSTITUTE(Tabela1[[#This Row],[1]],",",""))+1,1),"")</f>
        <v/>
      </c>
      <c r="AA260" t="str">
        <f>IF(Tabela1[[#This Row],[2]]&lt;&gt;"",IF(ISNUMBER(FIND(",",Tabela1[[#This Row],[2]])),LEN(Tabela1[[#This Row],[2]])-LEN(SUBSTITUTE(Tabela1[[#This Row],[2]],",",""))+1,1),"")</f>
        <v/>
      </c>
      <c r="AB260" t="str">
        <f>IF(Tabela1[[#This Row],[3]]&lt;&gt;"",IF(ISNUMBER(FIND(",",Tabela1[[#This Row],[3]])),LEN(Tabela1[[#This Row],[3]])-LEN(SUBSTITUTE(Tabela1[[#This Row],[3]],",",""))+1,1),"")</f>
        <v/>
      </c>
      <c r="AC260" t="str">
        <f>IF(Tabela1[[#This Row],[4]]&lt;&gt;"",IF(ISNUMBER(FIND(",",Tabela1[[#This Row],[4]])),LEN(Tabela1[[#This Row],[4]])-LEN(SUBSTITUTE(Tabela1[[#This Row],[4]],",",""))+1,1),"")</f>
        <v/>
      </c>
      <c r="AD260" t="str">
        <f>IF(Tabela1[[#This Row],[5]]&lt;&gt;"",IF(ISNUMBER(FIND(",",Tabela1[[#This Row],[5]])),LEN(Tabela1[[#This Row],[5]])-LEN(SUBSTITUTE(Tabela1[[#This Row],[5]],",",""))+1,1),"")</f>
        <v/>
      </c>
      <c r="AE260" t="str">
        <f>IF(Tabela1[[#This Row],[6]]&lt;&gt;"",IF(ISNUMBER(FIND(",",Tabela1[[#This Row],[6]])),LEN(Tabela1[[#This Row],[6]])-LEN(SUBSTITUTE(Tabela1[[#This Row],[6]],",",""))+1,1),"")</f>
        <v/>
      </c>
      <c r="AF260" t="str">
        <f>IF(Tabela1[[#This Row],[7]]&lt;&gt;"",IF(ISNUMBER(FIND(",",Tabela1[[#This Row],[7]])),LEN(Tabela1[[#This Row],[7]])-LEN(SUBSTITUTE(Tabela1[[#This Row],[7]],",",""))+1,1),"")</f>
        <v/>
      </c>
      <c r="AG260" t="str">
        <f>IF(Tabela1[[#This Row],[8]]&lt;&gt;"",IF(ISNUMBER(FIND(",",Tabela1[[#This Row],[8]])),LEN(Tabela1[[#This Row],[8]])-LEN(SUBSTITUTE(Tabela1[[#This Row],[8]],",",""))+1,1),"")</f>
        <v/>
      </c>
      <c r="AH260" t="str">
        <f>IF(Tabela1[[#This Row],[9]]&lt;&gt;"",IF(ISNUMBER(FIND(",",Tabela1[[#This Row],[9]])),LEN(Tabela1[[#This Row],[9]])-LEN(SUBSTITUTE(Tabela1[[#This Row],[9]],",",""))+1,1),"")</f>
        <v/>
      </c>
      <c r="AI260" t="str">
        <f>IF(Tabela1[[#This Row],[10]]&lt;&gt;"",IF(ISNUMBER(FIND(",",Tabela1[[#This Row],[10]])),LEN(Tabela1[[#This Row],[10]])-LEN(SUBSTITUTE(Tabela1[[#This Row],[10]],",",""))+1,1),"")</f>
        <v/>
      </c>
      <c r="AJ260" t="str">
        <f>IF(Tabela1[[#This Row],[11]]&lt;&gt;"",IF(ISNUMBER(FIND(",",Tabela1[[#This Row],[11]])),LEN(Tabela1[[#This Row],[11]])-LEN(SUBSTITUTE(Tabela1[[#This Row],[11]],",",""))+1,1),"")</f>
        <v/>
      </c>
      <c r="AK260" t="str">
        <f>IF(Tabela1[[#This Row],[12]]&lt;&gt;"",IF(ISNUMBER(FIND(",",Tabela1[[#This Row],[12]])),LEN(Tabela1[[#This Row],[12]])-LEN(SUBSTITUTE(Tabela1[[#This Row],[12]],",",""))+1,1),"")</f>
        <v/>
      </c>
      <c r="AL260" t="str">
        <f>IF(Tabela1[[#This Row],[13]]&lt;&gt;"",IF(ISNUMBER(FIND(",",Tabela1[[#This Row],[13]])),LEN(Tabela1[[#This Row],[13]])-LEN(SUBSTITUTE(Tabela1[[#This Row],[13]],",",""))+1,1),"")</f>
        <v/>
      </c>
      <c r="AM260" t="str">
        <f>IF(Tabela1[[#This Row],[14]]&lt;&gt;"",IF(ISNUMBER(FIND(",",Tabela1[[#This Row],[14]])),LEN(Tabela1[[#This Row],[14]])-LEN(SUBSTITUTE(Tabela1[[#This Row],[14]],",",""))+1,1),"")</f>
        <v/>
      </c>
      <c r="AN260" t="str">
        <f>IF(Tabela1[[#This Row],[15]]&lt;&gt;"",IF(ISNUMBER(FIND(",",Tabela1[[#This Row],[15]])),LEN(Tabela1[[#This Row],[15]])-LEN(SUBSTITUTE(Tabela1[[#This Row],[15]],",",""))+1,1),"")</f>
        <v/>
      </c>
      <c r="AO260">
        <f>IF(Tabela1[[#This Row],[16]]&lt;&gt;"",IF(ISNUMBER(FIND(",",Tabela1[[#This Row],[16]])),LEN(Tabela1[[#This Row],[16]])-LEN(SUBSTITUTE(Tabela1[[#This Row],[16]],",",""))+1,1),"")</f>
        <v>1</v>
      </c>
      <c r="AP260" t="str">
        <f>IF(Tabela1[[#This Row],[17]]&lt;&gt;"",IF(ISNUMBER(FIND(",",Tabela1[[#This Row],[17]])),LEN(Tabela1[[#This Row],[17]])-LEN(SUBSTITUTE(Tabela1[[#This Row],[17]],",",""))+1,1),"")</f>
        <v/>
      </c>
      <c r="AQ260" t="str">
        <f>IF(Tabela1[[#This Row],[18]]&lt;&gt;"",IF(ISNUMBER(FIND(",",Tabela1[[#This Row],[18]])),LEN(Tabela1[[#This Row],[18]])-LEN(SUBSTITUTE(Tabela1[[#This Row],[18]],",",""))+1,1),"")</f>
        <v/>
      </c>
      <c r="AR260" s="13" t="str">
        <f>IF(Tabela1[[#This Row],[19_LENGTH]]&lt;&gt;"",IF(ISNUMBER(FIND(",",Tabela1[[#This Row],[19_LENGTH]])),LEN(Tabela1[[#This Row],[19_LENGTH]])-LEN(SUBSTITUTE(Tabela1[[#This Row],[19_LENGTH]],",",""))+1,1),"")</f>
        <v/>
      </c>
      <c r="AS260" s="21">
        <f>SUM(Tabela1[[#This Row],[1_]:[19_]])</f>
        <v>1</v>
      </c>
    </row>
    <row r="261" spans="1:45" x14ac:dyDescent="0.25">
      <c r="A261" s="27" t="s">
        <v>1322</v>
      </c>
      <c r="B261" s="19" t="s">
        <v>762</v>
      </c>
      <c r="C261" s="19">
        <v>202</v>
      </c>
      <c r="D261" s="19" t="s">
        <v>1315</v>
      </c>
      <c r="E261" s="20">
        <v>43491</v>
      </c>
      <c r="F261" s="19"/>
      <c r="G261" s="19"/>
      <c r="H261" s="19"/>
      <c r="I261" s="19"/>
      <c r="J261" s="19">
        <v>36</v>
      </c>
      <c r="K261" s="19"/>
      <c r="L261" s="19"/>
      <c r="M261" s="19"/>
      <c r="N261" s="19"/>
      <c r="O261" s="19"/>
      <c r="P261" s="19"/>
      <c r="Q261" s="19"/>
      <c r="R261" s="19">
        <v>137</v>
      </c>
      <c r="S261" s="19"/>
      <c r="T261" s="19"/>
      <c r="U261" s="19"/>
      <c r="V261" s="19"/>
      <c r="W261" s="19"/>
      <c r="X261" s="19"/>
      <c r="Y261" s="19"/>
      <c r="Z261" t="str">
        <f>IF(Tabela1[[#This Row],[1]]&lt;&gt;"",IF(ISNUMBER(FIND(",",Tabela1[[#This Row],[1]])),LEN(Tabela1[[#This Row],[1]])-LEN(SUBSTITUTE(Tabela1[[#This Row],[1]],",",""))+1,1),"")</f>
        <v/>
      </c>
      <c r="AA261" t="str">
        <f>IF(Tabela1[[#This Row],[2]]&lt;&gt;"",IF(ISNUMBER(FIND(",",Tabela1[[#This Row],[2]])),LEN(Tabela1[[#This Row],[2]])-LEN(SUBSTITUTE(Tabela1[[#This Row],[2]],",",""))+1,1),"")</f>
        <v/>
      </c>
      <c r="AB261" t="str">
        <f>IF(Tabela1[[#This Row],[3]]&lt;&gt;"",IF(ISNUMBER(FIND(",",Tabela1[[#This Row],[3]])),LEN(Tabela1[[#This Row],[3]])-LEN(SUBSTITUTE(Tabela1[[#This Row],[3]],",",""))+1,1),"")</f>
        <v/>
      </c>
      <c r="AC261" t="str">
        <f>IF(Tabela1[[#This Row],[4]]&lt;&gt;"",IF(ISNUMBER(FIND(",",Tabela1[[#This Row],[4]])),LEN(Tabela1[[#This Row],[4]])-LEN(SUBSTITUTE(Tabela1[[#This Row],[4]],",",""))+1,1),"")</f>
        <v/>
      </c>
      <c r="AD261">
        <f>IF(Tabela1[[#This Row],[5]]&lt;&gt;"",IF(ISNUMBER(FIND(",",Tabela1[[#This Row],[5]])),LEN(Tabela1[[#This Row],[5]])-LEN(SUBSTITUTE(Tabela1[[#This Row],[5]],",",""))+1,1),"")</f>
        <v>1</v>
      </c>
      <c r="AE261" t="str">
        <f>IF(Tabela1[[#This Row],[6]]&lt;&gt;"",IF(ISNUMBER(FIND(",",Tabela1[[#This Row],[6]])),LEN(Tabela1[[#This Row],[6]])-LEN(SUBSTITUTE(Tabela1[[#This Row],[6]],",",""))+1,1),"")</f>
        <v/>
      </c>
      <c r="AF261" t="str">
        <f>IF(Tabela1[[#This Row],[7]]&lt;&gt;"",IF(ISNUMBER(FIND(",",Tabela1[[#This Row],[7]])),LEN(Tabela1[[#This Row],[7]])-LEN(SUBSTITUTE(Tabela1[[#This Row],[7]],",",""))+1,1),"")</f>
        <v/>
      </c>
      <c r="AG261" t="str">
        <f>IF(Tabela1[[#This Row],[8]]&lt;&gt;"",IF(ISNUMBER(FIND(",",Tabela1[[#This Row],[8]])),LEN(Tabela1[[#This Row],[8]])-LEN(SUBSTITUTE(Tabela1[[#This Row],[8]],",",""))+1,1),"")</f>
        <v/>
      </c>
      <c r="AH261" t="str">
        <f>IF(Tabela1[[#This Row],[9]]&lt;&gt;"",IF(ISNUMBER(FIND(",",Tabela1[[#This Row],[9]])),LEN(Tabela1[[#This Row],[9]])-LEN(SUBSTITUTE(Tabela1[[#This Row],[9]],",",""))+1,1),"")</f>
        <v/>
      </c>
      <c r="AI261" t="str">
        <f>IF(Tabela1[[#This Row],[10]]&lt;&gt;"",IF(ISNUMBER(FIND(",",Tabela1[[#This Row],[10]])),LEN(Tabela1[[#This Row],[10]])-LEN(SUBSTITUTE(Tabela1[[#This Row],[10]],",",""))+1,1),"")</f>
        <v/>
      </c>
      <c r="AJ261" t="str">
        <f>IF(Tabela1[[#This Row],[11]]&lt;&gt;"",IF(ISNUMBER(FIND(",",Tabela1[[#This Row],[11]])),LEN(Tabela1[[#This Row],[11]])-LEN(SUBSTITUTE(Tabela1[[#This Row],[11]],",",""))+1,1),"")</f>
        <v/>
      </c>
      <c r="AK261" t="str">
        <f>IF(Tabela1[[#This Row],[12]]&lt;&gt;"",IF(ISNUMBER(FIND(",",Tabela1[[#This Row],[12]])),LEN(Tabela1[[#This Row],[12]])-LEN(SUBSTITUTE(Tabela1[[#This Row],[12]],",",""))+1,1),"")</f>
        <v/>
      </c>
      <c r="AL261">
        <f>IF(Tabela1[[#This Row],[13]]&lt;&gt;"",IF(ISNUMBER(FIND(",",Tabela1[[#This Row],[13]])),LEN(Tabela1[[#This Row],[13]])-LEN(SUBSTITUTE(Tabela1[[#This Row],[13]],",",""))+1,1),"")</f>
        <v>1</v>
      </c>
      <c r="AM261" t="str">
        <f>IF(Tabela1[[#This Row],[14]]&lt;&gt;"",IF(ISNUMBER(FIND(",",Tabela1[[#This Row],[14]])),LEN(Tabela1[[#This Row],[14]])-LEN(SUBSTITUTE(Tabela1[[#This Row],[14]],",",""))+1,1),"")</f>
        <v/>
      </c>
      <c r="AN261" t="str">
        <f>IF(Tabela1[[#This Row],[15]]&lt;&gt;"",IF(ISNUMBER(FIND(",",Tabela1[[#This Row],[15]])),LEN(Tabela1[[#This Row],[15]])-LEN(SUBSTITUTE(Tabela1[[#This Row],[15]],",",""))+1,1),"")</f>
        <v/>
      </c>
      <c r="AO261" t="str">
        <f>IF(Tabela1[[#This Row],[16]]&lt;&gt;"",IF(ISNUMBER(FIND(",",Tabela1[[#This Row],[16]])),LEN(Tabela1[[#This Row],[16]])-LEN(SUBSTITUTE(Tabela1[[#This Row],[16]],",",""))+1,1),"")</f>
        <v/>
      </c>
      <c r="AP261" t="str">
        <f>IF(Tabela1[[#This Row],[17]]&lt;&gt;"",IF(ISNUMBER(FIND(",",Tabela1[[#This Row],[17]])),LEN(Tabela1[[#This Row],[17]])-LEN(SUBSTITUTE(Tabela1[[#This Row],[17]],",",""))+1,1),"")</f>
        <v/>
      </c>
      <c r="AQ261" t="str">
        <f>IF(Tabela1[[#This Row],[18]]&lt;&gt;"",IF(ISNUMBER(FIND(",",Tabela1[[#This Row],[18]])),LEN(Tabela1[[#This Row],[18]])-LEN(SUBSTITUTE(Tabela1[[#This Row],[18]],",",""))+1,1),"")</f>
        <v/>
      </c>
      <c r="AR261" s="13" t="str">
        <f>IF(Tabela1[[#This Row],[19_LENGTH]]&lt;&gt;"",IF(ISNUMBER(FIND(",",Tabela1[[#This Row],[19_LENGTH]])),LEN(Tabela1[[#This Row],[19_LENGTH]])-LEN(SUBSTITUTE(Tabela1[[#This Row],[19_LENGTH]],",",""))+1,1),"")</f>
        <v/>
      </c>
      <c r="AS261" s="21">
        <f>SUM(Tabela1[[#This Row],[1_]:[19_]])</f>
        <v>2</v>
      </c>
    </row>
    <row r="262" spans="1:45" x14ac:dyDescent="0.25">
      <c r="A262" s="27" t="s">
        <v>1322</v>
      </c>
      <c r="B262" s="19" t="s">
        <v>439</v>
      </c>
      <c r="C262" s="19">
        <v>202</v>
      </c>
      <c r="D262" s="19" t="s">
        <v>1295</v>
      </c>
      <c r="E262" s="20">
        <v>43491</v>
      </c>
      <c r="F262" s="19"/>
      <c r="G262" s="19"/>
      <c r="H262" s="19" t="s">
        <v>100</v>
      </c>
      <c r="I262" s="19">
        <v>44</v>
      </c>
      <c r="J262" s="19">
        <v>47</v>
      </c>
      <c r="K262" s="19"/>
      <c r="L262" s="19"/>
      <c r="M262" s="19"/>
      <c r="N262" s="19"/>
      <c r="O262" s="19"/>
      <c r="P262" s="19"/>
      <c r="Q262" s="19"/>
      <c r="R262" s="19"/>
      <c r="S262" s="19"/>
      <c r="T262" s="19"/>
      <c r="U262" s="19"/>
      <c r="V262" s="19"/>
      <c r="W262" s="19"/>
      <c r="X262" s="19"/>
      <c r="Y262" s="19"/>
      <c r="Z262" t="str">
        <f>IF(Tabela1[[#This Row],[1]]&lt;&gt;"",IF(ISNUMBER(FIND(",",Tabela1[[#This Row],[1]])),LEN(Tabela1[[#This Row],[1]])-LEN(SUBSTITUTE(Tabela1[[#This Row],[1]],",",""))+1,1),"")</f>
        <v/>
      </c>
      <c r="AA262" t="str">
        <f>IF(Tabela1[[#This Row],[2]]&lt;&gt;"",IF(ISNUMBER(FIND(",",Tabela1[[#This Row],[2]])),LEN(Tabela1[[#This Row],[2]])-LEN(SUBSTITUTE(Tabela1[[#This Row],[2]],",",""))+1,1),"")</f>
        <v/>
      </c>
      <c r="AB262">
        <f>IF(Tabela1[[#This Row],[3]]&lt;&gt;"",IF(ISNUMBER(FIND(",",Tabela1[[#This Row],[3]])),LEN(Tabela1[[#This Row],[3]])-LEN(SUBSTITUTE(Tabela1[[#This Row],[3]],",",""))+1,1),"")</f>
        <v>3</v>
      </c>
      <c r="AC262">
        <f>IF(Tabela1[[#This Row],[4]]&lt;&gt;"",IF(ISNUMBER(FIND(",",Tabela1[[#This Row],[4]])),LEN(Tabela1[[#This Row],[4]])-LEN(SUBSTITUTE(Tabela1[[#This Row],[4]],",",""))+1,1),"")</f>
        <v>1</v>
      </c>
      <c r="AD262">
        <f>IF(Tabela1[[#This Row],[5]]&lt;&gt;"",IF(ISNUMBER(FIND(",",Tabela1[[#This Row],[5]])),LEN(Tabela1[[#This Row],[5]])-LEN(SUBSTITUTE(Tabela1[[#This Row],[5]],",",""))+1,1),"")</f>
        <v>1</v>
      </c>
      <c r="AE262" t="str">
        <f>IF(Tabela1[[#This Row],[6]]&lt;&gt;"",IF(ISNUMBER(FIND(",",Tabela1[[#This Row],[6]])),LEN(Tabela1[[#This Row],[6]])-LEN(SUBSTITUTE(Tabela1[[#This Row],[6]],",",""))+1,1),"")</f>
        <v/>
      </c>
      <c r="AF262" t="str">
        <f>IF(Tabela1[[#This Row],[7]]&lt;&gt;"",IF(ISNUMBER(FIND(",",Tabela1[[#This Row],[7]])),LEN(Tabela1[[#This Row],[7]])-LEN(SUBSTITUTE(Tabela1[[#This Row],[7]],",",""))+1,1),"")</f>
        <v/>
      </c>
      <c r="AG262" t="str">
        <f>IF(Tabela1[[#This Row],[8]]&lt;&gt;"",IF(ISNUMBER(FIND(",",Tabela1[[#This Row],[8]])),LEN(Tabela1[[#This Row],[8]])-LEN(SUBSTITUTE(Tabela1[[#This Row],[8]],",",""))+1,1),"")</f>
        <v/>
      </c>
      <c r="AH262" t="str">
        <f>IF(Tabela1[[#This Row],[9]]&lt;&gt;"",IF(ISNUMBER(FIND(",",Tabela1[[#This Row],[9]])),LEN(Tabela1[[#This Row],[9]])-LEN(SUBSTITUTE(Tabela1[[#This Row],[9]],",",""))+1,1),"")</f>
        <v/>
      </c>
      <c r="AI262" t="str">
        <f>IF(Tabela1[[#This Row],[10]]&lt;&gt;"",IF(ISNUMBER(FIND(",",Tabela1[[#This Row],[10]])),LEN(Tabela1[[#This Row],[10]])-LEN(SUBSTITUTE(Tabela1[[#This Row],[10]],",",""))+1,1),"")</f>
        <v/>
      </c>
      <c r="AJ262" t="str">
        <f>IF(Tabela1[[#This Row],[11]]&lt;&gt;"",IF(ISNUMBER(FIND(",",Tabela1[[#This Row],[11]])),LEN(Tabela1[[#This Row],[11]])-LEN(SUBSTITUTE(Tabela1[[#This Row],[11]],",",""))+1,1),"")</f>
        <v/>
      </c>
      <c r="AK262" t="str">
        <f>IF(Tabela1[[#This Row],[12]]&lt;&gt;"",IF(ISNUMBER(FIND(",",Tabela1[[#This Row],[12]])),LEN(Tabela1[[#This Row],[12]])-LEN(SUBSTITUTE(Tabela1[[#This Row],[12]],",",""))+1,1),"")</f>
        <v/>
      </c>
      <c r="AL262" t="str">
        <f>IF(Tabela1[[#This Row],[13]]&lt;&gt;"",IF(ISNUMBER(FIND(",",Tabela1[[#This Row],[13]])),LEN(Tabela1[[#This Row],[13]])-LEN(SUBSTITUTE(Tabela1[[#This Row],[13]],",",""))+1,1),"")</f>
        <v/>
      </c>
      <c r="AM262" t="str">
        <f>IF(Tabela1[[#This Row],[14]]&lt;&gt;"",IF(ISNUMBER(FIND(",",Tabela1[[#This Row],[14]])),LEN(Tabela1[[#This Row],[14]])-LEN(SUBSTITUTE(Tabela1[[#This Row],[14]],",",""))+1,1),"")</f>
        <v/>
      </c>
      <c r="AN262" t="str">
        <f>IF(Tabela1[[#This Row],[15]]&lt;&gt;"",IF(ISNUMBER(FIND(",",Tabela1[[#This Row],[15]])),LEN(Tabela1[[#This Row],[15]])-LEN(SUBSTITUTE(Tabela1[[#This Row],[15]],",",""))+1,1),"")</f>
        <v/>
      </c>
      <c r="AO262" t="str">
        <f>IF(Tabela1[[#This Row],[16]]&lt;&gt;"",IF(ISNUMBER(FIND(",",Tabela1[[#This Row],[16]])),LEN(Tabela1[[#This Row],[16]])-LEN(SUBSTITUTE(Tabela1[[#This Row],[16]],",",""))+1,1),"")</f>
        <v/>
      </c>
      <c r="AP262" t="str">
        <f>IF(Tabela1[[#This Row],[17]]&lt;&gt;"",IF(ISNUMBER(FIND(",",Tabela1[[#This Row],[17]])),LEN(Tabela1[[#This Row],[17]])-LEN(SUBSTITUTE(Tabela1[[#This Row],[17]],",",""))+1,1),"")</f>
        <v/>
      </c>
      <c r="AQ262" t="str">
        <f>IF(Tabela1[[#This Row],[18]]&lt;&gt;"",IF(ISNUMBER(FIND(",",Tabela1[[#This Row],[18]])),LEN(Tabela1[[#This Row],[18]])-LEN(SUBSTITUTE(Tabela1[[#This Row],[18]],",",""))+1,1),"")</f>
        <v/>
      </c>
      <c r="AR262" s="13" t="str">
        <f>IF(Tabela1[[#This Row],[19_LENGTH]]&lt;&gt;"",IF(ISNUMBER(FIND(",",Tabela1[[#This Row],[19_LENGTH]])),LEN(Tabela1[[#This Row],[19_LENGTH]])-LEN(SUBSTITUTE(Tabela1[[#This Row],[19_LENGTH]],",",""))+1,1),"")</f>
        <v/>
      </c>
      <c r="AS262" s="21">
        <f>SUM(Tabela1[[#This Row],[1_]:[19_]])</f>
        <v>5</v>
      </c>
    </row>
    <row r="263" spans="1:45" x14ac:dyDescent="0.25">
      <c r="A263" s="27" t="s">
        <v>1322</v>
      </c>
      <c r="B263" s="19" t="s">
        <v>440</v>
      </c>
      <c r="C263" s="19">
        <v>218</v>
      </c>
      <c r="D263" s="19" t="s">
        <v>1297</v>
      </c>
      <c r="E263" s="20">
        <v>43494</v>
      </c>
      <c r="F263" s="19"/>
      <c r="G263" s="19"/>
      <c r="H263" s="19">
        <v>19</v>
      </c>
      <c r="I263" s="19"/>
      <c r="J263" s="19"/>
      <c r="K263" s="19"/>
      <c r="L263" s="19"/>
      <c r="M263" s="19"/>
      <c r="N263" s="19"/>
      <c r="O263" s="19"/>
      <c r="P263" s="19"/>
      <c r="Q263" s="19"/>
      <c r="R263" s="19"/>
      <c r="S263" s="19"/>
      <c r="T263" s="19"/>
      <c r="U263" s="19"/>
      <c r="V263" s="19"/>
      <c r="W263" s="19"/>
      <c r="X263" s="19"/>
      <c r="Y263" s="19"/>
      <c r="Z263" t="str">
        <f>IF(Tabela1[[#This Row],[1]]&lt;&gt;"",IF(ISNUMBER(FIND(",",Tabela1[[#This Row],[1]])),LEN(Tabela1[[#This Row],[1]])-LEN(SUBSTITUTE(Tabela1[[#This Row],[1]],",",""))+1,1),"")</f>
        <v/>
      </c>
      <c r="AA263" t="str">
        <f>IF(Tabela1[[#This Row],[2]]&lt;&gt;"",IF(ISNUMBER(FIND(",",Tabela1[[#This Row],[2]])),LEN(Tabela1[[#This Row],[2]])-LEN(SUBSTITUTE(Tabela1[[#This Row],[2]],",",""))+1,1),"")</f>
        <v/>
      </c>
      <c r="AB263">
        <f>IF(Tabela1[[#This Row],[3]]&lt;&gt;"",IF(ISNUMBER(FIND(",",Tabela1[[#This Row],[3]])),LEN(Tabela1[[#This Row],[3]])-LEN(SUBSTITUTE(Tabela1[[#This Row],[3]],",",""))+1,1),"")</f>
        <v>1</v>
      </c>
      <c r="AC263" t="str">
        <f>IF(Tabela1[[#This Row],[4]]&lt;&gt;"",IF(ISNUMBER(FIND(",",Tabela1[[#This Row],[4]])),LEN(Tabela1[[#This Row],[4]])-LEN(SUBSTITUTE(Tabela1[[#This Row],[4]],",",""))+1,1),"")</f>
        <v/>
      </c>
      <c r="AD263" t="str">
        <f>IF(Tabela1[[#This Row],[5]]&lt;&gt;"",IF(ISNUMBER(FIND(",",Tabela1[[#This Row],[5]])),LEN(Tabela1[[#This Row],[5]])-LEN(SUBSTITUTE(Tabela1[[#This Row],[5]],",",""))+1,1),"")</f>
        <v/>
      </c>
      <c r="AE263" t="str">
        <f>IF(Tabela1[[#This Row],[6]]&lt;&gt;"",IF(ISNUMBER(FIND(",",Tabela1[[#This Row],[6]])),LEN(Tabela1[[#This Row],[6]])-LEN(SUBSTITUTE(Tabela1[[#This Row],[6]],",",""))+1,1),"")</f>
        <v/>
      </c>
      <c r="AF263" t="str">
        <f>IF(Tabela1[[#This Row],[7]]&lt;&gt;"",IF(ISNUMBER(FIND(",",Tabela1[[#This Row],[7]])),LEN(Tabela1[[#This Row],[7]])-LEN(SUBSTITUTE(Tabela1[[#This Row],[7]],",",""))+1,1),"")</f>
        <v/>
      </c>
      <c r="AG263" t="str">
        <f>IF(Tabela1[[#This Row],[8]]&lt;&gt;"",IF(ISNUMBER(FIND(",",Tabela1[[#This Row],[8]])),LEN(Tabela1[[#This Row],[8]])-LEN(SUBSTITUTE(Tabela1[[#This Row],[8]],",",""))+1,1),"")</f>
        <v/>
      </c>
      <c r="AH263" t="str">
        <f>IF(Tabela1[[#This Row],[9]]&lt;&gt;"",IF(ISNUMBER(FIND(",",Tabela1[[#This Row],[9]])),LEN(Tabela1[[#This Row],[9]])-LEN(SUBSTITUTE(Tabela1[[#This Row],[9]],",",""))+1,1),"")</f>
        <v/>
      </c>
      <c r="AI263" t="str">
        <f>IF(Tabela1[[#This Row],[10]]&lt;&gt;"",IF(ISNUMBER(FIND(",",Tabela1[[#This Row],[10]])),LEN(Tabela1[[#This Row],[10]])-LEN(SUBSTITUTE(Tabela1[[#This Row],[10]],",",""))+1,1),"")</f>
        <v/>
      </c>
      <c r="AJ263" t="str">
        <f>IF(Tabela1[[#This Row],[11]]&lt;&gt;"",IF(ISNUMBER(FIND(",",Tabela1[[#This Row],[11]])),LEN(Tabela1[[#This Row],[11]])-LEN(SUBSTITUTE(Tabela1[[#This Row],[11]],",",""))+1,1),"")</f>
        <v/>
      </c>
      <c r="AK263" t="str">
        <f>IF(Tabela1[[#This Row],[12]]&lt;&gt;"",IF(ISNUMBER(FIND(",",Tabela1[[#This Row],[12]])),LEN(Tabela1[[#This Row],[12]])-LEN(SUBSTITUTE(Tabela1[[#This Row],[12]],",",""))+1,1),"")</f>
        <v/>
      </c>
      <c r="AL263" t="str">
        <f>IF(Tabela1[[#This Row],[13]]&lt;&gt;"",IF(ISNUMBER(FIND(",",Tabela1[[#This Row],[13]])),LEN(Tabela1[[#This Row],[13]])-LEN(SUBSTITUTE(Tabela1[[#This Row],[13]],",",""))+1,1),"")</f>
        <v/>
      </c>
      <c r="AM263" t="str">
        <f>IF(Tabela1[[#This Row],[14]]&lt;&gt;"",IF(ISNUMBER(FIND(",",Tabela1[[#This Row],[14]])),LEN(Tabela1[[#This Row],[14]])-LEN(SUBSTITUTE(Tabela1[[#This Row],[14]],",",""))+1,1),"")</f>
        <v/>
      </c>
      <c r="AN263" t="str">
        <f>IF(Tabela1[[#This Row],[15]]&lt;&gt;"",IF(ISNUMBER(FIND(",",Tabela1[[#This Row],[15]])),LEN(Tabela1[[#This Row],[15]])-LEN(SUBSTITUTE(Tabela1[[#This Row],[15]],",",""))+1,1),"")</f>
        <v/>
      </c>
      <c r="AO263" t="str">
        <f>IF(Tabela1[[#This Row],[16]]&lt;&gt;"",IF(ISNUMBER(FIND(",",Tabela1[[#This Row],[16]])),LEN(Tabela1[[#This Row],[16]])-LEN(SUBSTITUTE(Tabela1[[#This Row],[16]],",",""))+1,1),"")</f>
        <v/>
      </c>
      <c r="AP263" t="str">
        <f>IF(Tabela1[[#This Row],[17]]&lt;&gt;"",IF(ISNUMBER(FIND(",",Tabela1[[#This Row],[17]])),LEN(Tabela1[[#This Row],[17]])-LEN(SUBSTITUTE(Tabela1[[#This Row],[17]],",",""))+1,1),"")</f>
        <v/>
      </c>
      <c r="AQ263" t="str">
        <f>IF(Tabela1[[#This Row],[18]]&lt;&gt;"",IF(ISNUMBER(FIND(",",Tabela1[[#This Row],[18]])),LEN(Tabela1[[#This Row],[18]])-LEN(SUBSTITUTE(Tabela1[[#This Row],[18]],",",""))+1,1),"")</f>
        <v/>
      </c>
      <c r="AR263" s="13" t="str">
        <f>IF(Tabela1[[#This Row],[19_LENGTH]]&lt;&gt;"",IF(ISNUMBER(FIND(",",Tabela1[[#This Row],[19_LENGTH]])),LEN(Tabela1[[#This Row],[19_LENGTH]])-LEN(SUBSTITUTE(Tabela1[[#This Row],[19_LENGTH]],",",""))+1,1),"")</f>
        <v/>
      </c>
      <c r="AS263" s="21">
        <f>SUM(Tabela1[[#This Row],[1_]:[19_]])</f>
        <v>1</v>
      </c>
    </row>
    <row r="264" spans="1:45" x14ac:dyDescent="0.25">
      <c r="A264" s="27" t="s">
        <v>1322</v>
      </c>
      <c r="B264" s="19" t="s">
        <v>763</v>
      </c>
      <c r="C264" s="19">
        <v>202</v>
      </c>
      <c r="D264" s="19" t="s">
        <v>1296</v>
      </c>
      <c r="E264" s="20">
        <v>43494</v>
      </c>
      <c r="F264" s="19"/>
      <c r="G264" s="19"/>
      <c r="H264" s="19"/>
      <c r="I264" s="19"/>
      <c r="J264" s="19"/>
      <c r="K264" s="19"/>
      <c r="L264" s="19"/>
      <c r="M264" s="19"/>
      <c r="N264" s="19"/>
      <c r="O264" s="19"/>
      <c r="P264" s="19" t="s">
        <v>101</v>
      </c>
      <c r="Q264" s="19"/>
      <c r="R264" s="19"/>
      <c r="S264" s="19"/>
      <c r="T264" s="19"/>
      <c r="U264" s="19">
        <v>85</v>
      </c>
      <c r="V264" s="19"/>
      <c r="W264" s="19"/>
      <c r="X264" s="19"/>
      <c r="Y264" s="19"/>
      <c r="Z264" t="str">
        <f>IF(Tabela1[[#This Row],[1]]&lt;&gt;"",IF(ISNUMBER(FIND(",",Tabela1[[#This Row],[1]])),LEN(Tabela1[[#This Row],[1]])-LEN(SUBSTITUTE(Tabela1[[#This Row],[1]],",",""))+1,1),"")</f>
        <v/>
      </c>
      <c r="AA264" t="str">
        <f>IF(Tabela1[[#This Row],[2]]&lt;&gt;"",IF(ISNUMBER(FIND(",",Tabela1[[#This Row],[2]])),LEN(Tabela1[[#This Row],[2]])-LEN(SUBSTITUTE(Tabela1[[#This Row],[2]],",",""))+1,1),"")</f>
        <v/>
      </c>
      <c r="AB264" t="str">
        <f>IF(Tabela1[[#This Row],[3]]&lt;&gt;"",IF(ISNUMBER(FIND(",",Tabela1[[#This Row],[3]])),LEN(Tabela1[[#This Row],[3]])-LEN(SUBSTITUTE(Tabela1[[#This Row],[3]],",",""))+1,1),"")</f>
        <v/>
      </c>
      <c r="AC264" t="str">
        <f>IF(Tabela1[[#This Row],[4]]&lt;&gt;"",IF(ISNUMBER(FIND(",",Tabela1[[#This Row],[4]])),LEN(Tabela1[[#This Row],[4]])-LEN(SUBSTITUTE(Tabela1[[#This Row],[4]],",",""))+1,1),"")</f>
        <v/>
      </c>
      <c r="AD264" t="str">
        <f>IF(Tabela1[[#This Row],[5]]&lt;&gt;"",IF(ISNUMBER(FIND(",",Tabela1[[#This Row],[5]])),LEN(Tabela1[[#This Row],[5]])-LEN(SUBSTITUTE(Tabela1[[#This Row],[5]],",",""))+1,1),"")</f>
        <v/>
      </c>
      <c r="AE264" t="str">
        <f>IF(Tabela1[[#This Row],[6]]&lt;&gt;"",IF(ISNUMBER(FIND(",",Tabela1[[#This Row],[6]])),LEN(Tabela1[[#This Row],[6]])-LEN(SUBSTITUTE(Tabela1[[#This Row],[6]],",",""))+1,1),"")</f>
        <v/>
      </c>
      <c r="AF264" t="str">
        <f>IF(Tabela1[[#This Row],[7]]&lt;&gt;"",IF(ISNUMBER(FIND(",",Tabela1[[#This Row],[7]])),LEN(Tabela1[[#This Row],[7]])-LEN(SUBSTITUTE(Tabela1[[#This Row],[7]],",",""))+1,1),"")</f>
        <v/>
      </c>
      <c r="AG264" t="str">
        <f>IF(Tabela1[[#This Row],[8]]&lt;&gt;"",IF(ISNUMBER(FIND(",",Tabela1[[#This Row],[8]])),LEN(Tabela1[[#This Row],[8]])-LEN(SUBSTITUTE(Tabela1[[#This Row],[8]],",",""))+1,1),"")</f>
        <v/>
      </c>
      <c r="AH264" t="str">
        <f>IF(Tabela1[[#This Row],[9]]&lt;&gt;"",IF(ISNUMBER(FIND(",",Tabela1[[#This Row],[9]])),LEN(Tabela1[[#This Row],[9]])-LEN(SUBSTITUTE(Tabela1[[#This Row],[9]],",",""))+1,1),"")</f>
        <v/>
      </c>
      <c r="AI264" t="str">
        <f>IF(Tabela1[[#This Row],[10]]&lt;&gt;"",IF(ISNUMBER(FIND(",",Tabela1[[#This Row],[10]])),LEN(Tabela1[[#This Row],[10]])-LEN(SUBSTITUTE(Tabela1[[#This Row],[10]],",",""))+1,1),"")</f>
        <v/>
      </c>
      <c r="AJ264">
        <f>IF(Tabela1[[#This Row],[11]]&lt;&gt;"",IF(ISNUMBER(FIND(",",Tabela1[[#This Row],[11]])),LEN(Tabela1[[#This Row],[11]])-LEN(SUBSTITUTE(Tabela1[[#This Row],[11]],",",""))+1,1),"")</f>
        <v>2</v>
      </c>
      <c r="AK264" t="str">
        <f>IF(Tabela1[[#This Row],[12]]&lt;&gt;"",IF(ISNUMBER(FIND(",",Tabela1[[#This Row],[12]])),LEN(Tabela1[[#This Row],[12]])-LEN(SUBSTITUTE(Tabela1[[#This Row],[12]],",",""))+1,1),"")</f>
        <v/>
      </c>
      <c r="AL264" t="str">
        <f>IF(Tabela1[[#This Row],[13]]&lt;&gt;"",IF(ISNUMBER(FIND(",",Tabela1[[#This Row],[13]])),LEN(Tabela1[[#This Row],[13]])-LEN(SUBSTITUTE(Tabela1[[#This Row],[13]],",",""))+1,1),"")</f>
        <v/>
      </c>
      <c r="AM264" t="str">
        <f>IF(Tabela1[[#This Row],[14]]&lt;&gt;"",IF(ISNUMBER(FIND(",",Tabela1[[#This Row],[14]])),LEN(Tabela1[[#This Row],[14]])-LEN(SUBSTITUTE(Tabela1[[#This Row],[14]],",",""))+1,1),"")</f>
        <v/>
      </c>
      <c r="AN264" t="str">
        <f>IF(Tabela1[[#This Row],[15]]&lt;&gt;"",IF(ISNUMBER(FIND(",",Tabela1[[#This Row],[15]])),LEN(Tabela1[[#This Row],[15]])-LEN(SUBSTITUTE(Tabela1[[#This Row],[15]],",",""))+1,1),"")</f>
        <v/>
      </c>
      <c r="AO264">
        <f>IF(Tabela1[[#This Row],[16]]&lt;&gt;"",IF(ISNUMBER(FIND(",",Tabela1[[#This Row],[16]])),LEN(Tabela1[[#This Row],[16]])-LEN(SUBSTITUTE(Tabela1[[#This Row],[16]],",",""))+1,1),"")</f>
        <v>1</v>
      </c>
      <c r="AP264" t="str">
        <f>IF(Tabela1[[#This Row],[17]]&lt;&gt;"",IF(ISNUMBER(FIND(",",Tabela1[[#This Row],[17]])),LEN(Tabela1[[#This Row],[17]])-LEN(SUBSTITUTE(Tabela1[[#This Row],[17]],",",""))+1,1),"")</f>
        <v/>
      </c>
      <c r="AQ264" t="str">
        <f>IF(Tabela1[[#This Row],[18]]&lt;&gt;"",IF(ISNUMBER(FIND(",",Tabela1[[#This Row],[18]])),LEN(Tabela1[[#This Row],[18]])-LEN(SUBSTITUTE(Tabela1[[#This Row],[18]],",",""))+1,1),"")</f>
        <v/>
      </c>
      <c r="AR264" s="13" t="str">
        <f>IF(Tabela1[[#This Row],[19_LENGTH]]&lt;&gt;"",IF(ISNUMBER(FIND(",",Tabela1[[#This Row],[19_LENGTH]])),LEN(Tabela1[[#This Row],[19_LENGTH]])-LEN(SUBSTITUTE(Tabela1[[#This Row],[19_LENGTH]],",",""))+1,1),"")</f>
        <v/>
      </c>
      <c r="AS264" s="21">
        <f>SUM(Tabela1[[#This Row],[1_]:[19_]])</f>
        <v>3</v>
      </c>
    </row>
    <row r="265" spans="1:45" x14ac:dyDescent="0.25">
      <c r="A265" s="27" t="s">
        <v>1322</v>
      </c>
      <c r="B265" s="19" t="s">
        <v>764</v>
      </c>
      <c r="C265" s="19">
        <v>202</v>
      </c>
      <c r="D265" s="19" t="s">
        <v>1296</v>
      </c>
      <c r="E265" s="20">
        <v>43494</v>
      </c>
      <c r="F265" s="19"/>
      <c r="G265" s="19"/>
      <c r="H265" s="19"/>
      <c r="I265" s="19"/>
      <c r="J265" s="19"/>
      <c r="K265" s="19"/>
      <c r="L265" s="19"/>
      <c r="M265" s="19"/>
      <c r="N265" s="19"/>
      <c r="O265" s="19"/>
      <c r="P265" s="19"/>
      <c r="Q265" s="19"/>
      <c r="R265" s="19"/>
      <c r="S265" s="19"/>
      <c r="T265" s="19"/>
      <c r="U265" s="19"/>
      <c r="V265" s="19"/>
      <c r="W265" s="19">
        <v>45</v>
      </c>
      <c r="X265" s="19"/>
      <c r="Y265" s="19"/>
      <c r="Z265" t="str">
        <f>IF(Tabela1[[#This Row],[1]]&lt;&gt;"",IF(ISNUMBER(FIND(",",Tabela1[[#This Row],[1]])),LEN(Tabela1[[#This Row],[1]])-LEN(SUBSTITUTE(Tabela1[[#This Row],[1]],",",""))+1,1),"")</f>
        <v/>
      </c>
      <c r="AA265" t="str">
        <f>IF(Tabela1[[#This Row],[2]]&lt;&gt;"",IF(ISNUMBER(FIND(",",Tabela1[[#This Row],[2]])),LEN(Tabela1[[#This Row],[2]])-LEN(SUBSTITUTE(Tabela1[[#This Row],[2]],",",""))+1,1),"")</f>
        <v/>
      </c>
      <c r="AB265" t="str">
        <f>IF(Tabela1[[#This Row],[3]]&lt;&gt;"",IF(ISNUMBER(FIND(",",Tabela1[[#This Row],[3]])),LEN(Tabela1[[#This Row],[3]])-LEN(SUBSTITUTE(Tabela1[[#This Row],[3]],",",""))+1,1),"")</f>
        <v/>
      </c>
      <c r="AC265" t="str">
        <f>IF(Tabela1[[#This Row],[4]]&lt;&gt;"",IF(ISNUMBER(FIND(",",Tabela1[[#This Row],[4]])),LEN(Tabela1[[#This Row],[4]])-LEN(SUBSTITUTE(Tabela1[[#This Row],[4]],",",""))+1,1),"")</f>
        <v/>
      </c>
      <c r="AD265" t="str">
        <f>IF(Tabela1[[#This Row],[5]]&lt;&gt;"",IF(ISNUMBER(FIND(",",Tabela1[[#This Row],[5]])),LEN(Tabela1[[#This Row],[5]])-LEN(SUBSTITUTE(Tabela1[[#This Row],[5]],",",""))+1,1),"")</f>
        <v/>
      </c>
      <c r="AE265" t="str">
        <f>IF(Tabela1[[#This Row],[6]]&lt;&gt;"",IF(ISNUMBER(FIND(",",Tabela1[[#This Row],[6]])),LEN(Tabela1[[#This Row],[6]])-LEN(SUBSTITUTE(Tabela1[[#This Row],[6]],",",""))+1,1),"")</f>
        <v/>
      </c>
      <c r="AF265" t="str">
        <f>IF(Tabela1[[#This Row],[7]]&lt;&gt;"",IF(ISNUMBER(FIND(",",Tabela1[[#This Row],[7]])),LEN(Tabela1[[#This Row],[7]])-LEN(SUBSTITUTE(Tabela1[[#This Row],[7]],",",""))+1,1),"")</f>
        <v/>
      </c>
      <c r="AG265" t="str">
        <f>IF(Tabela1[[#This Row],[8]]&lt;&gt;"",IF(ISNUMBER(FIND(",",Tabela1[[#This Row],[8]])),LEN(Tabela1[[#This Row],[8]])-LEN(SUBSTITUTE(Tabela1[[#This Row],[8]],",",""))+1,1),"")</f>
        <v/>
      </c>
      <c r="AH265" t="str">
        <f>IF(Tabela1[[#This Row],[9]]&lt;&gt;"",IF(ISNUMBER(FIND(",",Tabela1[[#This Row],[9]])),LEN(Tabela1[[#This Row],[9]])-LEN(SUBSTITUTE(Tabela1[[#This Row],[9]],",",""))+1,1),"")</f>
        <v/>
      </c>
      <c r="AI265" t="str">
        <f>IF(Tabela1[[#This Row],[10]]&lt;&gt;"",IF(ISNUMBER(FIND(",",Tabela1[[#This Row],[10]])),LEN(Tabela1[[#This Row],[10]])-LEN(SUBSTITUTE(Tabela1[[#This Row],[10]],",",""))+1,1),"")</f>
        <v/>
      </c>
      <c r="AJ265" t="str">
        <f>IF(Tabela1[[#This Row],[11]]&lt;&gt;"",IF(ISNUMBER(FIND(",",Tabela1[[#This Row],[11]])),LEN(Tabela1[[#This Row],[11]])-LEN(SUBSTITUTE(Tabela1[[#This Row],[11]],",",""))+1,1),"")</f>
        <v/>
      </c>
      <c r="AK265" t="str">
        <f>IF(Tabela1[[#This Row],[12]]&lt;&gt;"",IF(ISNUMBER(FIND(",",Tabela1[[#This Row],[12]])),LEN(Tabela1[[#This Row],[12]])-LEN(SUBSTITUTE(Tabela1[[#This Row],[12]],",",""))+1,1),"")</f>
        <v/>
      </c>
      <c r="AL265" t="str">
        <f>IF(Tabela1[[#This Row],[13]]&lt;&gt;"",IF(ISNUMBER(FIND(",",Tabela1[[#This Row],[13]])),LEN(Tabela1[[#This Row],[13]])-LEN(SUBSTITUTE(Tabela1[[#This Row],[13]],",",""))+1,1),"")</f>
        <v/>
      </c>
      <c r="AM265" t="str">
        <f>IF(Tabela1[[#This Row],[14]]&lt;&gt;"",IF(ISNUMBER(FIND(",",Tabela1[[#This Row],[14]])),LEN(Tabela1[[#This Row],[14]])-LEN(SUBSTITUTE(Tabela1[[#This Row],[14]],",",""))+1,1),"")</f>
        <v/>
      </c>
      <c r="AN265" t="str">
        <f>IF(Tabela1[[#This Row],[15]]&lt;&gt;"",IF(ISNUMBER(FIND(",",Tabela1[[#This Row],[15]])),LEN(Tabela1[[#This Row],[15]])-LEN(SUBSTITUTE(Tabela1[[#This Row],[15]],",",""))+1,1),"")</f>
        <v/>
      </c>
      <c r="AO265" t="str">
        <f>IF(Tabela1[[#This Row],[16]]&lt;&gt;"",IF(ISNUMBER(FIND(",",Tabela1[[#This Row],[16]])),LEN(Tabela1[[#This Row],[16]])-LEN(SUBSTITUTE(Tabela1[[#This Row],[16]],",",""))+1,1),"")</f>
        <v/>
      </c>
      <c r="AP265" t="str">
        <f>IF(Tabela1[[#This Row],[17]]&lt;&gt;"",IF(ISNUMBER(FIND(",",Tabela1[[#This Row],[17]])),LEN(Tabela1[[#This Row],[17]])-LEN(SUBSTITUTE(Tabela1[[#This Row],[17]],",",""))+1,1),"")</f>
        <v/>
      </c>
      <c r="AQ265">
        <f>IF(Tabela1[[#This Row],[18]]&lt;&gt;"",IF(ISNUMBER(FIND(",",Tabela1[[#This Row],[18]])),LEN(Tabela1[[#This Row],[18]])-LEN(SUBSTITUTE(Tabela1[[#This Row],[18]],",",""))+1,1),"")</f>
        <v>1</v>
      </c>
      <c r="AR265" s="13" t="str">
        <f>IF(Tabela1[[#This Row],[19_LENGTH]]&lt;&gt;"",IF(ISNUMBER(FIND(",",Tabela1[[#This Row],[19_LENGTH]])),LEN(Tabela1[[#This Row],[19_LENGTH]])-LEN(SUBSTITUTE(Tabela1[[#This Row],[19_LENGTH]],",",""))+1,1),"")</f>
        <v/>
      </c>
      <c r="AS265" s="21">
        <f>SUM(Tabela1[[#This Row],[1_]:[19_]])</f>
        <v>1</v>
      </c>
    </row>
    <row r="266" spans="1:45" x14ac:dyDescent="0.25">
      <c r="A266" s="27" t="s">
        <v>1322</v>
      </c>
      <c r="B266" s="19" t="s">
        <v>765</v>
      </c>
      <c r="C266" s="19">
        <v>202</v>
      </c>
      <c r="D266" s="19" t="s">
        <v>1315</v>
      </c>
      <c r="E266" s="20">
        <v>43494</v>
      </c>
      <c r="F266" s="19"/>
      <c r="G266" s="19">
        <v>28</v>
      </c>
      <c r="H266" s="19"/>
      <c r="I266" s="19">
        <v>45</v>
      </c>
      <c r="J266" s="19"/>
      <c r="K266" s="19"/>
      <c r="L266" s="19"/>
      <c r="M266" s="19"/>
      <c r="N266" s="19"/>
      <c r="O266" s="19"/>
      <c r="P266" s="19"/>
      <c r="Q266" s="19"/>
      <c r="R266" s="19"/>
      <c r="S266" s="19"/>
      <c r="T266" s="19"/>
      <c r="U266" s="19"/>
      <c r="V266" s="19"/>
      <c r="W266" s="19"/>
      <c r="X266" s="19"/>
      <c r="Y266" s="19"/>
      <c r="Z266" t="str">
        <f>IF(Tabela1[[#This Row],[1]]&lt;&gt;"",IF(ISNUMBER(FIND(",",Tabela1[[#This Row],[1]])),LEN(Tabela1[[#This Row],[1]])-LEN(SUBSTITUTE(Tabela1[[#This Row],[1]],",",""))+1,1),"")</f>
        <v/>
      </c>
      <c r="AA266">
        <f>IF(Tabela1[[#This Row],[2]]&lt;&gt;"",IF(ISNUMBER(FIND(",",Tabela1[[#This Row],[2]])),LEN(Tabela1[[#This Row],[2]])-LEN(SUBSTITUTE(Tabela1[[#This Row],[2]],",",""))+1,1),"")</f>
        <v>1</v>
      </c>
      <c r="AB266" t="str">
        <f>IF(Tabela1[[#This Row],[3]]&lt;&gt;"",IF(ISNUMBER(FIND(",",Tabela1[[#This Row],[3]])),LEN(Tabela1[[#This Row],[3]])-LEN(SUBSTITUTE(Tabela1[[#This Row],[3]],",",""))+1,1),"")</f>
        <v/>
      </c>
      <c r="AC266">
        <f>IF(Tabela1[[#This Row],[4]]&lt;&gt;"",IF(ISNUMBER(FIND(",",Tabela1[[#This Row],[4]])),LEN(Tabela1[[#This Row],[4]])-LEN(SUBSTITUTE(Tabela1[[#This Row],[4]],",",""))+1,1),"")</f>
        <v>1</v>
      </c>
      <c r="AD266" t="str">
        <f>IF(Tabela1[[#This Row],[5]]&lt;&gt;"",IF(ISNUMBER(FIND(",",Tabela1[[#This Row],[5]])),LEN(Tabela1[[#This Row],[5]])-LEN(SUBSTITUTE(Tabela1[[#This Row],[5]],",",""))+1,1),"")</f>
        <v/>
      </c>
      <c r="AE266" t="str">
        <f>IF(Tabela1[[#This Row],[6]]&lt;&gt;"",IF(ISNUMBER(FIND(",",Tabela1[[#This Row],[6]])),LEN(Tabela1[[#This Row],[6]])-LEN(SUBSTITUTE(Tabela1[[#This Row],[6]],",",""))+1,1),"")</f>
        <v/>
      </c>
      <c r="AF266" t="str">
        <f>IF(Tabela1[[#This Row],[7]]&lt;&gt;"",IF(ISNUMBER(FIND(",",Tabela1[[#This Row],[7]])),LEN(Tabela1[[#This Row],[7]])-LEN(SUBSTITUTE(Tabela1[[#This Row],[7]],",",""))+1,1),"")</f>
        <v/>
      </c>
      <c r="AG266" t="str">
        <f>IF(Tabela1[[#This Row],[8]]&lt;&gt;"",IF(ISNUMBER(FIND(",",Tabela1[[#This Row],[8]])),LEN(Tabela1[[#This Row],[8]])-LEN(SUBSTITUTE(Tabela1[[#This Row],[8]],",",""))+1,1),"")</f>
        <v/>
      </c>
      <c r="AH266" t="str">
        <f>IF(Tabela1[[#This Row],[9]]&lt;&gt;"",IF(ISNUMBER(FIND(",",Tabela1[[#This Row],[9]])),LEN(Tabela1[[#This Row],[9]])-LEN(SUBSTITUTE(Tabela1[[#This Row],[9]],",",""))+1,1),"")</f>
        <v/>
      </c>
      <c r="AI266" t="str">
        <f>IF(Tabela1[[#This Row],[10]]&lt;&gt;"",IF(ISNUMBER(FIND(",",Tabela1[[#This Row],[10]])),LEN(Tabela1[[#This Row],[10]])-LEN(SUBSTITUTE(Tabela1[[#This Row],[10]],",",""))+1,1),"")</f>
        <v/>
      </c>
      <c r="AJ266" t="str">
        <f>IF(Tabela1[[#This Row],[11]]&lt;&gt;"",IF(ISNUMBER(FIND(",",Tabela1[[#This Row],[11]])),LEN(Tabela1[[#This Row],[11]])-LEN(SUBSTITUTE(Tabela1[[#This Row],[11]],",",""))+1,1),"")</f>
        <v/>
      </c>
      <c r="AK266" t="str">
        <f>IF(Tabela1[[#This Row],[12]]&lt;&gt;"",IF(ISNUMBER(FIND(",",Tabela1[[#This Row],[12]])),LEN(Tabela1[[#This Row],[12]])-LEN(SUBSTITUTE(Tabela1[[#This Row],[12]],",",""))+1,1),"")</f>
        <v/>
      </c>
      <c r="AL266" t="str">
        <f>IF(Tabela1[[#This Row],[13]]&lt;&gt;"",IF(ISNUMBER(FIND(",",Tabela1[[#This Row],[13]])),LEN(Tabela1[[#This Row],[13]])-LEN(SUBSTITUTE(Tabela1[[#This Row],[13]],",",""))+1,1),"")</f>
        <v/>
      </c>
      <c r="AM266" t="str">
        <f>IF(Tabela1[[#This Row],[14]]&lt;&gt;"",IF(ISNUMBER(FIND(",",Tabela1[[#This Row],[14]])),LEN(Tabela1[[#This Row],[14]])-LEN(SUBSTITUTE(Tabela1[[#This Row],[14]],",",""))+1,1),"")</f>
        <v/>
      </c>
      <c r="AN266" t="str">
        <f>IF(Tabela1[[#This Row],[15]]&lt;&gt;"",IF(ISNUMBER(FIND(",",Tabela1[[#This Row],[15]])),LEN(Tabela1[[#This Row],[15]])-LEN(SUBSTITUTE(Tabela1[[#This Row],[15]],",",""))+1,1),"")</f>
        <v/>
      </c>
      <c r="AO266" t="str">
        <f>IF(Tabela1[[#This Row],[16]]&lt;&gt;"",IF(ISNUMBER(FIND(",",Tabela1[[#This Row],[16]])),LEN(Tabela1[[#This Row],[16]])-LEN(SUBSTITUTE(Tabela1[[#This Row],[16]],",",""))+1,1),"")</f>
        <v/>
      </c>
      <c r="AP266" t="str">
        <f>IF(Tabela1[[#This Row],[17]]&lt;&gt;"",IF(ISNUMBER(FIND(",",Tabela1[[#This Row],[17]])),LEN(Tabela1[[#This Row],[17]])-LEN(SUBSTITUTE(Tabela1[[#This Row],[17]],",",""))+1,1),"")</f>
        <v/>
      </c>
      <c r="AQ266" t="str">
        <f>IF(Tabela1[[#This Row],[18]]&lt;&gt;"",IF(ISNUMBER(FIND(",",Tabela1[[#This Row],[18]])),LEN(Tabela1[[#This Row],[18]])-LEN(SUBSTITUTE(Tabela1[[#This Row],[18]],",",""))+1,1),"")</f>
        <v/>
      </c>
      <c r="AR266" s="13" t="str">
        <f>IF(Tabela1[[#This Row],[19_LENGTH]]&lt;&gt;"",IF(ISNUMBER(FIND(",",Tabela1[[#This Row],[19_LENGTH]])),LEN(Tabela1[[#This Row],[19_LENGTH]])-LEN(SUBSTITUTE(Tabela1[[#This Row],[19_LENGTH]],",",""))+1,1),"")</f>
        <v/>
      </c>
      <c r="AS266" s="21">
        <f>SUM(Tabela1[[#This Row],[1_]:[19_]])</f>
        <v>2</v>
      </c>
    </row>
    <row r="267" spans="1:45" x14ac:dyDescent="0.25">
      <c r="A267" s="27" t="s">
        <v>1322</v>
      </c>
      <c r="B267" s="19" t="s">
        <v>441</v>
      </c>
      <c r="C267" s="19">
        <v>54</v>
      </c>
      <c r="D267" s="19" t="s">
        <v>1298</v>
      </c>
      <c r="E267" s="20">
        <v>43493</v>
      </c>
      <c r="F267" s="19"/>
      <c r="G267" s="19"/>
      <c r="H267" s="19"/>
      <c r="I267" s="19">
        <v>26</v>
      </c>
      <c r="J267" s="19"/>
      <c r="K267" s="19"/>
      <c r="L267" s="19"/>
      <c r="M267" s="19"/>
      <c r="N267" s="19"/>
      <c r="O267" s="19"/>
      <c r="P267" s="19"/>
      <c r="Q267" s="19"/>
      <c r="R267" s="19"/>
      <c r="S267" s="19"/>
      <c r="T267" s="19"/>
      <c r="U267" s="19"/>
      <c r="V267" s="19"/>
      <c r="W267" s="19"/>
      <c r="X267" s="19"/>
      <c r="Y267" s="19"/>
      <c r="Z267" t="str">
        <f>IF(Tabela1[[#This Row],[1]]&lt;&gt;"",IF(ISNUMBER(FIND(",",Tabela1[[#This Row],[1]])),LEN(Tabela1[[#This Row],[1]])-LEN(SUBSTITUTE(Tabela1[[#This Row],[1]],",",""))+1,1),"")</f>
        <v/>
      </c>
      <c r="AA267" t="str">
        <f>IF(Tabela1[[#This Row],[2]]&lt;&gt;"",IF(ISNUMBER(FIND(",",Tabela1[[#This Row],[2]])),LEN(Tabela1[[#This Row],[2]])-LEN(SUBSTITUTE(Tabela1[[#This Row],[2]],",",""))+1,1),"")</f>
        <v/>
      </c>
      <c r="AB267" t="str">
        <f>IF(Tabela1[[#This Row],[3]]&lt;&gt;"",IF(ISNUMBER(FIND(",",Tabela1[[#This Row],[3]])),LEN(Tabela1[[#This Row],[3]])-LEN(SUBSTITUTE(Tabela1[[#This Row],[3]],",",""))+1,1),"")</f>
        <v/>
      </c>
      <c r="AC267">
        <f>IF(Tabela1[[#This Row],[4]]&lt;&gt;"",IF(ISNUMBER(FIND(",",Tabela1[[#This Row],[4]])),LEN(Tabela1[[#This Row],[4]])-LEN(SUBSTITUTE(Tabela1[[#This Row],[4]],",",""))+1,1),"")</f>
        <v>1</v>
      </c>
      <c r="AD267" t="str">
        <f>IF(Tabela1[[#This Row],[5]]&lt;&gt;"",IF(ISNUMBER(FIND(",",Tabela1[[#This Row],[5]])),LEN(Tabela1[[#This Row],[5]])-LEN(SUBSTITUTE(Tabela1[[#This Row],[5]],",",""))+1,1),"")</f>
        <v/>
      </c>
      <c r="AE267" t="str">
        <f>IF(Tabela1[[#This Row],[6]]&lt;&gt;"",IF(ISNUMBER(FIND(",",Tabela1[[#This Row],[6]])),LEN(Tabela1[[#This Row],[6]])-LEN(SUBSTITUTE(Tabela1[[#This Row],[6]],",",""))+1,1),"")</f>
        <v/>
      </c>
      <c r="AF267" t="str">
        <f>IF(Tabela1[[#This Row],[7]]&lt;&gt;"",IF(ISNUMBER(FIND(",",Tabela1[[#This Row],[7]])),LEN(Tabela1[[#This Row],[7]])-LEN(SUBSTITUTE(Tabela1[[#This Row],[7]],",",""))+1,1),"")</f>
        <v/>
      </c>
      <c r="AG267" t="str">
        <f>IF(Tabela1[[#This Row],[8]]&lt;&gt;"",IF(ISNUMBER(FIND(",",Tabela1[[#This Row],[8]])),LEN(Tabela1[[#This Row],[8]])-LEN(SUBSTITUTE(Tabela1[[#This Row],[8]],",",""))+1,1),"")</f>
        <v/>
      </c>
      <c r="AH267" t="str">
        <f>IF(Tabela1[[#This Row],[9]]&lt;&gt;"",IF(ISNUMBER(FIND(",",Tabela1[[#This Row],[9]])),LEN(Tabela1[[#This Row],[9]])-LEN(SUBSTITUTE(Tabela1[[#This Row],[9]],",",""))+1,1),"")</f>
        <v/>
      </c>
      <c r="AI267" t="str">
        <f>IF(Tabela1[[#This Row],[10]]&lt;&gt;"",IF(ISNUMBER(FIND(",",Tabela1[[#This Row],[10]])),LEN(Tabela1[[#This Row],[10]])-LEN(SUBSTITUTE(Tabela1[[#This Row],[10]],",",""))+1,1),"")</f>
        <v/>
      </c>
      <c r="AJ267" t="str">
        <f>IF(Tabela1[[#This Row],[11]]&lt;&gt;"",IF(ISNUMBER(FIND(",",Tabela1[[#This Row],[11]])),LEN(Tabela1[[#This Row],[11]])-LEN(SUBSTITUTE(Tabela1[[#This Row],[11]],",",""))+1,1),"")</f>
        <v/>
      </c>
      <c r="AK267" t="str">
        <f>IF(Tabela1[[#This Row],[12]]&lt;&gt;"",IF(ISNUMBER(FIND(",",Tabela1[[#This Row],[12]])),LEN(Tabela1[[#This Row],[12]])-LEN(SUBSTITUTE(Tabela1[[#This Row],[12]],",",""))+1,1),"")</f>
        <v/>
      </c>
      <c r="AL267" t="str">
        <f>IF(Tabela1[[#This Row],[13]]&lt;&gt;"",IF(ISNUMBER(FIND(",",Tabela1[[#This Row],[13]])),LEN(Tabela1[[#This Row],[13]])-LEN(SUBSTITUTE(Tabela1[[#This Row],[13]],",",""))+1,1),"")</f>
        <v/>
      </c>
      <c r="AM267" t="str">
        <f>IF(Tabela1[[#This Row],[14]]&lt;&gt;"",IF(ISNUMBER(FIND(",",Tabela1[[#This Row],[14]])),LEN(Tabela1[[#This Row],[14]])-LEN(SUBSTITUTE(Tabela1[[#This Row],[14]],",",""))+1,1),"")</f>
        <v/>
      </c>
      <c r="AN267" t="str">
        <f>IF(Tabela1[[#This Row],[15]]&lt;&gt;"",IF(ISNUMBER(FIND(",",Tabela1[[#This Row],[15]])),LEN(Tabela1[[#This Row],[15]])-LEN(SUBSTITUTE(Tabela1[[#This Row],[15]],",",""))+1,1),"")</f>
        <v/>
      </c>
      <c r="AO267" t="str">
        <f>IF(Tabela1[[#This Row],[16]]&lt;&gt;"",IF(ISNUMBER(FIND(",",Tabela1[[#This Row],[16]])),LEN(Tabela1[[#This Row],[16]])-LEN(SUBSTITUTE(Tabela1[[#This Row],[16]],",",""))+1,1),"")</f>
        <v/>
      </c>
      <c r="AP267" t="str">
        <f>IF(Tabela1[[#This Row],[17]]&lt;&gt;"",IF(ISNUMBER(FIND(",",Tabela1[[#This Row],[17]])),LEN(Tabela1[[#This Row],[17]])-LEN(SUBSTITUTE(Tabela1[[#This Row],[17]],",",""))+1,1),"")</f>
        <v/>
      </c>
      <c r="AQ267" t="str">
        <f>IF(Tabela1[[#This Row],[18]]&lt;&gt;"",IF(ISNUMBER(FIND(",",Tabela1[[#This Row],[18]])),LEN(Tabela1[[#This Row],[18]])-LEN(SUBSTITUTE(Tabela1[[#This Row],[18]],",",""))+1,1),"")</f>
        <v/>
      </c>
      <c r="AR267" s="13" t="str">
        <f>IF(Tabela1[[#This Row],[19_LENGTH]]&lt;&gt;"",IF(ISNUMBER(FIND(",",Tabela1[[#This Row],[19_LENGTH]])),LEN(Tabela1[[#This Row],[19_LENGTH]])-LEN(SUBSTITUTE(Tabela1[[#This Row],[19_LENGTH]],",",""))+1,1),"")</f>
        <v/>
      </c>
      <c r="AS267" s="21">
        <f>SUM(Tabela1[[#This Row],[1_]:[19_]])</f>
        <v>1</v>
      </c>
    </row>
    <row r="268" spans="1:45" x14ac:dyDescent="0.25">
      <c r="A268" s="27" t="s">
        <v>1322</v>
      </c>
      <c r="B268" s="19" t="s">
        <v>766</v>
      </c>
      <c r="C268" s="19">
        <v>202</v>
      </c>
      <c r="D268" s="19" t="s">
        <v>1314</v>
      </c>
      <c r="E268" s="20">
        <v>43493</v>
      </c>
      <c r="F268" s="19"/>
      <c r="G268" s="19"/>
      <c r="H268" s="19"/>
      <c r="I268" s="19"/>
      <c r="J268" s="19" t="s">
        <v>102</v>
      </c>
      <c r="K268" s="19"/>
      <c r="L268" s="19"/>
      <c r="M268" s="19">
        <v>58</v>
      </c>
      <c r="N268" s="19"/>
      <c r="O268" s="19"/>
      <c r="P268" s="19"/>
      <c r="Q268" s="19"/>
      <c r="R268" s="19"/>
      <c r="S268" s="19"/>
      <c r="T268" s="19"/>
      <c r="U268" s="19"/>
      <c r="V268" s="19"/>
      <c r="W268" s="19"/>
      <c r="X268" s="19"/>
      <c r="Y268" s="19"/>
      <c r="Z268" t="str">
        <f>IF(Tabela1[[#This Row],[1]]&lt;&gt;"",IF(ISNUMBER(FIND(",",Tabela1[[#This Row],[1]])),LEN(Tabela1[[#This Row],[1]])-LEN(SUBSTITUTE(Tabela1[[#This Row],[1]],",",""))+1,1),"")</f>
        <v/>
      </c>
      <c r="AA268" t="str">
        <f>IF(Tabela1[[#This Row],[2]]&lt;&gt;"",IF(ISNUMBER(FIND(",",Tabela1[[#This Row],[2]])),LEN(Tabela1[[#This Row],[2]])-LEN(SUBSTITUTE(Tabela1[[#This Row],[2]],",",""))+1,1),"")</f>
        <v/>
      </c>
      <c r="AB268" t="str">
        <f>IF(Tabela1[[#This Row],[3]]&lt;&gt;"",IF(ISNUMBER(FIND(",",Tabela1[[#This Row],[3]])),LEN(Tabela1[[#This Row],[3]])-LEN(SUBSTITUTE(Tabela1[[#This Row],[3]],",",""))+1,1),"")</f>
        <v/>
      </c>
      <c r="AC268" t="str">
        <f>IF(Tabela1[[#This Row],[4]]&lt;&gt;"",IF(ISNUMBER(FIND(",",Tabela1[[#This Row],[4]])),LEN(Tabela1[[#This Row],[4]])-LEN(SUBSTITUTE(Tabela1[[#This Row],[4]],",",""))+1,1),"")</f>
        <v/>
      </c>
      <c r="AD268">
        <f>IF(Tabela1[[#This Row],[5]]&lt;&gt;"",IF(ISNUMBER(FIND(",",Tabela1[[#This Row],[5]])),LEN(Tabela1[[#This Row],[5]])-LEN(SUBSTITUTE(Tabela1[[#This Row],[5]],",",""))+1,1),"")</f>
        <v>3</v>
      </c>
      <c r="AE268" t="str">
        <f>IF(Tabela1[[#This Row],[6]]&lt;&gt;"",IF(ISNUMBER(FIND(",",Tabela1[[#This Row],[6]])),LEN(Tabela1[[#This Row],[6]])-LEN(SUBSTITUTE(Tabela1[[#This Row],[6]],",",""))+1,1),"")</f>
        <v/>
      </c>
      <c r="AF268" t="str">
        <f>IF(Tabela1[[#This Row],[7]]&lt;&gt;"",IF(ISNUMBER(FIND(",",Tabela1[[#This Row],[7]])),LEN(Tabela1[[#This Row],[7]])-LEN(SUBSTITUTE(Tabela1[[#This Row],[7]],",",""))+1,1),"")</f>
        <v/>
      </c>
      <c r="AG268">
        <f>IF(Tabela1[[#This Row],[8]]&lt;&gt;"",IF(ISNUMBER(FIND(",",Tabela1[[#This Row],[8]])),LEN(Tabela1[[#This Row],[8]])-LEN(SUBSTITUTE(Tabela1[[#This Row],[8]],",",""))+1,1),"")</f>
        <v>1</v>
      </c>
      <c r="AH268" t="str">
        <f>IF(Tabela1[[#This Row],[9]]&lt;&gt;"",IF(ISNUMBER(FIND(",",Tabela1[[#This Row],[9]])),LEN(Tabela1[[#This Row],[9]])-LEN(SUBSTITUTE(Tabela1[[#This Row],[9]],",",""))+1,1),"")</f>
        <v/>
      </c>
      <c r="AI268" t="str">
        <f>IF(Tabela1[[#This Row],[10]]&lt;&gt;"",IF(ISNUMBER(FIND(",",Tabela1[[#This Row],[10]])),LEN(Tabela1[[#This Row],[10]])-LEN(SUBSTITUTE(Tabela1[[#This Row],[10]],",",""))+1,1),"")</f>
        <v/>
      </c>
      <c r="AJ268" t="str">
        <f>IF(Tabela1[[#This Row],[11]]&lt;&gt;"",IF(ISNUMBER(FIND(",",Tabela1[[#This Row],[11]])),LEN(Tabela1[[#This Row],[11]])-LEN(SUBSTITUTE(Tabela1[[#This Row],[11]],",",""))+1,1),"")</f>
        <v/>
      </c>
      <c r="AK268" t="str">
        <f>IF(Tabela1[[#This Row],[12]]&lt;&gt;"",IF(ISNUMBER(FIND(",",Tabela1[[#This Row],[12]])),LEN(Tabela1[[#This Row],[12]])-LEN(SUBSTITUTE(Tabela1[[#This Row],[12]],",",""))+1,1),"")</f>
        <v/>
      </c>
      <c r="AL268" t="str">
        <f>IF(Tabela1[[#This Row],[13]]&lt;&gt;"",IF(ISNUMBER(FIND(",",Tabela1[[#This Row],[13]])),LEN(Tabela1[[#This Row],[13]])-LEN(SUBSTITUTE(Tabela1[[#This Row],[13]],",",""))+1,1),"")</f>
        <v/>
      </c>
      <c r="AM268" t="str">
        <f>IF(Tabela1[[#This Row],[14]]&lt;&gt;"",IF(ISNUMBER(FIND(",",Tabela1[[#This Row],[14]])),LEN(Tabela1[[#This Row],[14]])-LEN(SUBSTITUTE(Tabela1[[#This Row],[14]],",",""))+1,1),"")</f>
        <v/>
      </c>
      <c r="AN268" t="str">
        <f>IF(Tabela1[[#This Row],[15]]&lt;&gt;"",IF(ISNUMBER(FIND(",",Tabela1[[#This Row],[15]])),LEN(Tabela1[[#This Row],[15]])-LEN(SUBSTITUTE(Tabela1[[#This Row],[15]],",",""))+1,1),"")</f>
        <v/>
      </c>
      <c r="AO268" t="str">
        <f>IF(Tabela1[[#This Row],[16]]&lt;&gt;"",IF(ISNUMBER(FIND(",",Tabela1[[#This Row],[16]])),LEN(Tabela1[[#This Row],[16]])-LEN(SUBSTITUTE(Tabela1[[#This Row],[16]],",",""))+1,1),"")</f>
        <v/>
      </c>
      <c r="AP268" t="str">
        <f>IF(Tabela1[[#This Row],[17]]&lt;&gt;"",IF(ISNUMBER(FIND(",",Tabela1[[#This Row],[17]])),LEN(Tabela1[[#This Row],[17]])-LEN(SUBSTITUTE(Tabela1[[#This Row],[17]],",",""))+1,1),"")</f>
        <v/>
      </c>
      <c r="AQ268" t="str">
        <f>IF(Tabela1[[#This Row],[18]]&lt;&gt;"",IF(ISNUMBER(FIND(",",Tabela1[[#This Row],[18]])),LEN(Tabela1[[#This Row],[18]])-LEN(SUBSTITUTE(Tabela1[[#This Row],[18]],",",""))+1,1),"")</f>
        <v/>
      </c>
      <c r="AR268" s="13" t="str">
        <f>IF(Tabela1[[#This Row],[19_LENGTH]]&lt;&gt;"",IF(ISNUMBER(FIND(",",Tabela1[[#This Row],[19_LENGTH]])),LEN(Tabela1[[#This Row],[19_LENGTH]])-LEN(SUBSTITUTE(Tabela1[[#This Row],[19_LENGTH]],",",""))+1,1),"")</f>
        <v/>
      </c>
      <c r="AS268" s="21">
        <f>SUM(Tabela1[[#This Row],[1_]:[19_]])</f>
        <v>4</v>
      </c>
    </row>
    <row r="269" spans="1:45" x14ac:dyDescent="0.25">
      <c r="A269" s="27" t="s">
        <v>1322</v>
      </c>
      <c r="B269" s="19" t="s">
        <v>767</v>
      </c>
      <c r="C269" s="19">
        <v>202</v>
      </c>
      <c r="D269" s="19" t="s">
        <v>1314</v>
      </c>
      <c r="E269" s="20">
        <v>43493</v>
      </c>
      <c r="F269" s="19"/>
      <c r="G269" s="19"/>
      <c r="H269" s="19"/>
      <c r="I269" s="19"/>
      <c r="J269" s="19" t="s">
        <v>103</v>
      </c>
      <c r="K269" s="19"/>
      <c r="L269" s="19"/>
      <c r="M269" s="19"/>
      <c r="N269" s="19"/>
      <c r="O269" s="19"/>
      <c r="P269" s="19"/>
      <c r="Q269" s="19"/>
      <c r="R269" s="19"/>
      <c r="S269" s="19"/>
      <c r="T269" s="19"/>
      <c r="U269" s="19"/>
      <c r="V269" s="19"/>
      <c r="W269" s="19"/>
      <c r="X269" s="19"/>
      <c r="Y269" s="19"/>
      <c r="Z269" t="str">
        <f>IF(Tabela1[[#This Row],[1]]&lt;&gt;"",IF(ISNUMBER(FIND(",",Tabela1[[#This Row],[1]])),LEN(Tabela1[[#This Row],[1]])-LEN(SUBSTITUTE(Tabela1[[#This Row],[1]],",",""))+1,1),"")</f>
        <v/>
      </c>
      <c r="AA269" t="str">
        <f>IF(Tabela1[[#This Row],[2]]&lt;&gt;"",IF(ISNUMBER(FIND(",",Tabela1[[#This Row],[2]])),LEN(Tabela1[[#This Row],[2]])-LEN(SUBSTITUTE(Tabela1[[#This Row],[2]],",",""))+1,1),"")</f>
        <v/>
      </c>
      <c r="AB269" t="str">
        <f>IF(Tabela1[[#This Row],[3]]&lt;&gt;"",IF(ISNUMBER(FIND(",",Tabela1[[#This Row],[3]])),LEN(Tabela1[[#This Row],[3]])-LEN(SUBSTITUTE(Tabela1[[#This Row],[3]],",",""))+1,1),"")</f>
        <v/>
      </c>
      <c r="AC269" t="str">
        <f>IF(Tabela1[[#This Row],[4]]&lt;&gt;"",IF(ISNUMBER(FIND(",",Tabela1[[#This Row],[4]])),LEN(Tabela1[[#This Row],[4]])-LEN(SUBSTITUTE(Tabela1[[#This Row],[4]],",",""))+1,1),"")</f>
        <v/>
      </c>
      <c r="AD269">
        <f>IF(Tabela1[[#This Row],[5]]&lt;&gt;"",IF(ISNUMBER(FIND(",",Tabela1[[#This Row],[5]])),LEN(Tabela1[[#This Row],[5]])-LEN(SUBSTITUTE(Tabela1[[#This Row],[5]],",",""))+1,1),"")</f>
        <v>1</v>
      </c>
      <c r="AE269" t="str">
        <f>IF(Tabela1[[#This Row],[6]]&lt;&gt;"",IF(ISNUMBER(FIND(",",Tabela1[[#This Row],[6]])),LEN(Tabela1[[#This Row],[6]])-LEN(SUBSTITUTE(Tabela1[[#This Row],[6]],",",""))+1,1),"")</f>
        <v/>
      </c>
      <c r="AF269" t="str">
        <f>IF(Tabela1[[#This Row],[7]]&lt;&gt;"",IF(ISNUMBER(FIND(",",Tabela1[[#This Row],[7]])),LEN(Tabela1[[#This Row],[7]])-LEN(SUBSTITUTE(Tabela1[[#This Row],[7]],",",""))+1,1),"")</f>
        <v/>
      </c>
      <c r="AG269" t="str">
        <f>IF(Tabela1[[#This Row],[8]]&lt;&gt;"",IF(ISNUMBER(FIND(",",Tabela1[[#This Row],[8]])),LEN(Tabela1[[#This Row],[8]])-LEN(SUBSTITUTE(Tabela1[[#This Row],[8]],",",""))+1,1),"")</f>
        <v/>
      </c>
      <c r="AH269" t="str">
        <f>IF(Tabela1[[#This Row],[9]]&lt;&gt;"",IF(ISNUMBER(FIND(",",Tabela1[[#This Row],[9]])),LEN(Tabela1[[#This Row],[9]])-LEN(SUBSTITUTE(Tabela1[[#This Row],[9]],",",""))+1,1),"")</f>
        <v/>
      </c>
      <c r="AI269" t="str">
        <f>IF(Tabela1[[#This Row],[10]]&lt;&gt;"",IF(ISNUMBER(FIND(",",Tabela1[[#This Row],[10]])),LEN(Tabela1[[#This Row],[10]])-LEN(SUBSTITUTE(Tabela1[[#This Row],[10]],",",""))+1,1),"")</f>
        <v/>
      </c>
      <c r="AJ269" t="str">
        <f>IF(Tabela1[[#This Row],[11]]&lt;&gt;"",IF(ISNUMBER(FIND(",",Tabela1[[#This Row],[11]])),LEN(Tabela1[[#This Row],[11]])-LEN(SUBSTITUTE(Tabela1[[#This Row],[11]],",",""))+1,1),"")</f>
        <v/>
      </c>
      <c r="AK269" t="str">
        <f>IF(Tabela1[[#This Row],[12]]&lt;&gt;"",IF(ISNUMBER(FIND(",",Tabela1[[#This Row],[12]])),LEN(Tabela1[[#This Row],[12]])-LEN(SUBSTITUTE(Tabela1[[#This Row],[12]],",",""))+1,1),"")</f>
        <v/>
      </c>
      <c r="AL269" t="str">
        <f>IF(Tabela1[[#This Row],[13]]&lt;&gt;"",IF(ISNUMBER(FIND(",",Tabela1[[#This Row],[13]])),LEN(Tabela1[[#This Row],[13]])-LEN(SUBSTITUTE(Tabela1[[#This Row],[13]],",",""))+1,1),"")</f>
        <v/>
      </c>
      <c r="AM269" t="str">
        <f>IF(Tabela1[[#This Row],[14]]&lt;&gt;"",IF(ISNUMBER(FIND(",",Tabela1[[#This Row],[14]])),LEN(Tabela1[[#This Row],[14]])-LEN(SUBSTITUTE(Tabela1[[#This Row],[14]],",",""))+1,1),"")</f>
        <v/>
      </c>
      <c r="AN269" t="str">
        <f>IF(Tabela1[[#This Row],[15]]&lt;&gt;"",IF(ISNUMBER(FIND(",",Tabela1[[#This Row],[15]])),LEN(Tabela1[[#This Row],[15]])-LEN(SUBSTITUTE(Tabela1[[#This Row],[15]],",",""))+1,1),"")</f>
        <v/>
      </c>
      <c r="AO269" t="str">
        <f>IF(Tabela1[[#This Row],[16]]&lt;&gt;"",IF(ISNUMBER(FIND(",",Tabela1[[#This Row],[16]])),LEN(Tabela1[[#This Row],[16]])-LEN(SUBSTITUTE(Tabela1[[#This Row],[16]],",",""))+1,1),"")</f>
        <v/>
      </c>
      <c r="AP269" t="str">
        <f>IF(Tabela1[[#This Row],[17]]&lt;&gt;"",IF(ISNUMBER(FIND(",",Tabela1[[#This Row],[17]])),LEN(Tabela1[[#This Row],[17]])-LEN(SUBSTITUTE(Tabela1[[#This Row],[17]],",",""))+1,1),"")</f>
        <v/>
      </c>
      <c r="AQ269" t="str">
        <f>IF(Tabela1[[#This Row],[18]]&lt;&gt;"",IF(ISNUMBER(FIND(",",Tabela1[[#This Row],[18]])),LEN(Tabela1[[#This Row],[18]])-LEN(SUBSTITUTE(Tabela1[[#This Row],[18]],",",""))+1,1),"")</f>
        <v/>
      </c>
      <c r="AR269" s="13" t="str">
        <f>IF(Tabela1[[#This Row],[19_LENGTH]]&lt;&gt;"",IF(ISNUMBER(FIND(",",Tabela1[[#This Row],[19_LENGTH]])),LEN(Tabela1[[#This Row],[19_LENGTH]])-LEN(SUBSTITUTE(Tabela1[[#This Row],[19_LENGTH]],",",""))+1,1),"")</f>
        <v/>
      </c>
      <c r="AS269" s="21">
        <f>SUM(Tabela1[[#This Row],[1_]:[19_]])</f>
        <v>1</v>
      </c>
    </row>
    <row r="270" spans="1:45" x14ac:dyDescent="0.25">
      <c r="A270" s="27" t="s">
        <v>1322</v>
      </c>
      <c r="B270" s="19" t="s">
        <v>768</v>
      </c>
      <c r="C270" s="19">
        <v>202</v>
      </c>
      <c r="D270" s="19" t="s">
        <v>1315</v>
      </c>
      <c r="E270" s="20">
        <v>43491</v>
      </c>
      <c r="F270" s="19"/>
      <c r="G270" s="19"/>
      <c r="H270" s="19">
        <v>178</v>
      </c>
      <c r="I270" s="19"/>
      <c r="J270" s="19" t="s">
        <v>104</v>
      </c>
      <c r="K270" s="19"/>
      <c r="L270" s="19"/>
      <c r="M270" s="19"/>
      <c r="N270" s="19"/>
      <c r="O270" s="19"/>
      <c r="P270" s="19"/>
      <c r="Q270" s="19"/>
      <c r="R270" s="19"/>
      <c r="S270" s="19"/>
      <c r="T270" s="19"/>
      <c r="U270" s="19">
        <v>180</v>
      </c>
      <c r="V270" s="19"/>
      <c r="W270" s="19"/>
      <c r="X270" s="19"/>
      <c r="Y270" s="19"/>
      <c r="Z270" t="str">
        <f>IF(Tabela1[[#This Row],[1]]&lt;&gt;"",IF(ISNUMBER(FIND(",",Tabela1[[#This Row],[1]])),LEN(Tabela1[[#This Row],[1]])-LEN(SUBSTITUTE(Tabela1[[#This Row],[1]],",",""))+1,1),"")</f>
        <v/>
      </c>
      <c r="AA270" t="str">
        <f>IF(Tabela1[[#This Row],[2]]&lt;&gt;"",IF(ISNUMBER(FIND(",",Tabela1[[#This Row],[2]])),LEN(Tabela1[[#This Row],[2]])-LEN(SUBSTITUTE(Tabela1[[#This Row],[2]],",",""))+1,1),"")</f>
        <v/>
      </c>
      <c r="AB270">
        <f>IF(Tabela1[[#This Row],[3]]&lt;&gt;"",IF(ISNUMBER(FIND(",",Tabela1[[#This Row],[3]])),LEN(Tabela1[[#This Row],[3]])-LEN(SUBSTITUTE(Tabela1[[#This Row],[3]],",",""))+1,1),"")</f>
        <v>1</v>
      </c>
      <c r="AC270" t="str">
        <f>IF(Tabela1[[#This Row],[4]]&lt;&gt;"",IF(ISNUMBER(FIND(",",Tabela1[[#This Row],[4]])),LEN(Tabela1[[#This Row],[4]])-LEN(SUBSTITUTE(Tabela1[[#This Row],[4]],",",""))+1,1),"")</f>
        <v/>
      </c>
      <c r="AD270">
        <f>IF(Tabela1[[#This Row],[5]]&lt;&gt;"",IF(ISNUMBER(FIND(",",Tabela1[[#This Row],[5]])),LEN(Tabela1[[#This Row],[5]])-LEN(SUBSTITUTE(Tabela1[[#This Row],[5]],",",""))+1,1),"")</f>
        <v>3</v>
      </c>
      <c r="AE270" t="str">
        <f>IF(Tabela1[[#This Row],[6]]&lt;&gt;"",IF(ISNUMBER(FIND(",",Tabela1[[#This Row],[6]])),LEN(Tabela1[[#This Row],[6]])-LEN(SUBSTITUTE(Tabela1[[#This Row],[6]],",",""))+1,1),"")</f>
        <v/>
      </c>
      <c r="AF270" t="str">
        <f>IF(Tabela1[[#This Row],[7]]&lt;&gt;"",IF(ISNUMBER(FIND(",",Tabela1[[#This Row],[7]])),LEN(Tabela1[[#This Row],[7]])-LEN(SUBSTITUTE(Tabela1[[#This Row],[7]],",",""))+1,1),"")</f>
        <v/>
      </c>
      <c r="AG270" t="str">
        <f>IF(Tabela1[[#This Row],[8]]&lt;&gt;"",IF(ISNUMBER(FIND(",",Tabela1[[#This Row],[8]])),LEN(Tabela1[[#This Row],[8]])-LEN(SUBSTITUTE(Tabela1[[#This Row],[8]],",",""))+1,1),"")</f>
        <v/>
      </c>
      <c r="AH270" t="str">
        <f>IF(Tabela1[[#This Row],[9]]&lt;&gt;"",IF(ISNUMBER(FIND(",",Tabela1[[#This Row],[9]])),LEN(Tabela1[[#This Row],[9]])-LEN(SUBSTITUTE(Tabela1[[#This Row],[9]],",",""))+1,1),"")</f>
        <v/>
      </c>
      <c r="AI270" t="str">
        <f>IF(Tabela1[[#This Row],[10]]&lt;&gt;"",IF(ISNUMBER(FIND(",",Tabela1[[#This Row],[10]])),LEN(Tabela1[[#This Row],[10]])-LEN(SUBSTITUTE(Tabela1[[#This Row],[10]],",",""))+1,1),"")</f>
        <v/>
      </c>
      <c r="AJ270" t="str">
        <f>IF(Tabela1[[#This Row],[11]]&lt;&gt;"",IF(ISNUMBER(FIND(",",Tabela1[[#This Row],[11]])),LEN(Tabela1[[#This Row],[11]])-LEN(SUBSTITUTE(Tabela1[[#This Row],[11]],",",""))+1,1),"")</f>
        <v/>
      </c>
      <c r="AK270" t="str">
        <f>IF(Tabela1[[#This Row],[12]]&lt;&gt;"",IF(ISNUMBER(FIND(",",Tabela1[[#This Row],[12]])),LEN(Tabela1[[#This Row],[12]])-LEN(SUBSTITUTE(Tabela1[[#This Row],[12]],",",""))+1,1),"")</f>
        <v/>
      </c>
      <c r="AL270" t="str">
        <f>IF(Tabela1[[#This Row],[13]]&lt;&gt;"",IF(ISNUMBER(FIND(",",Tabela1[[#This Row],[13]])),LEN(Tabela1[[#This Row],[13]])-LEN(SUBSTITUTE(Tabela1[[#This Row],[13]],",",""))+1,1),"")</f>
        <v/>
      </c>
      <c r="AM270" t="str">
        <f>IF(Tabela1[[#This Row],[14]]&lt;&gt;"",IF(ISNUMBER(FIND(",",Tabela1[[#This Row],[14]])),LEN(Tabela1[[#This Row],[14]])-LEN(SUBSTITUTE(Tabela1[[#This Row],[14]],",",""))+1,1),"")</f>
        <v/>
      </c>
      <c r="AN270" t="str">
        <f>IF(Tabela1[[#This Row],[15]]&lt;&gt;"",IF(ISNUMBER(FIND(",",Tabela1[[#This Row],[15]])),LEN(Tabela1[[#This Row],[15]])-LEN(SUBSTITUTE(Tabela1[[#This Row],[15]],",",""))+1,1),"")</f>
        <v/>
      </c>
      <c r="AO270">
        <f>IF(Tabela1[[#This Row],[16]]&lt;&gt;"",IF(ISNUMBER(FIND(",",Tabela1[[#This Row],[16]])),LEN(Tabela1[[#This Row],[16]])-LEN(SUBSTITUTE(Tabela1[[#This Row],[16]],",",""))+1,1),"")</f>
        <v>1</v>
      </c>
      <c r="AP270" t="str">
        <f>IF(Tabela1[[#This Row],[17]]&lt;&gt;"",IF(ISNUMBER(FIND(",",Tabela1[[#This Row],[17]])),LEN(Tabela1[[#This Row],[17]])-LEN(SUBSTITUTE(Tabela1[[#This Row],[17]],",",""))+1,1),"")</f>
        <v/>
      </c>
      <c r="AQ270" t="str">
        <f>IF(Tabela1[[#This Row],[18]]&lt;&gt;"",IF(ISNUMBER(FIND(",",Tabela1[[#This Row],[18]])),LEN(Tabela1[[#This Row],[18]])-LEN(SUBSTITUTE(Tabela1[[#This Row],[18]],",",""))+1,1),"")</f>
        <v/>
      </c>
      <c r="AR270" s="13" t="str">
        <f>IF(Tabela1[[#This Row],[19_LENGTH]]&lt;&gt;"",IF(ISNUMBER(FIND(",",Tabela1[[#This Row],[19_LENGTH]])),LEN(Tabela1[[#This Row],[19_LENGTH]])-LEN(SUBSTITUTE(Tabela1[[#This Row],[19_LENGTH]],",",""))+1,1),"")</f>
        <v/>
      </c>
      <c r="AS270" s="21">
        <f>SUM(Tabela1[[#This Row],[1_]:[19_]])</f>
        <v>5</v>
      </c>
    </row>
    <row r="271" spans="1:45" x14ac:dyDescent="0.25">
      <c r="A271" s="27" t="s">
        <v>1322</v>
      </c>
      <c r="B271" s="19" t="s">
        <v>442</v>
      </c>
      <c r="C271" s="19">
        <v>202</v>
      </c>
      <c r="D271" s="19" t="s">
        <v>1314</v>
      </c>
      <c r="E271" s="20">
        <v>43491</v>
      </c>
      <c r="F271" s="19"/>
      <c r="G271" s="19"/>
      <c r="H271" s="19"/>
      <c r="I271" s="19"/>
      <c r="J271" s="19"/>
      <c r="K271" s="19"/>
      <c r="L271" s="19"/>
      <c r="M271" s="19"/>
      <c r="N271" s="19"/>
      <c r="O271" s="19"/>
      <c r="P271" s="19"/>
      <c r="Q271" s="19"/>
      <c r="R271" s="19"/>
      <c r="S271" s="19"/>
      <c r="T271" s="19"/>
      <c r="U271" s="19"/>
      <c r="V271" s="19">
        <v>163</v>
      </c>
      <c r="W271" s="19"/>
      <c r="X271" s="19"/>
      <c r="Y271" s="19"/>
      <c r="Z271" t="str">
        <f>IF(Tabela1[[#This Row],[1]]&lt;&gt;"",IF(ISNUMBER(FIND(",",Tabela1[[#This Row],[1]])),LEN(Tabela1[[#This Row],[1]])-LEN(SUBSTITUTE(Tabela1[[#This Row],[1]],",",""))+1,1),"")</f>
        <v/>
      </c>
      <c r="AA271" t="str">
        <f>IF(Tabela1[[#This Row],[2]]&lt;&gt;"",IF(ISNUMBER(FIND(",",Tabela1[[#This Row],[2]])),LEN(Tabela1[[#This Row],[2]])-LEN(SUBSTITUTE(Tabela1[[#This Row],[2]],",",""))+1,1),"")</f>
        <v/>
      </c>
      <c r="AB271" t="str">
        <f>IF(Tabela1[[#This Row],[3]]&lt;&gt;"",IF(ISNUMBER(FIND(",",Tabela1[[#This Row],[3]])),LEN(Tabela1[[#This Row],[3]])-LEN(SUBSTITUTE(Tabela1[[#This Row],[3]],",",""))+1,1),"")</f>
        <v/>
      </c>
      <c r="AC271" t="str">
        <f>IF(Tabela1[[#This Row],[4]]&lt;&gt;"",IF(ISNUMBER(FIND(",",Tabela1[[#This Row],[4]])),LEN(Tabela1[[#This Row],[4]])-LEN(SUBSTITUTE(Tabela1[[#This Row],[4]],",",""))+1,1),"")</f>
        <v/>
      </c>
      <c r="AD271" t="str">
        <f>IF(Tabela1[[#This Row],[5]]&lt;&gt;"",IF(ISNUMBER(FIND(",",Tabela1[[#This Row],[5]])),LEN(Tabela1[[#This Row],[5]])-LEN(SUBSTITUTE(Tabela1[[#This Row],[5]],",",""))+1,1),"")</f>
        <v/>
      </c>
      <c r="AE271" t="str">
        <f>IF(Tabela1[[#This Row],[6]]&lt;&gt;"",IF(ISNUMBER(FIND(",",Tabela1[[#This Row],[6]])),LEN(Tabela1[[#This Row],[6]])-LEN(SUBSTITUTE(Tabela1[[#This Row],[6]],",",""))+1,1),"")</f>
        <v/>
      </c>
      <c r="AF271" t="str">
        <f>IF(Tabela1[[#This Row],[7]]&lt;&gt;"",IF(ISNUMBER(FIND(",",Tabela1[[#This Row],[7]])),LEN(Tabela1[[#This Row],[7]])-LEN(SUBSTITUTE(Tabela1[[#This Row],[7]],",",""))+1,1),"")</f>
        <v/>
      </c>
      <c r="AG271" t="str">
        <f>IF(Tabela1[[#This Row],[8]]&lt;&gt;"",IF(ISNUMBER(FIND(",",Tabela1[[#This Row],[8]])),LEN(Tabela1[[#This Row],[8]])-LEN(SUBSTITUTE(Tabela1[[#This Row],[8]],",",""))+1,1),"")</f>
        <v/>
      </c>
      <c r="AH271" t="str">
        <f>IF(Tabela1[[#This Row],[9]]&lt;&gt;"",IF(ISNUMBER(FIND(",",Tabela1[[#This Row],[9]])),LEN(Tabela1[[#This Row],[9]])-LEN(SUBSTITUTE(Tabela1[[#This Row],[9]],",",""))+1,1),"")</f>
        <v/>
      </c>
      <c r="AI271" t="str">
        <f>IF(Tabela1[[#This Row],[10]]&lt;&gt;"",IF(ISNUMBER(FIND(",",Tabela1[[#This Row],[10]])),LEN(Tabela1[[#This Row],[10]])-LEN(SUBSTITUTE(Tabela1[[#This Row],[10]],",",""))+1,1),"")</f>
        <v/>
      </c>
      <c r="AJ271" t="str">
        <f>IF(Tabela1[[#This Row],[11]]&lt;&gt;"",IF(ISNUMBER(FIND(",",Tabela1[[#This Row],[11]])),LEN(Tabela1[[#This Row],[11]])-LEN(SUBSTITUTE(Tabela1[[#This Row],[11]],",",""))+1,1),"")</f>
        <v/>
      </c>
      <c r="AK271" t="str">
        <f>IF(Tabela1[[#This Row],[12]]&lt;&gt;"",IF(ISNUMBER(FIND(",",Tabela1[[#This Row],[12]])),LEN(Tabela1[[#This Row],[12]])-LEN(SUBSTITUTE(Tabela1[[#This Row],[12]],",",""))+1,1),"")</f>
        <v/>
      </c>
      <c r="AL271" t="str">
        <f>IF(Tabela1[[#This Row],[13]]&lt;&gt;"",IF(ISNUMBER(FIND(",",Tabela1[[#This Row],[13]])),LEN(Tabela1[[#This Row],[13]])-LEN(SUBSTITUTE(Tabela1[[#This Row],[13]],",",""))+1,1),"")</f>
        <v/>
      </c>
      <c r="AM271" t="str">
        <f>IF(Tabela1[[#This Row],[14]]&lt;&gt;"",IF(ISNUMBER(FIND(",",Tabela1[[#This Row],[14]])),LEN(Tabela1[[#This Row],[14]])-LEN(SUBSTITUTE(Tabela1[[#This Row],[14]],",",""))+1,1),"")</f>
        <v/>
      </c>
      <c r="AN271" t="str">
        <f>IF(Tabela1[[#This Row],[15]]&lt;&gt;"",IF(ISNUMBER(FIND(",",Tabela1[[#This Row],[15]])),LEN(Tabela1[[#This Row],[15]])-LEN(SUBSTITUTE(Tabela1[[#This Row],[15]],",",""))+1,1),"")</f>
        <v/>
      </c>
      <c r="AO271" t="str">
        <f>IF(Tabela1[[#This Row],[16]]&lt;&gt;"",IF(ISNUMBER(FIND(",",Tabela1[[#This Row],[16]])),LEN(Tabela1[[#This Row],[16]])-LEN(SUBSTITUTE(Tabela1[[#This Row],[16]],",",""))+1,1),"")</f>
        <v/>
      </c>
      <c r="AP271">
        <f>IF(Tabela1[[#This Row],[17]]&lt;&gt;"",IF(ISNUMBER(FIND(",",Tabela1[[#This Row],[17]])),LEN(Tabela1[[#This Row],[17]])-LEN(SUBSTITUTE(Tabela1[[#This Row],[17]],",",""))+1,1),"")</f>
        <v>1</v>
      </c>
      <c r="AQ271" t="str">
        <f>IF(Tabela1[[#This Row],[18]]&lt;&gt;"",IF(ISNUMBER(FIND(",",Tabela1[[#This Row],[18]])),LEN(Tabela1[[#This Row],[18]])-LEN(SUBSTITUTE(Tabela1[[#This Row],[18]],",",""))+1,1),"")</f>
        <v/>
      </c>
      <c r="AR271" s="13" t="str">
        <f>IF(Tabela1[[#This Row],[19_LENGTH]]&lt;&gt;"",IF(ISNUMBER(FIND(",",Tabela1[[#This Row],[19_LENGTH]])),LEN(Tabela1[[#This Row],[19_LENGTH]])-LEN(SUBSTITUTE(Tabela1[[#This Row],[19_LENGTH]],",",""))+1,1),"")</f>
        <v/>
      </c>
      <c r="AS271" s="21">
        <f>SUM(Tabela1[[#This Row],[1_]:[19_]])</f>
        <v>1</v>
      </c>
    </row>
    <row r="272" spans="1:45" x14ac:dyDescent="0.25">
      <c r="A272" s="27" t="s">
        <v>1322</v>
      </c>
      <c r="B272" s="19" t="s">
        <v>769</v>
      </c>
      <c r="C272" s="19">
        <v>202</v>
      </c>
      <c r="D272" s="19" t="s">
        <v>1315</v>
      </c>
      <c r="E272" s="20">
        <v>43491</v>
      </c>
      <c r="F272" s="19"/>
      <c r="G272" s="19"/>
      <c r="H272" s="19" t="s">
        <v>105</v>
      </c>
      <c r="I272" s="19"/>
      <c r="J272" s="19"/>
      <c r="K272" s="19"/>
      <c r="L272" s="19"/>
      <c r="M272" s="19">
        <v>15</v>
      </c>
      <c r="N272" s="19"/>
      <c r="O272" s="19"/>
      <c r="P272" s="19"/>
      <c r="Q272" s="19"/>
      <c r="R272" s="19" t="s">
        <v>106</v>
      </c>
      <c r="S272" s="19"/>
      <c r="T272" s="19"/>
      <c r="U272" s="19">
        <v>172</v>
      </c>
      <c r="V272" s="19"/>
      <c r="W272" s="19"/>
      <c r="X272" s="19"/>
      <c r="Y272" s="19"/>
      <c r="Z272" t="str">
        <f>IF(Tabela1[[#This Row],[1]]&lt;&gt;"",IF(ISNUMBER(FIND(",",Tabela1[[#This Row],[1]])),LEN(Tabela1[[#This Row],[1]])-LEN(SUBSTITUTE(Tabela1[[#This Row],[1]],",",""))+1,1),"")</f>
        <v/>
      </c>
      <c r="AA272" t="str">
        <f>IF(Tabela1[[#This Row],[2]]&lt;&gt;"",IF(ISNUMBER(FIND(",",Tabela1[[#This Row],[2]])),LEN(Tabela1[[#This Row],[2]])-LEN(SUBSTITUTE(Tabela1[[#This Row],[2]],",",""))+1,1),"")</f>
        <v/>
      </c>
      <c r="AB272">
        <f>IF(Tabela1[[#This Row],[3]]&lt;&gt;"",IF(ISNUMBER(FIND(",",Tabela1[[#This Row],[3]])),LEN(Tabela1[[#This Row],[3]])-LEN(SUBSTITUTE(Tabela1[[#This Row],[3]],",",""))+1,1),"")</f>
        <v>2</v>
      </c>
      <c r="AC272" t="str">
        <f>IF(Tabela1[[#This Row],[4]]&lt;&gt;"",IF(ISNUMBER(FIND(",",Tabela1[[#This Row],[4]])),LEN(Tabela1[[#This Row],[4]])-LEN(SUBSTITUTE(Tabela1[[#This Row],[4]],",",""))+1,1),"")</f>
        <v/>
      </c>
      <c r="AD272" t="str">
        <f>IF(Tabela1[[#This Row],[5]]&lt;&gt;"",IF(ISNUMBER(FIND(",",Tabela1[[#This Row],[5]])),LEN(Tabela1[[#This Row],[5]])-LEN(SUBSTITUTE(Tabela1[[#This Row],[5]],",",""))+1,1),"")</f>
        <v/>
      </c>
      <c r="AE272" t="str">
        <f>IF(Tabela1[[#This Row],[6]]&lt;&gt;"",IF(ISNUMBER(FIND(",",Tabela1[[#This Row],[6]])),LEN(Tabela1[[#This Row],[6]])-LEN(SUBSTITUTE(Tabela1[[#This Row],[6]],",",""))+1,1),"")</f>
        <v/>
      </c>
      <c r="AF272" t="str">
        <f>IF(Tabela1[[#This Row],[7]]&lt;&gt;"",IF(ISNUMBER(FIND(",",Tabela1[[#This Row],[7]])),LEN(Tabela1[[#This Row],[7]])-LEN(SUBSTITUTE(Tabela1[[#This Row],[7]],",",""))+1,1),"")</f>
        <v/>
      </c>
      <c r="AG272">
        <f>IF(Tabela1[[#This Row],[8]]&lt;&gt;"",IF(ISNUMBER(FIND(",",Tabela1[[#This Row],[8]])),LEN(Tabela1[[#This Row],[8]])-LEN(SUBSTITUTE(Tabela1[[#This Row],[8]],",",""))+1,1),"")</f>
        <v>1</v>
      </c>
      <c r="AH272" t="str">
        <f>IF(Tabela1[[#This Row],[9]]&lt;&gt;"",IF(ISNUMBER(FIND(",",Tabela1[[#This Row],[9]])),LEN(Tabela1[[#This Row],[9]])-LEN(SUBSTITUTE(Tabela1[[#This Row],[9]],",",""))+1,1),"")</f>
        <v/>
      </c>
      <c r="AI272" t="str">
        <f>IF(Tabela1[[#This Row],[10]]&lt;&gt;"",IF(ISNUMBER(FIND(",",Tabela1[[#This Row],[10]])),LEN(Tabela1[[#This Row],[10]])-LEN(SUBSTITUTE(Tabela1[[#This Row],[10]],",",""))+1,1),"")</f>
        <v/>
      </c>
      <c r="AJ272" t="str">
        <f>IF(Tabela1[[#This Row],[11]]&lt;&gt;"",IF(ISNUMBER(FIND(",",Tabela1[[#This Row],[11]])),LEN(Tabela1[[#This Row],[11]])-LEN(SUBSTITUTE(Tabela1[[#This Row],[11]],",",""))+1,1),"")</f>
        <v/>
      </c>
      <c r="AK272" t="str">
        <f>IF(Tabela1[[#This Row],[12]]&lt;&gt;"",IF(ISNUMBER(FIND(",",Tabela1[[#This Row],[12]])),LEN(Tabela1[[#This Row],[12]])-LEN(SUBSTITUTE(Tabela1[[#This Row],[12]],",",""))+1,1),"")</f>
        <v/>
      </c>
      <c r="AL272">
        <f>IF(Tabela1[[#This Row],[13]]&lt;&gt;"",IF(ISNUMBER(FIND(",",Tabela1[[#This Row],[13]])),LEN(Tabela1[[#This Row],[13]])-LEN(SUBSTITUTE(Tabela1[[#This Row],[13]],",",""))+1,1),"")</f>
        <v>1</v>
      </c>
      <c r="AM272" t="str">
        <f>IF(Tabela1[[#This Row],[14]]&lt;&gt;"",IF(ISNUMBER(FIND(",",Tabela1[[#This Row],[14]])),LEN(Tabela1[[#This Row],[14]])-LEN(SUBSTITUTE(Tabela1[[#This Row],[14]],",",""))+1,1),"")</f>
        <v/>
      </c>
      <c r="AN272" t="str">
        <f>IF(Tabela1[[#This Row],[15]]&lt;&gt;"",IF(ISNUMBER(FIND(",",Tabela1[[#This Row],[15]])),LEN(Tabela1[[#This Row],[15]])-LEN(SUBSTITUTE(Tabela1[[#This Row],[15]],",",""))+1,1),"")</f>
        <v/>
      </c>
      <c r="AO272">
        <f>IF(Tabela1[[#This Row],[16]]&lt;&gt;"",IF(ISNUMBER(FIND(",",Tabela1[[#This Row],[16]])),LEN(Tabela1[[#This Row],[16]])-LEN(SUBSTITUTE(Tabela1[[#This Row],[16]],",",""))+1,1),"")</f>
        <v>1</v>
      </c>
      <c r="AP272" t="str">
        <f>IF(Tabela1[[#This Row],[17]]&lt;&gt;"",IF(ISNUMBER(FIND(",",Tabela1[[#This Row],[17]])),LEN(Tabela1[[#This Row],[17]])-LEN(SUBSTITUTE(Tabela1[[#This Row],[17]],",",""))+1,1),"")</f>
        <v/>
      </c>
      <c r="AQ272" t="str">
        <f>IF(Tabela1[[#This Row],[18]]&lt;&gt;"",IF(ISNUMBER(FIND(",",Tabela1[[#This Row],[18]])),LEN(Tabela1[[#This Row],[18]])-LEN(SUBSTITUTE(Tabela1[[#This Row],[18]],",",""))+1,1),"")</f>
        <v/>
      </c>
      <c r="AR272" s="13" t="str">
        <f>IF(Tabela1[[#This Row],[19_LENGTH]]&lt;&gt;"",IF(ISNUMBER(FIND(",",Tabela1[[#This Row],[19_LENGTH]])),LEN(Tabela1[[#This Row],[19_LENGTH]])-LEN(SUBSTITUTE(Tabela1[[#This Row],[19_LENGTH]],",",""))+1,1),"")</f>
        <v/>
      </c>
      <c r="AS272" s="21">
        <f>SUM(Tabela1[[#This Row],[1_]:[19_]])</f>
        <v>5</v>
      </c>
    </row>
    <row r="273" spans="1:45" x14ac:dyDescent="0.25">
      <c r="A273" s="27" t="s">
        <v>1322</v>
      </c>
      <c r="B273" s="19" t="s">
        <v>770</v>
      </c>
      <c r="C273" s="19">
        <v>202</v>
      </c>
      <c r="D273" s="19" t="s">
        <v>1300</v>
      </c>
      <c r="E273" s="20">
        <v>43493</v>
      </c>
      <c r="F273" s="19"/>
      <c r="G273" s="19"/>
      <c r="H273" s="19" t="s">
        <v>107</v>
      </c>
      <c r="I273" s="19"/>
      <c r="J273" s="19"/>
      <c r="K273" s="19"/>
      <c r="L273" s="19"/>
      <c r="M273" s="19"/>
      <c r="N273" s="19"/>
      <c r="O273" s="19"/>
      <c r="P273" s="19"/>
      <c r="Q273" s="19"/>
      <c r="R273" s="19"/>
      <c r="S273" s="19"/>
      <c r="T273" s="19"/>
      <c r="U273" s="19"/>
      <c r="V273" s="19"/>
      <c r="W273" s="19"/>
      <c r="X273" s="19"/>
      <c r="Y273" s="19"/>
      <c r="Z273" t="str">
        <f>IF(Tabela1[[#This Row],[1]]&lt;&gt;"",IF(ISNUMBER(FIND(",",Tabela1[[#This Row],[1]])),LEN(Tabela1[[#This Row],[1]])-LEN(SUBSTITUTE(Tabela1[[#This Row],[1]],",",""))+1,1),"")</f>
        <v/>
      </c>
      <c r="AA273" t="str">
        <f>IF(Tabela1[[#This Row],[2]]&lt;&gt;"",IF(ISNUMBER(FIND(",",Tabela1[[#This Row],[2]])),LEN(Tabela1[[#This Row],[2]])-LEN(SUBSTITUTE(Tabela1[[#This Row],[2]],",",""))+1,1),"")</f>
        <v/>
      </c>
      <c r="AB273">
        <f>IF(Tabela1[[#This Row],[3]]&lt;&gt;"",IF(ISNUMBER(FIND(",",Tabela1[[#This Row],[3]])),LEN(Tabela1[[#This Row],[3]])-LEN(SUBSTITUTE(Tabela1[[#This Row],[3]],",",""))+1,1),"")</f>
        <v>1</v>
      </c>
      <c r="AC273" t="str">
        <f>IF(Tabela1[[#This Row],[4]]&lt;&gt;"",IF(ISNUMBER(FIND(",",Tabela1[[#This Row],[4]])),LEN(Tabela1[[#This Row],[4]])-LEN(SUBSTITUTE(Tabela1[[#This Row],[4]],",",""))+1,1),"")</f>
        <v/>
      </c>
      <c r="AD273" t="str">
        <f>IF(Tabela1[[#This Row],[5]]&lt;&gt;"",IF(ISNUMBER(FIND(",",Tabela1[[#This Row],[5]])),LEN(Tabela1[[#This Row],[5]])-LEN(SUBSTITUTE(Tabela1[[#This Row],[5]],",",""))+1,1),"")</f>
        <v/>
      </c>
      <c r="AE273" t="str">
        <f>IF(Tabela1[[#This Row],[6]]&lt;&gt;"",IF(ISNUMBER(FIND(",",Tabela1[[#This Row],[6]])),LEN(Tabela1[[#This Row],[6]])-LEN(SUBSTITUTE(Tabela1[[#This Row],[6]],",",""))+1,1),"")</f>
        <v/>
      </c>
      <c r="AF273" t="str">
        <f>IF(Tabela1[[#This Row],[7]]&lt;&gt;"",IF(ISNUMBER(FIND(",",Tabela1[[#This Row],[7]])),LEN(Tabela1[[#This Row],[7]])-LEN(SUBSTITUTE(Tabela1[[#This Row],[7]],",",""))+1,1),"")</f>
        <v/>
      </c>
      <c r="AG273" t="str">
        <f>IF(Tabela1[[#This Row],[8]]&lt;&gt;"",IF(ISNUMBER(FIND(",",Tabela1[[#This Row],[8]])),LEN(Tabela1[[#This Row],[8]])-LEN(SUBSTITUTE(Tabela1[[#This Row],[8]],",",""))+1,1),"")</f>
        <v/>
      </c>
      <c r="AH273" t="str">
        <f>IF(Tabela1[[#This Row],[9]]&lt;&gt;"",IF(ISNUMBER(FIND(",",Tabela1[[#This Row],[9]])),LEN(Tabela1[[#This Row],[9]])-LEN(SUBSTITUTE(Tabela1[[#This Row],[9]],",",""))+1,1),"")</f>
        <v/>
      </c>
      <c r="AI273" t="str">
        <f>IF(Tabela1[[#This Row],[10]]&lt;&gt;"",IF(ISNUMBER(FIND(",",Tabela1[[#This Row],[10]])),LEN(Tabela1[[#This Row],[10]])-LEN(SUBSTITUTE(Tabela1[[#This Row],[10]],",",""))+1,1),"")</f>
        <v/>
      </c>
      <c r="AJ273" t="str">
        <f>IF(Tabela1[[#This Row],[11]]&lt;&gt;"",IF(ISNUMBER(FIND(",",Tabela1[[#This Row],[11]])),LEN(Tabela1[[#This Row],[11]])-LEN(SUBSTITUTE(Tabela1[[#This Row],[11]],",",""))+1,1),"")</f>
        <v/>
      </c>
      <c r="AK273" t="str">
        <f>IF(Tabela1[[#This Row],[12]]&lt;&gt;"",IF(ISNUMBER(FIND(",",Tabela1[[#This Row],[12]])),LEN(Tabela1[[#This Row],[12]])-LEN(SUBSTITUTE(Tabela1[[#This Row],[12]],",",""))+1,1),"")</f>
        <v/>
      </c>
      <c r="AL273" t="str">
        <f>IF(Tabela1[[#This Row],[13]]&lt;&gt;"",IF(ISNUMBER(FIND(",",Tabela1[[#This Row],[13]])),LEN(Tabela1[[#This Row],[13]])-LEN(SUBSTITUTE(Tabela1[[#This Row],[13]],",",""))+1,1),"")</f>
        <v/>
      </c>
      <c r="AM273" t="str">
        <f>IF(Tabela1[[#This Row],[14]]&lt;&gt;"",IF(ISNUMBER(FIND(",",Tabela1[[#This Row],[14]])),LEN(Tabela1[[#This Row],[14]])-LEN(SUBSTITUTE(Tabela1[[#This Row],[14]],",",""))+1,1),"")</f>
        <v/>
      </c>
      <c r="AN273" t="str">
        <f>IF(Tabela1[[#This Row],[15]]&lt;&gt;"",IF(ISNUMBER(FIND(",",Tabela1[[#This Row],[15]])),LEN(Tabela1[[#This Row],[15]])-LEN(SUBSTITUTE(Tabela1[[#This Row],[15]],",",""))+1,1),"")</f>
        <v/>
      </c>
      <c r="AO273" t="str">
        <f>IF(Tabela1[[#This Row],[16]]&lt;&gt;"",IF(ISNUMBER(FIND(",",Tabela1[[#This Row],[16]])),LEN(Tabela1[[#This Row],[16]])-LEN(SUBSTITUTE(Tabela1[[#This Row],[16]],",",""))+1,1),"")</f>
        <v/>
      </c>
      <c r="AP273" t="str">
        <f>IF(Tabela1[[#This Row],[17]]&lt;&gt;"",IF(ISNUMBER(FIND(",",Tabela1[[#This Row],[17]])),LEN(Tabela1[[#This Row],[17]])-LEN(SUBSTITUTE(Tabela1[[#This Row],[17]],",",""))+1,1),"")</f>
        <v/>
      </c>
      <c r="AQ273" t="str">
        <f>IF(Tabela1[[#This Row],[18]]&lt;&gt;"",IF(ISNUMBER(FIND(",",Tabela1[[#This Row],[18]])),LEN(Tabela1[[#This Row],[18]])-LEN(SUBSTITUTE(Tabela1[[#This Row],[18]],",",""))+1,1),"")</f>
        <v/>
      </c>
      <c r="AR273" s="13" t="str">
        <f>IF(Tabela1[[#This Row],[19_LENGTH]]&lt;&gt;"",IF(ISNUMBER(FIND(",",Tabela1[[#This Row],[19_LENGTH]])),LEN(Tabela1[[#This Row],[19_LENGTH]])-LEN(SUBSTITUTE(Tabela1[[#This Row],[19_LENGTH]],",",""))+1,1),"")</f>
        <v/>
      </c>
      <c r="AS273" s="21">
        <f>SUM(Tabela1[[#This Row],[1_]:[19_]])</f>
        <v>1</v>
      </c>
    </row>
    <row r="274" spans="1:45" x14ac:dyDescent="0.25">
      <c r="A274" s="27" t="s">
        <v>1322</v>
      </c>
      <c r="B274" s="19" t="s">
        <v>771</v>
      </c>
      <c r="C274" s="19">
        <v>202</v>
      </c>
      <c r="D274" s="19" t="s">
        <v>1300</v>
      </c>
      <c r="E274" s="20">
        <v>43493</v>
      </c>
      <c r="F274" s="19"/>
      <c r="G274" s="19">
        <v>106</v>
      </c>
      <c r="H274" s="19" t="s">
        <v>108</v>
      </c>
      <c r="I274" s="19"/>
      <c r="J274" s="19"/>
      <c r="K274" s="19"/>
      <c r="L274" s="19"/>
      <c r="M274" s="19"/>
      <c r="N274" s="19"/>
      <c r="O274" s="19"/>
      <c r="P274" s="19"/>
      <c r="Q274" s="19"/>
      <c r="R274" s="19"/>
      <c r="S274" s="19"/>
      <c r="T274" s="19"/>
      <c r="U274" s="19"/>
      <c r="V274" s="19"/>
      <c r="W274" s="19"/>
      <c r="X274" s="19" t="s">
        <v>43</v>
      </c>
      <c r="Y274" s="19" t="s">
        <v>109</v>
      </c>
      <c r="Z274" t="str">
        <f>IF(Tabela1[[#This Row],[1]]&lt;&gt;"",IF(ISNUMBER(FIND(",",Tabela1[[#This Row],[1]])),LEN(Tabela1[[#This Row],[1]])-LEN(SUBSTITUTE(Tabela1[[#This Row],[1]],",",""))+1,1),"")</f>
        <v/>
      </c>
      <c r="AA274">
        <f>IF(Tabela1[[#This Row],[2]]&lt;&gt;"",IF(ISNUMBER(FIND(",",Tabela1[[#This Row],[2]])),LEN(Tabela1[[#This Row],[2]])-LEN(SUBSTITUTE(Tabela1[[#This Row],[2]],",",""))+1,1),"")</f>
        <v>1</v>
      </c>
      <c r="AB274">
        <f>IF(Tabela1[[#This Row],[3]]&lt;&gt;"",IF(ISNUMBER(FIND(",",Tabela1[[#This Row],[3]])),LEN(Tabela1[[#This Row],[3]])-LEN(SUBSTITUTE(Tabela1[[#This Row],[3]],",",""))+1,1),"")</f>
        <v>1</v>
      </c>
      <c r="AC274" t="str">
        <f>IF(Tabela1[[#This Row],[4]]&lt;&gt;"",IF(ISNUMBER(FIND(",",Tabela1[[#This Row],[4]])),LEN(Tabela1[[#This Row],[4]])-LEN(SUBSTITUTE(Tabela1[[#This Row],[4]],",",""))+1,1),"")</f>
        <v/>
      </c>
      <c r="AD274" t="str">
        <f>IF(Tabela1[[#This Row],[5]]&lt;&gt;"",IF(ISNUMBER(FIND(",",Tabela1[[#This Row],[5]])),LEN(Tabela1[[#This Row],[5]])-LEN(SUBSTITUTE(Tabela1[[#This Row],[5]],",",""))+1,1),"")</f>
        <v/>
      </c>
      <c r="AE274" t="str">
        <f>IF(Tabela1[[#This Row],[6]]&lt;&gt;"",IF(ISNUMBER(FIND(",",Tabela1[[#This Row],[6]])),LEN(Tabela1[[#This Row],[6]])-LEN(SUBSTITUTE(Tabela1[[#This Row],[6]],",",""))+1,1),"")</f>
        <v/>
      </c>
      <c r="AF274" t="str">
        <f>IF(Tabela1[[#This Row],[7]]&lt;&gt;"",IF(ISNUMBER(FIND(",",Tabela1[[#This Row],[7]])),LEN(Tabela1[[#This Row],[7]])-LEN(SUBSTITUTE(Tabela1[[#This Row],[7]],",",""))+1,1),"")</f>
        <v/>
      </c>
      <c r="AG274" t="str">
        <f>IF(Tabela1[[#This Row],[8]]&lt;&gt;"",IF(ISNUMBER(FIND(",",Tabela1[[#This Row],[8]])),LEN(Tabela1[[#This Row],[8]])-LEN(SUBSTITUTE(Tabela1[[#This Row],[8]],",",""))+1,1),"")</f>
        <v/>
      </c>
      <c r="AH274" t="str">
        <f>IF(Tabela1[[#This Row],[9]]&lt;&gt;"",IF(ISNUMBER(FIND(",",Tabela1[[#This Row],[9]])),LEN(Tabela1[[#This Row],[9]])-LEN(SUBSTITUTE(Tabela1[[#This Row],[9]],",",""))+1,1),"")</f>
        <v/>
      </c>
      <c r="AI274" t="str">
        <f>IF(Tabela1[[#This Row],[10]]&lt;&gt;"",IF(ISNUMBER(FIND(",",Tabela1[[#This Row],[10]])),LEN(Tabela1[[#This Row],[10]])-LEN(SUBSTITUTE(Tabela1[[#This Row],[10]],",",""))+1,1),"")</f>
        <v/>
      </c>
      <c r="AJ274" t="str">
        <f>IF(Tabela1[[#This Row],[11]]&lt;&gt;"",IF(ISNUMBER(FIND(",",Tabela1[[#This Row],[11]])),LEN(Tabela1[[#This Row],[11]])-LEN(SUBSTITUTE(Tabela1[[#This Row],[11]],",",""))+1,1),"")</f>
        <v/>
      </c>
      <c r="AK274" t="str">
        <f>IF(Tabela1[[#This Row],[12]]&lt;&gt;"",IF(ISNUMBER(FIND(",",Tabela1[[#This Row],[12]])),LEN(Tabela1[[#This Row],[12]])-LEN(SUBSTITUTE(Tabela1[[#This Row],[12]],",",""))+1,1),"")</f>
        <v/>
      </c>
      <c r="AL274" t="str">
        <f>IF(Tabela1[[#This Row],[13]]&lt;&gt;"",IF(ISNUMBER(FIND(",",Tabela1[[#This Row],[13]])),LEN(Tabela1[[#This Row],[13]])-LEN(SUBSTITUTE(Tabela1[[#This Row],[13]],",",""))+1,1),"")</f>
        <v/>
      </c>
      <c r="AM274" t="str">
        <f>IF(Tabela1[[#This Row],[14]]&lt;&gt;"",IF(ISNUMBER(FIND(",",Tabela1[[#This Row],[14]])),LEN(Tabela1[[#This Row],[14]])-LEN(SUBSTITUTE(Tabela1[[#This Row],[14]],",",""))+1,1),"")</f>
        <v/>
      </c>
      <c r="AN274" t="str">
        <f>IF(Tabela1[[#This Row],[15]]&lt;&gt;"",IF(ISNUMBER(FIND(",",Tabela1[[#This Row],[15]])),LEN(Tabela1[[#This Row],[15]])-LEN(SUBSTITUTE(Tabela1[[#This Row],[15]],",",""))+1,1),"")</f>
        <v/>
      </c>
      <c r="AO274" t="str">
        <f>IF(Tabela1[[#This Row],[16]]&lt;&gt;"",IF(ISNUMBER(FIND(",",Tabela1[[#This Row],[16]])),LEN(Tabela1[[#This Row],[16]])-LEN(SUBSTITUTE(Tabela1[[#This Row],[16]],",",""))+1,1),"")</f>
        <v/>
      </c>
      <c r="AP274" t="str">
        <f>IF(Tabela1[[#This Row],[17]]&lt;&gt;"",IF(ISNUMBER(FIND(",",Tabela1[[#This Row],[17]])),LEN(Tabela1[[#This Row],[17]])-LEN(SUBSTITUTE(Tabela1[[#This Row],[17]],",",""))+1,1),"")</f>
        <v/>
      </c>
      <c r="AQ274" t="str">
        <f>IF(Tabela1[[#This Row],[18]]&lt;&gt;"",IF(ISNUMBER(FIND(",",Tabela1[[#This Row],[18]])),LEN(Tabela1[[#This Row],[18]])-LEN(SUBSTITUTE(Tabela1[[#This Row],[18]],",",""))+1,1),"")</f>
        <v/>
      </c>
      <c r="AR274" s="13">
        <f>IF(Tabela1[[#This Row],[19_LENGTH]]&lt;&gt;"",IF(ISNUMBER(FIND(",",Tabela1[[#This Row],[19_LENGTH]])),LEN(Tabela1[[#This Row],[19_LENGTH]])-LEN(SUBSTITUTE(Tabela1[[#This Row],[19_LENGTH]],",",""))+1,1),"")</f>
        <v>1</v>
      </c>
      <c r="AS274" s="21">
        <f>SUM(Tabela1[[#This Row],[1_]:[19_]])</f>
        <v>3</v>
      </c>
    </row>
    <row r="275" spans="1:45" x14ac:dyDescent="0.25">
      <c r="A275" s="27" t="s">
        <v>1322</v>
      </c>
      <c r="B275" s="19" t="s">
        <v>772</v>
      </c>
      <c r="C275" s="19">
        <v>94</v>
      </c>
      <c r="D275" s="19" t="s">
        <v>1300</v>
      </c>
      <c r="E275" s="20">
        <v>43493</v>
      </c>
      <c r="F275" s="19"/>
      <c r="G275" s="19">
        <v>42</v>
      </c>
      <c r="H275" s="19"/>
      <c r="I275" s="19"/>
      <c r="J275" s="19"/>
      <c r="K275" s="19"/>
      <c r="L275" s="19"/>
      <c r="M275" s="19"/>
      <c r="N275" s="19"/>
      <c r="O275" s="19"/>
      <c r="P275" s="19"/>
      <c r="Q275" s="19"/>
      <c r="R275" s="19"/>
      <c r="S275" s="19"/>
      <c r="T275" s="19"/>
      <c r="U275" s="19"/>
      <c r="V275" s="19"/>
      <c r="W275" s="19"/>
      <c r="X275" s="19"/>
      <c r="Y275" s="19"/>
      <c r="Z275" t="str">
        <f>IF(Tabela1[[#This Row],[1]]&lt;&gt;"",IF(ISNUMBER(FIND(",",Tabela1[[#This Row],[1]])),LEN(Tabela1[[#This Row],[1]])-LEN(SUBSTITUTE(Tabela1[[#This Row],[1]],",",""))+1,1),"")</f>
        <v/>
      </c>
      <c r="AA275">
        <f>IF(Tabela1[[#This Row],[2]]&lt;&gt;"",IF(ISNUMBER(FIND(",",Tabela1[[#This Row],[2]])),LEN(Tabela1[[#This Row],[2]])-LEN(SUBSTITUTE(Tabela1[[#This Row],[2]],",",""))+1,1),"")</f>
        <v>1</v>
      </c>
      <c r="AB275" t="str">
        <f>IF(Tabela1[[#This Row],[3]]&lt;&gt;"",IF(ISNUMBER(FIND(",",Tabela1[[#This Row],[3]])),LEN(Tabela1[[#This Row],[3]])-LEN(SUBSTITUTE(Tabela1[[#This Row],[3]],",",""))+1,1),"")</f>
        <v/>
      </c>
      <c r="AC275" t="str">
        <f>IF(Tabela1[[#This Row],[4]]&lt;&gt;"",IF(ISNUMBER(FIND(",",Tabela1[[#This Row],[4]])),LEN(Tabela1[[#This Row],[4]])-LEN(SUBSTITUTE(Tabela1[[#This Row],[4]],",",""))+1,1),"")</f>
        <v/>
      </c>
      <c r="AD275" t="str">
        <f>IF(Tabela1[[#This Row],[5]]&lt;&gt;"",IF(ISNUMBER(FIND(",",Tabela1[[#This Row],[5]])),LEN(Tabela1[[#This Row],[5]])-LEN(SUBSTITUTE(Tabela1[[#This Row],[5]],",",""))+1,1),"")</f>
        <v/>
      </c>
      <c r="AE275" t="str">
        <f>IF(Tabela1[[#This Row],[6]]&lt;&gt;"",IF(ISNUMBER(FIND(",",Tabela1[[#This Row],[6]])),LEN(Tabela1[[#This Row],[6]])-LEN(SUBSTITUTE(Tabela1[[#This Row],[6]],",",""))+1,1),"")</f>
        <v/>
      </c>
      <c r="AF275" t="str">
        <f>IF(Tabela1[[#This Row],[7]]&lt;&gt;"",IF(ISNUMBER(FIND(",",Tabela1[[#This Row],[7]])),LEN(Tabela1[[#This Row],[7]])-LEN(SUBSTITUTE(Tabela1[[#This Row],[7]],",",""))+1,1),"")</f>
        <v/>
      </c>
      <c r="AG275" t="str">
        <f>IF(Tabela1[[#This Row],[8]]&lt;&gt;"",IF(ISNUMBER(FIND(",",Tabela1[[#This Row],[8]])),LEN(Tabela1[[#This Row],[8]])-LEN(SUBSTITUTE(Tabela1[[#This Row],[8]],",",""))+1,1),"")</f>
        <v/>
      </c>
      <c r="AH275" t="str">
        <f>IF(Tabela1[[#This Row],[9]]&lt;&gt;"",IF(ISNUMBER(FIND(",",Tabela1[[#This Row],[9]])),LEN(Tabela1[[#This Row],[9]])-LEN(SUBSTITUTE(Tabela1[[#This Row],[9]],",",""))+1,1),"")</f>
        <v/>
      </c>
      <c r="AI275" t="str">
        <f>IF(Tabela1[[#This Row],[10]]&lt;&gt;"",IF(ISNUMBER(FIND(",",Tabela1[[#This Row],[10]])),LEN(Tabela1[[#This Row],[10]])-LEN(SUBSTITUTE(Tabela1[[#This Row],[10]],",",""))+1,1),"")</f>
        <v/>
      </c>
      <c r="AJ275" t="str">
        <f>IF(Tabela1[[#This Row],[11]]&lt;&gt;"",IF(ISNUMBER(FIND(",",Tabela1[[#This Row],[11]])),LEN(Tabela1[[#This Row],[11]])-LEN(SUBSTITUTE(Tabela1[[#This Row],[11]],",",""))+1,1),"")</f>
        <v/>
      </c>
      <c r="AK275" t="str">
        <f>IF(Tabela1[[#This Row],[12]]&lt;&gt;"",IF(ISNUMBER(FIND(",",Tabela1[[#This Row],[12]])),LEN(Tabela1[[#This Row],[12]])-LEN(SUBSTITUTE(Tabela1[[#This Row],[12]],",",""))+1,1),"")</f>
        <v/>
      </c>
      <c r="AL275" t="str">
        <f>IF(Tabela1[[#This Row],[13]]&lt;&gt;"",IF(ISNUMBER(FIND(",",Tabela1[[#This Row],[13]])),LEN(Tabela1[[#This Row],[13]])-LEN(SUBSTITUTE(Tabela1[[#This Row],[13]],",",""))+1,1),"")</f>
        <v/>
      </c>
      <c r="AM275" t="str">
        <f>IF(Tabela1[[#This Row],[14]]&lt;&gt;"",IF(ISNUMBER(FIND(",",Tabela1[[#This Row],[14]])),LEN(Tabela1[[#This Row],[14]])-LEN(SUBSTITUTE(Tabela1[[#This Row],[14]],",",""))+1,1),"")</f>
        <v/>
      </c>
      <c r="AN275" t="str">
        <f>IF(Tabela1[[#This Row],[15]]&lt;&gt;"",IF(ISNUMBER(FIND(",",Tabela1[[#This Row],[15]])),LEN(Tabela1[[#This Row],[15]])-LEN(SUBSTITUTE(Tabela1[[#This Row],[15]],",",""))+1,1),"")</f>
        <v/>
      </c>
      <c r="AO275" t="str">
        <f>IF(Tabela1[[#This Row],[16]]&lt;&gt;"",IF(ISNUMBER(FIND(",",Tabela1[[#This Row],[16]])),LEN(Tabela1[[#This Row],[16]])-LEN(SUBSTITUTE(Tabela1[[#This Row],[16]],",",""))+1,1),"")</f>
        <v/>
      </c>
      <c r="AP275" t="str">
        <f>IF(Tabela1[[#This Row],[17]]&lt;&gt;"",IF(ISNUMBER(FIND(",",Tabela1[[#This Row],[17]])),LEN(Tabela1[[#This Row],[17]])-LEN(SUBSTITUTE(Tabela1[[#This Row],[17]],",",""))+1,1),"")</f>
        <v/>
      </c>
      <c r="AQ275" t="str">
        <f>IF(Tabela1[[#This Row],[18]]&lt;&gt;"",IF(ISNUMBER(FIND(",",Tabela1[[#This Row],[18]])),LEN(Tabela1[[#This Row],[18]])-LEN(SUBSTITUTE(Tabela1[[#This Row],[18]],",",""))+1,1),"")</f>
        <v/>
      </c>
      <c r="AR275" s="13" t="str">
        <f>IF(Tabela1[[#This Row],[19_LENGTH]]&lt;&gt;"",IF(ISNUMBER(FIND(",",Tabela1[[#This Row],[19_LENGTH]])),LEN(Tabela1[[#This Row],[19_LENGTH]])-LEN(SUBSTITUTE(Tabela1[[#This Row],[19_LENGTH]],",",""))+1,1),"")</f>
        <v/>
      </c>
      <c r="AS275" s="21">
        <f>SUM(Tabela1[[#This Row],[1_]:[19_]])</f>
        <v>1</v>
      </c>
    </row>
    <row r="276" spans="1:45" x14ac:dyDescent="0.25">
      <c r="A276" s="27" t="s">
        <v>1322</v>
      </c>
      <c r="B276" s="19" t="s">
        <v>443</v>
      </c>
      <c r="C276" s="19">
        <v>202</v>
      </c>
      <c r="D276" s="19" t="s">
        <v>1298</v>
      </c>
      <c r="E276" s="20">
        <v>43493</v>
      </c>
      <c r="F276" s="19"/>
      <c r="G276" s="19">
        <v>46</v>
      </c>
      <c r="H276" s="19"/>
      <c r="I276" s="19"/>
      <c r="J276" s="19"/>
      <c r="K276" s="19"/>
      <c r="L276" s="19"/>
      <c r="M276" s="19"/>
      <c r="N276" s="19"/>
      <c r="O276" s="19"/>
      <c r="P276" s="19"/>
      <c r="Q276" s="19"/>
      <c r="R276" s="19"/>
      <c r="S276" s="19"/>
      <c r="T276" s="19"/>
      <c r="U276" s="19">
        <v>46</v>
      </c>
      <c r="V276" s="19"/>
      <c r="W276" s="19"/>
      <c r="X276" s="19"/>
      <c r="Y276" s="19"/>
      <c r="Z276" t="str">
        <f>IF(Tabela1[[#This Row],[1]]&lt;&gt;"",IF(ISNUMBER(FIND(",",Tabela1[[#This Row],[1]])),LEN(Tabela1[[#This Row],[1]])-LEN(SUBSTITUTE(Tabela1[[#This Row],[1]],",",""))+1,1),"")</f>
        <v/>
      </c>
      <c r="AA276">
        <f>IF(Tabela1[[#This Row],[2]]&lt;&gt;"",IF(ISNUMBER(FIND(",",Tabela1[[#This Row],[2]])),LEN(Tabela1[[#This Row],[2]])-LEN(SUBSTITUTE(Tabela1[[#This Row],[2]],",",""))+1,1),"")</f>
        <v>1</v>
      </c>
      <c r="AB276" t="str">
        <f>IF(Tabela1[[#This Row],[3]]&lt;&gt;"",IF(ISNUMBER(FIND(",",Tabela1[[#This Row],[3]])),LEN(Tabela1[[#This Row],[3]])-LEN(SUBSTITUTE(Tabela1[[#This Row],[3]],",",""))+1,1),"")</f>
        <v/>
      </c>
      <c r="AC276" t="str">
        <f>IF(Tabela1[[#This Row],[4]]&lt;&gt;"",IF(ISNUMBER(FIND(",",Tabela1[[#This Row],[4]])),LEN(Tabela1[[#This Row],[4]])-LEN(SUBSTITUTE(Tabela1[[#This Row],[4]],",",""))+1,1),"")</f>
        <v/>
      </c>
      <c r="AD276" t="str">
        <f>IF(Tabela1[[#This Row],[5]]&lt;&gt;"",IF(ISNUMBER(FIND(",",Tabela1[[#This Row],[5]])),LEN(Tabela1[[#This Row],[5]])-LEN(SUBSTITUTE(Tabela1[[#This Row],[5]],",",""))+1,1),"")</f>
        <v/>
      </c>
      <c r="AE276" t="str">
        <f>IF(Tabela1[[#This Row],[6]]&lt;&gt;"",IF(ISNUMBER(FIND(",",Tabela1[[#This Row],[6]])),LEN(Tabela1[[#This Row],[6]])-LEN(SUBSTITUTE(Tabela1[[#This Row],[6]],",",""))+1,1),"")</f>
        <v/>
      </c>
      <c r="AF276" t="str">
        <f>IF(Tabela1[[#This Row],[7]]&lt;&gt;"",IF(ISNUMBER(FIND(",",Tabela1[[#This Row],[7]])),LEN(Tabela1[[#This Row],[7]])-LEN(SUBSTITUTE(Tabela1[[#This Row],[7]],",",""))+1,1),"")</f>
        <v/>
      </c>
      <c r="AG276" t="str">
        <f>IF(Tabela1[[#This Row],[8]]&lt;&gt;"",IF(ISNUMBER(FIND(",",Tabela1[[#This Row],[8]])),LEN(Tabela1[[#This Row],[8]])-LEN(SUBSTITUTE(Tabela1[[#This Row],[8]],",",""))+1,1),"")</f>
        <v/>
      </c>
      <c r="AH276" t="str">
        <f>IF(Tabela1[[#This Row],[9]]&lt;&gt;"",IF(ISNUMBER(FIND(",",Tabela1[[#This Row],[9]])),LEN(Tabela1[[#This Row],[9]])-LEN(SUBSTITUTE(Tabela1[[#This Row],[9]],",",""))+1,1),"")</f>
        <v/>
      </c>
      <c r="AI276" t="str">
        <f>IF(Tabela1[[#This Row],[10]]&lt;&gt;"",IF(ISNUMBER(FIND(",",Tabela1[[#This Row],[10]])),LEN(Tabela1[[#This Row],[10]])-LEN(SUBSTITUTE(Tabela1[[#This Row],[10]],",",""))+1,1),"")</f>
        <v/>
      </c>
      <c r="AJ276" t="str">
        <f>IF(Tabela1[[#This Row],[11]]&lt;&gt;"",IF(ISNUMBER(FIND(",",Tabela1[[#This Row],[11]])),LEN(Tabela1[[#This Row],[11]])-LEN(SUBSTITUTE(Tabela1[[#This Row],[11]],",",""))+1,1),"")</f>
        <v/>
      </c>
      <c r="AK276" t="str">
        <f>IF(Tabela1[[#This Row],[12]]&lt;&gt;"",IF(ISNUMBER(FIND(",",Tabela1[[#This Row],[12]])),LEN(Tabela1[[#This Row],[12]])-LEN(SUBSTITUTE(Tabela1[[#This Row],[12]],",",""))+1,1),"")</f>
        <v/>
      </c>
      <c r="AL276" t="str">
        <f>IF(Tabela1[[#This Row],[13]]&lt;&gt;"",IF(ISNUMBER(FIND(",",Tabela1[[#This Row],[13]])),LEN(Tabela1[[#This Row],[13]])-LEN(SUBSTITUTE(Tabela1[[#This Row],[13]],",",""))+1,1),"")</f>
        <v/>
      </c>
      <c r="AM276" t="str">
        <f>IF(Tabela1[[#This Row],[14]]&lt;&gt;"",IF(ISNUMBER(FIND(",",Tabela1[[#This Row],[14]])),LEN(Tabela1[[#This Row],[14]])-LEN(SUBSTITUTE(Tabela1[[#This Row],[14]],",",""))+1,1),"")</f>
        <v/>
      </c>
      <c r="AN276" t="str">
        <f>IF(Tabela1[[#This Row],[15]]&lt;&gt;"",IF(ISNUMBER(FIND(",",Tabela1[[#This Row],[15]])),LEN(Tabela1[[#This Row],[15]])-LEN(SUBSTITUTE(Tabela1[[#This Row],[15]],",",""))+1,1),"")</f>
        <v/>
      </c>
      <c r="AO276">
        <f>IF(Tabela1[[#This Row],[16]]&lt;&gt;"",IF(ISNUMBER(FIND(",",Tabela1[[#This Row],[16]])),LEN(Tabela1[[#This Row],[16]])-LEN(SUBSTITUTE(Tabela1[[#This Row],[16]],",",""))+1,1),"")</f>
        <v>1</v>
      </c>
      <c r="AP276" t="str">
        <f>IF(Tabela1[[#This Row],[17]]&lt;&gt;"",IF(ISNUMBER(FIND(",",Tabela1[[#This Row],[17]])),LEN(Tabela1[[#This Row],[17]])-LEN(SUBSTITUTE(Tabela1[[#This Row],[17]],",",""))+1,1),"")</f>
        <v/>
      </c>
      <c r="AQ276" t="str">
        <f>IF(Tabela1[[#This Row],[18]]&lt;&gt;"",IF(ISNUMBER(FIND(",",Tabela1[[#This Row],[18]])),LEN(Tabela1[[#This Row],[18]])-LEN(SUBSTITUTE(Tabela1[[#This Row],[18]],",",""))+1,1),"")</f>
        <v/>
      </c>
      <c r="AR276" s="13" t="str">
        <f>IF(Tabela1[[#This Row],[19_LENGTH]]&lt;&gt;"",IF(ISNUMBER(FIND(",",Tabela1[[#This Row],[19_LENGTH]])),LEN(Tabela1[[#This Row],[19_LENGTH]])-LEN(SUBSTITUTE(Tabela1[[#This Row],[19_LENGTH]],",",""))+1,1),"")</f>
        <v/>
      </c>
      <c r="AS276" s="21">
        <f>SUM(Tabela1[[#This Row],[1_]:[19_]])</f>
        <v>2</v>
      </c>
    </row>
    <row r="277" spans="1:45" x14ac:dyDescent="0.25">
      <c r="A277" s="27" t="s">
        <v>1322</v>
      </c>
      <c r="B277" s="19" t="s">
        <v>773</v>
      </c>
      <c r="C277" s="19">
        <v>200</v>
      </c>
      <c r="D277" s="19" t="s">
        <v>1292</v>
      </c>
      <c r="E277" s="20">
        <v>43496</v>
      </c>
      <c r="F277" s="19"/>
      <c r="G277" s="19">
        <v>128</v>
      </c>
      <c r="H277" s="19"/>
      <c r="I277" s="19"/>
      <c r="J277" s="19">
        <v>127</v>
      </c>
      <c r="K277" s="19"/>
      <c r="L277" s="19"/>
      <c r="M277" s="19"/>
      <c r="N277" s="19"/>
      <c r="O277" s="19"/>
      <c r="P277" s="19"/>
      <c r="Q277" s="19"/>
      <c r="R277" s="19"/>
      <c r="S277" s="19"/>
      <c r="T277" s="19"/>
      <c r="U277" s="19"/>
      <c r="V277" s="19"/>
      <c r="W277" s="19"/>
      <c r="X277" s="19"/>
      <c r="Y277" s="19"/>
      <c r="Z277" t="str">
        <f>IF(Tabela1[[#This Row],[1]]&lt;&gt;"",IF(ISNUMBER(FIND(",",Tabela1[[#This Row],[1]])),LEN(Tabela1[[#This Row],[1]])-LEN(SUBSTITUTE(Tabela1[[#This Row],[1]],",",""))+1,1),"")</f>
        <v/>
      </c>
      <c r="AA277">
        <f>IF(Tabela1[[#This Row],[2]]&lt;&gt;"",IF(ISNUMBER(FIND(",",Tabela1[[#This Row],[2]])),LEN(Tabela1[[#This Row],[2]])-LEN(SUBSTITUTE(Tabela1[[#This Row],[2]],",",""))+1,1),"")</f>
        <v>1</v>
      </c>
      <c r="AB277" t="str">
        <f>IF(Tabela1[[#This Row],[3]]&lt;&gt;"",IF(ISNUMBER(FIND(",",Tabela1[[#This Row],[3]])),LEN(Tabela1[[#This Row],[3]])-LEN(SUBSTITUTE(Tabela1[[#This Row],[3]],",",""))+1,1),"")</f>
        <v/>
      </c>
      <c r="AC277" t="str">
        <f>IF(Tabela1[[#This Row],[4]]&lt;&gt;"",IF(ISNUMBER(FIND(",",Tabela1[[#This Row],[4]])),LEN(Tabela1[[#This Row],[4]])-LEN(SUBSTITUTE(Tabela1[[#This Row],[4]],",",""))+1,1),"")</f>
        <v/>
      </c>
      <c r="AD277">
        <f>IF(Tabela1[[#This Row],[5]]&lt;&gt;"",IF(ISNUMBER(FIND(",",Tabela1[[#This Row],[5]])),LEN(Tabela1[[#This Row],[5]])-LEN(SUBSTITUTE(Tabela1[[#This Row],[5]],",",""))+1,1),"")</f>
        <v>1</v>
      </c>
      <c r="AE277" t="str">
        <f>IF(Tabela1[[#This Row],[6]]&lt;&gt;"",IF(ISNUMBER(FIND(",",Tabela1[[#This Row],[6]])),LEN(Tabela1[[#This Row],[6]])-LEN(SUBSTITUTE(Tabela1[[#This Row],[6]],",",""))+1,1),"")</f>
        <v/>
      </c>
      <c r="AF277" t="str">
        <f>IF(Tabela1[[#This Row],[7]]&lt;&gt;"",IF(ISNUMBER(FIND(",",Tabela1[[#This Row],[7]])),LEN(Tabela1[[#This Row],[7]])-LEN(SUBSTITUTE(Tabela1[[#This Row],[7]],",",""))+1,1),"")</f>
        <v/>
      </c>
      <c r="AG277" t="str">
        <f>IF(Tabela1[[#This Row],[8]]&lt;&gt;"",IF(ISNUMBER(FIND(",",Tabela1[[#This Row],[8]])),LEN(Tabela1[[#This Row],[8]])-LEN(SUBSTITUTE(Tabela1[[#This Row],[8]],",",""))+1,1),"")</f>
        <v/>
      </c>
      <c r="AH277" t="str">
        <f>IF(Tabela1[[#This Row],[9]]&lt;&gt;"",IF(ISNUMBER(FIND(",",Tabela1[[#This Row],[9]])),LEN(Tabela1[[#This Row],[9]])-LEN(SUBSTITUTE(Tabela1[[#This Row],[9]],",",""))+1,1),"")</f>
        <v/>
      </c>
      <c r="AI277" t="str">
        <f>IF(Tabela1[[#This Row],[10]]&lt;&gt;"",IF(ISNUMBER(FIND(",",Tabela1[[#This Row],[10]])),LEN(Tabela1[[#This Row],[10]])-LEN(SUBSTITUTE(Tabela1[[#This Row],[10]],",",""))+1,1),"")</f>
        <v/>
      </c>
      <c r="AJ277" t="str">
        <f>IF(Tabela1[[#This Row],[11]]&lt;&gt;"",IF(ISNUMBER(FIND(",",Tabela1[[#This Row],[11]])),LEN(Tabela1[[#This Row],[11]])-LEN(SUBSTITUTE(Tabela1[[#This Row],[11]],",",""))+1,1),"")</f>
        <v/>
      </c>
      <c r="AK277" t="str">
        <f>IF(Tabela1[[#This Row],[12]]&lt;&gt;"",IF(ISNUMBER(FIND(",",Tabela1[[#This Row],[12]])),LEN(Tabela1[[#This Row],[12]])-LEN(SUBSTITUTE(Tabela1[[#This Row],[12]],",",""))+1,1),"")</f>
        <v/>
      </c>
      <c r="AL277" t="str">
        <f>IF(Tabela1[[#This Row],[13]]&lt;&gt;"",IF(ISNUMBER(FIND(",",Tabela1[[#This Row],[13]])),LEN(Tabela1[[#This Row],[13]])-LEN(SUBSTITUTE(Tabela1[[#This Row],[13]],",",""))+1,1),"")</f>
        <v/>
      </c>
      <c r="AM277" t="str">
        <f>IF(Tabela1[[#This Row],[14]]&lt;&gt;"",IF(ISNUMBER(FIND(",",Tabela1[[#This Row],[14]])),LEN(Tabela1[[#This Row],[14]])-LEN(SUBSTITUTE(Tabela1[[#This Row],[14]],",",""))+1,1),"")</f>
        <v/>
      </c>
      <c r="AN277" t="str">
        <f>IF(Tabela1[[#This Row],[15]]&lt;&gt;"",IF(ISNUMBER(FIND(",",Tabela1[[#This Row],[15]])),LEN(Tabela1[[#This Row],[15]])-LEN(SUBSTITUTE(Tabela1[[#This Row],[15]],",",""))+1,1),"")</f>
        <v/>
      </c>
      <c r="AO277" t="str">
        <f>IF(Tabela1[[#This Row],[16]]&lt;&gt;"",IF(ISNUMBER(FIND(",",Tabela1[[#This Row],[16]])),LEN(Tabela1[[#This Row],[16]])-LEN(SUBSTITUTE(Tabela1[[#This Row],[16]],",",""))+1,1),"")</f>
        <v/>
      </c>
      <c r="AP277" t="str">
        <f>IF(Tabela1[[#This Row],[17]]&lt;&gt;"",IF(ISNUMBER(FIND(",",Tabela1[[#This Row],[17]])),LEN(Tabela1[[#This Row],[17]])-LEN(SUBSTITUTE(Tabela1[[#This Row],[17]],",",""))+1,1),"")</f>
        <v/>
      </c>
      <c r="AQ277" t="str">
        <f>IF(Tabela1[[#This Row],[18]]&lt;&gt;"",IF(ISNUMBER(FIND(",",Tabela1[[#This Row],[18]])),LEN(Tabela1[[#This Row],[18]])-LEN(SUBSTITUTE(Tabela1[[#This Row],[18]],",",""))+1,1),"")</f>
        <v/>
      </c>
      <c r="AR277" s="13" t="str">
        <f>IF(Tabela1[[#This Row],[19_LENGTH]]&lt;&gt;"",IF(ISNUMBER(FIND(",",Tabela1[[#This Row],[19_LENGTH]])),LEN(Tabela1[[#This Row],[19_LENGTH]])-LEN(SUBSTITUTE(Tabela1[[#This Row],[19_LENGTH]],",",""))+1,1),"")</f>
        <v/>
      </c>
      <c r="AS277" s="21">
        <f>SUM(Tabela1[[#This Row],[1_]:[19_]])</f>
        <v>2</v>
      </c>
    </row>
    <row r="278" spans="1:45" x14ac:dyDescent="0.25">
      <c r="A278" s="27" t="s">
        <v>1322</v>
      </c>
      <c r="B278" s="19" t="s">
        <v>444</v>
      </c>
      <c r="C278" s="19">
        <v>196</v>
      </c>
      <c r="D278" s="19" t="s">
        <v>1300</v>
      </c>
      <c r="E278" s="20">
        <v>43495</v>
      </c>
      <c r="F278" s="19"/>
      <c r="G278" s="19"/>
      <c r="H278" s="19"/>
      <c r="I278" s="19" t="s">
        <v>110</v>
      </c>
      <c r="J278" s="19"/>
      <c r="K278" s="19"/>
      <c r="L278" s="19"/>
      <c r="M278" s="19"/>
      <c r="N278" s="19"/>
      <c r="O278" s="19"/>
      <c r="P278" s="19"/>
      <c r="Q278" s="19"/>
      <c r="R278" s="19"/>
      <c r="S278" s="19"/>
      <c r="T278" s="19"/>
      <c r="U278" s="19"/>
      <c r="V278" s="19"/>
      <c r="W278" s="19"/>
      <c r="X278" s="19"/>
      <c r="Y278" s="19"/>
      <c r="Z278" t="str">
        <f>IF(Tabela1[[#This Row],[1]]&lt;&gt;"",IF(ISNUMBER(FIND(",",Tabela1[[#This Row],[1]])),LEN(Tabela1[[#This Row],[1]])-LEN(SUBSTITUTE(Tabela1[[#This Row],[1]],",",""))+1,1),"")</f>
        <v/>
      </c>
      <c r="AA278" t="str">
        <f>IF(Tabela1[[#This Row],[2]]&lt;&gt;"",IF(ISNUMBER(FIND(",",Tabela1[[#This Row],[2]])),LEN(Tabela1[[#This Row],[2]])-LEN(SUBSTITUTE(Tabela1[[#This Row],[2]],",",""))+1,1),"")</f>
        <v/>
      </c>
      <c r="AB278" t="str">
        <f>IF(Tabela1[[#This Row],[3]]&lt;&gt;"",IF(ISNUMBER(FIND(",",Tabela1[[#This Row],[3]])),LEN(Tabela1[[#This Row],[3]])-LEN(SUBSTITUTE(Tabela1[[#This Row],[3]],",",""))+1,1),"")</f>
        <v/>
      </c>
      <c r="AC278">
        <f>IF(Tabela1[[#This Row],[4]]&lt;&gt;"",IF(ISNUMBER(FIND(",",Tabela1[[#This Row],[4]])),LEN(Tabela1[[#This Row],[4]])-LEN(SUBSTITUTE(Tabela1[[#This Row],[4]],",",""))+1,1),"")</f>
        <v>2</v>
      </c>
      <c r="AD278" t="str">
        <f>IF(Tabela1[[#This Row],[5]]&lt;&gt;"",IF(ISNUMBER(FIND(",",Tabela1[[#This Row],[5]])),LEN(Tabela1[[#This Row],[5]])-LEN(SUBSTITUTE(Tabela1[[#This Row],[5]],",",""))+1,1),"")</f>
        <v/>
      </c>
      <c r="AE278" t="str">
        <f>IF(Tabela1[[#This Row],[6]]&lt;&gt;"",IF(ISNUMBER(FIND(",",Tabela1[[#This Row],[6]])),LEN(Tabela1[[#This Row],[6]])-LEN(SUBSTITUTE(Tabela1[[#This Row],[6]],",",""))+1,1),"")</f>
        <v/>
      </c>
      <c r="AF278" t="str">
        <f>IF(Tabela1[[#This Row],[7]]&lt;&gt;"",IF(ISNUMBER(FIND(",",Tabela1[[#This Row],[7]])),LEN(Tabela1[[#This Row],[7]])-LEN(SUBSTITUTE(Tabela1[[#This Row],[7]],",",""))+1,1),"")</f>
        <v/>
      </c>
      <c r="AG278" t="str">
        <f>IF(Tabela1[[#This Row],[8]]&lt;&gt;"",IF(ISNUMBER(FIND(",",Tabela1[[#This Row],[8]])),LEN(Tabela1[[#This Row],[8]])-LEN(SUBSTITUTE(Tabela1[[#This Row],[8]],",",""))+1,1),"")</f>
        <v/>
      </c>
      <c r="AH278" t="str">
        <f>IF(Tabela1[[#This Row],[9]]&lt;&gt;"",IF(ISNUMBER(FIND(",",Tabela1[[#This Row],[9]])),LEN(Tabela1[[#This Row],[9]])-LEN(SUBSTITUTE(Tabela1[[#This Row],[9]],",",""))+1,1),"")</f>
        <v/>
      </c>
      <c r="AI278" t="str">
        <f>IF(Tabela1[[#This Row],[10]]&lt;&gt;"",IF(ISNUMBER(FIND(",",Tabela1[[#This Row],[10]])),LEN(Tabela1[[#This Row],[10]])-LEN(SUBSTITUTE(Tabela1[[#This Row],[10]],",",""))+1,1),"")</f>
        <v/>
      </c>
      <c r="AJ278" t="str">
        <f>IF(Tabela1[[#This Row],[11]]&lt;&gt;"",IF(ISNUMBER(FIND(",",Tabela1[[#This Row],[11]])),LEN(Tabela1[[#This Row],[11]])-LEN(SUBSTITUTE(Tabela1[[#This Row],[11]],",",""))+1,1),"")</f>
        <v/>
      </c>
      <c r="AK278" t="str">
        <f>IF(Tabela1[[#This Row],[12]]&lt;&gt;"",IF(ISNUMBER(FIND(",",Tabela1[[#This Row],[12]])),LEN(Tabela1[[#This Row],[12]])-LEN(SUBSTITUTE(Tabela1[[#This Row],[12]],",",""))+1,1),"")</f>
        <v/>
      </c>
      <c r="AL278" t="str">
        <f>IF(Tabela1[[#This Row],[13]]&lt;&gt;"",IF(ISNUMBER(FIND(",",Tabela1[[#This Row],[13]])),LEN(Tabela1[[#This Row],[13]])-LEN(SUBSTITUTE(Tabela1[[#This Row],[13]],",",""))+1,1),"")</f>
        <v/>
      </c>
      <c r="AM278" t="str">
        <f>IF(Tabela1[[#This Row],[14]]&lt;&gt;"",IF(ISNUMBER(FIND(",",Tabela1[[#This Row],[14]])),LEN(Tabela1[[#This Row],[14]])-LEN(SUBSTITUTE(Tabela1[[#This Row],[14]],",",""))+1,1),"")</f>
        <v/>
      </c>
      <c r="AN278" t="str">
        <f>IF(Tabela1[[#This Row],[15]]&lt;&gt;"",IF(ISNUMBER(FIND(",",Tabela1[[#This Row],[15]])),LEN(Tabela1[[#This Row],[15]])-LEN(SUBSTITUTE(Tabela1[[#This Row],[15]],",",""))+1,1),"")</f>
        <v/>
      </c>
      <c r="AO278" t="str">
        <f>IF(Tabela1[[#This Row],[16]]&lt;&gt;"",IF(ISNUMBER(FIND(",",Tabela1[[#This Row],[16]])),LEN(Tabela1[[#This Row],[16]])-LEN(SUBSTITUTE(Tabela1[[#This Row],[16]],",",""))+1,1),"")</f>
        <v/>
      </c>
      <c r="AP278" t="str">
        <f>IF(Tabela1[[#This Row],[17]]&lt;&gt;"",IF(ISNUMBER(FIND(",",Tabela1[[#This Row],[17]])),LEN(Tabela1[[#This Row],[17]])-LEN(SUBSTITUTE(Tabela1[[#This Row],[17]],",",""))+1,1),"")</f>
        <v/>
      </c>
      <c r="AQ278" t="str">
        <f>IF(Tabela1[[#This Row],[18]]&lt;&gt;"",IF(ISNUMBER(FIND(",",Tabela1[[#This Row],[18]])),LEN(Tabela1[[#This Row],[18]])-LEN(SUBSTITUTE(Tabela1[[#This Row],[18]],",",""))+1,1),"")</f>
        <v/>
      </c>
      <c r="AR278" s="13" t="str">
        <f>IF(Tabela1[[#This Row],[19_LENGTH]]&lt;&gt;"",IF(ISNUMBER(FIND(",",Tabela1[[#This Row],[19_LENGTH]])),LEN(Tabela1[[#This Row],[19_LENGTH]])-LEN(SUBSTITUTE(Tabela1[[#This Row],[19_LENGTH]],",",""))+1,1),"")</f>
        <v/>
      </c>
      <c r="AS278" s="21">
        <f>SUM(Tabela1[[#This Row],[1_]:[19_]])</f>
        <v>2</v>
      </c>
    </row>
    <row r="279" spans="1:45" x14ac:dyDescent="0.25">
      <c r="A279" s="27" t="s">
        <v>1322</v>
      </c>
      <c r="B279" s="19" t="s">
        <v>445</v>
      </c>
      <c r="C279" s="19">
        <v>180</v>
      </c>
      <c r="D279" s="19" t="s">
        <v>1300</v>
      </c>
      <c r="E279" s="20">
        <v>43495</v>
      </c>
      <c r="F279" s="19"/>
      <c r="G279" s="19"/>
      <c r="H279" s="19"/>
      <c r="I279" s="19"/>
      <c r="J279" s="19">
        <v>144</v>
      </c>
      <c r="K279" s="19"/>
      <c r="L279" s="19"/>
      <c r="M279" s="19"/>
      <c r="N279" s="19"/>
      <c r="O279" s="19"/>
      <c r="P279" s="19"/>
      <c r="Q279" s="19"/>
      <c r="R279" s="19"/>
      <c r="S279" s="19"/>
      <c r="T279" s="19"/>
      <c r="U279" s="19"/>
      <c r="V279" s="19"/>
      <c r="W279" s="19"/>
      <c r="X279" s="19"/>
      <c r="Y279" s="19"/>
      <c r="Z279" t="str">
        <f>IF(Tabela1[[#This Row],[1]]&lt;&gt;"",IF(ISNUMBER(FIND(",",Tabela1[[#This Row],[1]])),LEN(Tabela1[[#This Row],[1]])-LEN(SUBSTITUTE(Tabela1[[#This Row],[1]],",",""))+1,1),"")</f>
        <v/>
      </c>
      <c r="AA279" t="str">
        <f>IF(Tabela1[[#This Row],[2]]&lt;&gt;"",IF(ISNUMBER(FIND(",",Tabela1[[#This Row],[2]])),LEN(Tabela1[[#This Row],[2]])-LEN(SUBSTITUTE(Tabela1[[#This Row],[2]],",",""))+1,1),"")</f>
        <v/>
      </c>
      <c r="AB279" t="str">
        <f>IF(Tabela1[[#This Row],[3]]&lt;&gt;"",IF(ISNUMBER(FIND(",",Tabela1[[#This Row],[3]])),LEN(Tabela1[[#This Row],[3]])-LEN(SUBSTITUTE(Tabela1[[#This Row],[3]],",",""))+1,1),"")</f>
        <v/>
      </c>
      <c r="AC279" t="str">
        <f>IF(Tabela1[[#This Row],[4]]&lt;&gt;"",IF(ISNUMBER(FIND(",",Tabela1[[#This Row],[4]])),LEN(Tabela1[[#This Row],[4]])-LEN(SUBSTITUTE(Tabela1[[#This Row],[4]],",",""))+1,1),"")</f>
        <v/>
      </c>
      <c r="AD279">
        <f>IF(Tabela1[[#This Row],[5]]&lt;&gt;"",IF(ISNUMBER(FIND(",",Tabela1[[#This Row],[5]])),LEN(Tabela1[[#This Row],[5]])-LEN(SUBSTITUTE(Tabela1[[#This Row],[5]],",",""))+1,1),"")</f>
        <v>1</v>
      </c>
      <c r="AE279" t="str">
        <f>IF(Tabela1[[#This Row],[6]]&lt;&gt;"",IF(ISNUMBER(FIND(",",Tabela1[[#This Row],[6]])),LEN(Tabela1[[#This Row],[6]])-LEN(SUBSTITUTE(Tabela1[[#This Row],[6]],",",""))+1,1),"")</f>
        <v/>
      </c>
      <c r="AF279" t="str">
        <f>IF(Tabela1[[#This Row],[7]]&lt;&gt;"",IF(ISNUMBER(FIND(",",Tabela1[[#This Row],[7]])),LEN(Tabela1[[#This Row],[7]])-LEN(SUBSTITUTE(Tabela1[[#This Row],[7]],",",""))+1,1),"")</f>
        <v/>
      </c>
      <c r="AG279" t="str">
        <f>IF(Tabela1[[#This Row],[8]]&lt;&gt;"",IF(ISNUMBER(FIND(",",Tabela1[[#This Row],[8]])),LEN(Tabela1[[#This Row],[8]])-LEN(SUBSTITUTE(Tabela1[[#This Row],[8]],",",""))+1,1),"")</f>
        <v/>
      </c>
      <c r="AH279" t="str">
        <f>IF(Tabela1[[#This Row],[9]]&lt;&gt;"",IF(ISNUMBER(FIND(",",Tabela1[[#This Row],[9]])),LEN(Tabela1[[#This Row],[9]])-LEN(SUBSTITUTE(Tabela1[[#This Row],[9]],",",""))+1,1),"")</f>
        <v/>
      </c>
      <c r="AI279" t="str">
        <f>IF(Tabela1[[#This Row],[10]]&lt;&gt;"",IF(ISNUMBER(FIND(",",Tabela1[[#This Row],[10]])),LEN(Tabela1[[#This Row],[10]])-LEN(SUBSTITUTE(Tabela1[[#This Row],[10]],",",""))+1,1),"")</f>
        <v/>
      </c>
      <c r="AJ279" t="str">
        <f>IF(Tabela1[[#This Row],[11]]&lt;&gt;"",IF(ISNUMBER(FIND(",",Tabela1[[#This Row],[11]])),LEN(Tabela1[[#This Row],[11]])-LEN(SUBSTITUTE(Tabela1[[#This Row],[11]],",",""))+1,1),"")</f>
        <v/>
      </c>
      <c r="AK279" t="str">
        <f>IF(Tabela1[[#This Row],[12]]&lt;&gt;"",IF(ISNUMBER(FIND(",",Tabela1[[#This Row],[12]])),LEN(Tabela1[[#This Row],[12]])-LEN(SUBSTITUTE(Tabela1[[#This Row],[12]],",",""))+1,1),"")</f>
        <v/>
      </c>
      <c r="AL279" t="str">
        <f>IF(Tabela1[[#This Row],[13]]&lt;&gt;"",IF(ISNUMBER(FIND(",",Tabela1[[#This Row],[13]])),LEN(Tabela1[[#This Row],[13]])-LEN(SUBSTITUTE(Tabela1[[#This Row],[13]],",",""))+1,1),"")</f>
        <v/>
      </c>
      <c r="AM279" t="str">
        <f>IF(Tabela1[[#This Row],[14]]&lt;&gt;"",IF(ISNUMBER(FIND(",",Tabela1[[#This Row],[14]])),LEN(Tabela1[[#This Row],[14]])-LEN(SUBSTITUTE(Tabela1[[#This Row],[14]],",",""))+1,1),"")</f>
        <v/>
      </c>
      <c r="AN279" t="str">
        <f>IF(Tabela1[[#This Row],[15]]&lt;&gt;"",IF(ISNUMBER(FIND(",",Tabela1[[#This Row],[15]])),LEN(Tabela1[[#This Row],[15]])-LEN(SUBSTITUTE(Tabela1[[#This Row],[15]],",",""))+1,1),"")</f>
        <v/>
      </c>
      <c r="AO279" t="str">
        <f>IF(Tabela1[[#This Row],[16]]&lt;&gt;"",IF(ISNUMBER(FIND(",",Tabela1[[#This Row],[16]])),LEN(Tabela1[[#This Row],[16]])-LEN(SUBSTITUTE(Tabela1[[#This Row],[16]],",",""))+1,1),"")</f>
        <v/>
      </c>
      <c r="AP279" t="str">
        <f>IF(Tabela1[[#This Row],[17]]&lt;&gt;"",IF(ISNUMBER(FIND(",",Tabela1[[#This Row],[17]])),LEN(Tabela1[[#This Row],[17]])-LEN(SUBSTITUTE(Tabela1[[#This Row],[17]],",",""))+1,1),"")</f>
        <v/>
      </c>
      <c r="AQ279" t="str">
        <f>IF(Tabela1[[#This Row],[18]]&lt;&gt;"",IF(ISNUMBER(FIND(",",Tabela1[[#This Row],[18]])),LEN(Tabela1[[#This Row],[18]])-LEN(SUBSTITUTE(Tabela1[[#This Row],[18]],",",""))+1,1),"")</f>
        <v/>
      </c>
      <c r="AR279" s="13" t="str">
        <f>IF(Tabela1[[#This Row],[19_LENGTH]]&lt;&gt;"",IF(ISNUMBER(FIND(",",Tabela1[[#This Row],[19_LENGTH]])),LEN(Tabela1[[#This Row],[19_LENGTH]])-LEN(SUBSTITUTE(Tabela1[[#This Row],[19_LENGTH]],",",""))+1,1),"")</f>
        <v/>
      </c>
      <c r="AS279" s="21">
        <f>SUM(Tabela1[[#This Row],[1_]:[19_]])</f>
        <v>1</v>
      </c>
    </row>
    <row r="280" spans="1:45" x14ac:dyDescent="0.25">
      <c r="A280" s="27" t="s">
        <v>1322</v>
      </c>
      <c r="B280" s="19" t="s">
        <v>446</v>
      </c>
      <c r="C280" s="19">
        <v>200</v>
      </c>
      <c r="D280" s="19" t="s">
        <v>1300</v>
      </c>
      <c r="E280" s="20">
        <v>43495</v>
      </c>
      <c r="F280" s="19"/>
      <c r="G280" s="19"/>
      <c r="H280" s="19"/>
      <c r="I280" s="19">
        <v>128</v>
      </c>
      <c r="J280" s="19"/>
      <c r="K280" s="19"/>
      <c r="L280" s="19"/>
      <c r="M280" s="19"/>
      <c r="N280" s="19"/>
      <c r="O280" s="19"/>
      <c r="P280" s="19"/>
      <c r="Q280" s="19"/>
      <c r="R280" s="19"/>
      <c r="S280" s="19"/>
      <c r="T280" s="19"/>
      <c r="U280" s="19"/>
      <c r="V280" s="19"/>
      <c r="W280" s="19"/>
      <c r="X280" s="19"/>
      <c r="Y280" s="19"/>
      <c r="Z280" t="str">
        <f>IF(Tabela1[[#This Row],[1]]&lt;&gt;"",IF(ISNUMBER(FIND(",",Tabela1[[#This Row],[1]])),LEN(Tabela1[[#This Row],[1]])-LEN(SUBSTITUTE(Tabela1[[#This Row],[1]],",",""))+1,1),"")</f>
        <v/>
      </c>
      <c r="AA280" t="str">
        <f>IF(Tabela1[[#This Row],[2]]&lt;&gt;"",IF(ISNUMBER(FIND(",",Tabela1[[#This Row],[2]])),LEN(Tabela1[[#This Row],[2]])-LEN(SUBSTITUTE(Tabela1[[#This Row],[2]],",",""))+1,1),"")</f>
        <v/>
      </c>
      <c r="AB280" t="str">
        <f>IF(Tabela1[[#This Row],[3]]&lt;&gt;"",IF(ISNUMBER(FIND(",",Tabela1[[#This Row],[3]])),LEN(Tabela1[[#This Row],[3]])-LEN(SUBSTITUTE(Tabela1[[#This Row],[3]],",",""))+1,1),"")</f>
        <v/>
      </c>
      <c r="AC280">
        <f>IF(Tabela1[[#This Row],[4]]&lt;&gt;"",IF(ISNUMBER(FIND(",",Tabela1[[#This Row],[4]])),LEN(Tabela1[[#This Row],[4]])-LEN(SUBSTITUTE(Tabela1[[#This Row],[4]],",",""))+1,1),"")</f>
        <v>1</v>
      </c>
      <c r="AD280" t="str">
        <f>IF(Tabela1[[#This Row],[5]]&lt;&gt;"",IF(ISNUMBER(FIND(",",Tabela1[[#This Row],[5]])),LEN(Tabela1[[#This Row],[5]])-LEN(SUBSTITUTE(Tabela1[[#This Row],[5]],",",""))+1,1),"")</f>
        <v/>
      </c>
      <c r="AE280" t="str">
        <f>IF(Tabela1[[#This Row],[6]]&lt;&gt;"",IF(ISNUMBER(FIND(",",Tabela1[[#This Row],[6]])),LEN(Tabela1[[#This Row],[6]])-LEN(SUBSTITUTE(Tabela1[[#This Row],[6]],",",""))+1,1),"")</f>
        <v/>
      </c>
      <c r="AF280" t="str">
        <f>IF(Tabela1[[#This Row],[7]]&lt;&gt;"",IF(ISNUMBER(FIND(",",Tabela1[[#This Row],[7]])),LEN(Tabela1[[#This Row],[7]])-LEN(SUBSTITUTE(Tabela1[[#This Row],[7]],",",""))+1,1),"")</f>
        <v/>
      </c>
      <c r="AG280" t="str">
        <f>IF(Tabela1[[#This Row],[8]]&lt;&gt;"",IF(ISNUMBER(FIND(",",Tabela1[[#This Row],[8]])),LEN(Tabela1[[#This Row],[8]])-LEN(SUBSTITUTE(Tabela1[[#This Row],[8]],",",""))+1,1),"")</f>
        <v/>
      </c>
      <c r="AH280" t="str">
        <f>IF(Tabela1[[#This Row],[9]]&lt;&gt;"",IF(ISNUMBER(FIND(",",Tabela1[[#This Row],[9]])),LEN(Tabela1[[#This Row],[9]])-LEN(SUBSTITUTE(Tabela1[[#This Row],[9]],",",""))+1,1),"")</f>
        <v/>
      </c>
      <c r="AI280" t="str">
        <f>IF(Tabela1[[#This Row],[10]]&lt;&gt;"",IF(ISNUMBER(FIND(",",Tabela1[[#This Row],[10]])),LEN(Tabela1[[#This Row],[10]])-LEN(SUBSTITUTE(Tabela1[[#This Row],[10]],",",""))+1,1),"")</f>
        <v/>
      </c>
      <c r="AJ280" t="str">
        <f>IF(Tabela1[[#This Row],[11]]&lt;&gt;"",IF(ISNUMBER(FIND(",",Tabela1[[#This Row],[11]])),LEN(Tabela1[[#This Row],[11]])-LEN(SUBSTITUTE(Tabela1[[#This Row],[11]],",",""))+1,1),"")</f>
        <v/>
      </c>
      <c r="AK280" t="str">
        <f>IF(Tabela1[[#This Row],[12]]&lt;&gt;"",IF(ISNUMBER(FIND(",",Tabela1[[#This Row],[12]])),LEN(Tabela1[[#This Row],[12]])-LEN(SUBSTITUTE(Tabela1[[#This Row],[12]],",",""))+1,1),"")</f>
        <v/>
      </c>
      <c r="AL280" t="str">
        <f>IF(Tabela1[[#This Row],[13]]&lt;&gt;"",IF(ISNUMBER(FIND(",",Tabela1[[#This Row],[13]])),LEN(Tabela1[[#This Row],[13]])-LEN(SUBSTITUTE(Tabela1[[#This Row],[13]],",",""))+1,1),"")</f>
        <v/>
      </c>
      <c r="AM280" t="str">
        <f>IF(Tabela1[[#This Row],[14]]&lt;&gt;"",IF(ISNUMBER(FIND(",",Tabela1[[#This Row],[14]])),LEN(Tabela1[[#This Row],[14]])-LEN(SUBSTITUTE(Tabela1[[#This Row],[14]],",",""))+1,1),"")</f>
        <v/>
      </c>
      <c r="AN280" t="str">
        <f>IF(Tabela1[[#This Row],[15]]&lt;&gt;"",IF(ISNUMBER(FIND(",",Tabela1[[#This Row],[15]])),LEN(Tabela1[[#This Row],[15]])-LEN(SUBSTITUTE(Tabela1[[#This Row],[15]],",",""))+1,1),"")</f>
        <v/>
      </c>
      <c r="AO280" t="str">
        <f>IF(Tabela1[[#This Row],[16]]&lt;&gt;"",IF(ISNUMBER(FIND(",",Tabela1[[#This Row],[16]])),LEN(Tabela1[[#This Row],[16]])-LEN(SUBSTITUTE(Tabela1[[#This Row],[16]],",",""))+1,1),"")</f>
        <v/>
      </c>
      <c r="AP280" t="str">
        <f>IF(Tabela1[[#This Row],[17]]&lt;&gt;"",IF(ISNUMBER(FIND(",",Tabela1[[#This Row],[17]])),LEN(Tabela1[[#This Row],[17]])-LEN(SUBSTITUTE(Tabela1[[#This Row],[17]],",",""))+1,1),"")</f>
        <v/>
      </c>
      <c r="AQ280" t="str">
        <f>IF(Tabela1[[#This Row],[18]]&lt;&gt;"",IF(ISNUMBER(FIND(",",Tabela1[[#This Row],[18]])),LEN(Tabela1[[#This Row],[18]])-LEN(SUBSTITUTE(Tabela1[[#This Row],[18]],",",""))+1,1),"")</f>
        <v/>
      </c>
      <c r="AR280" s="13" t="str">
        <f>IF(Tabela1[[#This Row],[19_LENGTH]]&lt;&gt;"",IF(ISNUMBER(FIND(",",Tabela1[[#This Row],[19_LENGTH]])),LEN(Tabela1[[#This Row],[19_LENGTH]])-LEN(SUBSTITUTE(Tabela1[[#This Row],[19_LENGTH]],",",""))+1,1),"")</f>
        <v/>
      </c>
      <c r="AS280" s="21">
        <f>SUM(Tabela1[[#This Row],[1_]:[19_]])</f>
        <v>1</v>
      </c>
    </row>
    <row r="281" spans="1:45" x14ac:dyDescent="0.25">
      <c r="A281" s="27" t="s">
        <v>1322</v>
      </c>
      <c r="B281" s="19" t="s">
        <v>774</v>
      </c>
      <c r="C281" s="19">
        <v>214</v>
      </c>
      <c r="D281" s="19" t="s">
        <v>1314</v>
      </c>
      <c r="E281" s="20">
        <v>43495</v>
      </c>
      <c r="F281" s="19"/>
      <c r="G281" s="19"/>
      <c r="H281" s="19"/>
      <c r="I281" s="19">
        <v>55</v>
      </c>
      <c r="J281" s="19"/>
      <c r="K281" s="19">
        <v>57</v>
      </c>
      <c r="L281" s="19"/>
      <c r="M281" s="19"/>
      <c r="N281" s="19"/>
      <c r="O281" s="19"/>
      <c r="P281" s="19"/>
      <c r="Q281" s="19"/>
      <c r="R281" s="19"/>
      <c r="S281" s="19"/>
      <c r="T281" s="19"/>
      <c r="U281" s="19"/>
      <c r="V281" s="19"/>
      <c r="W281" s="19"/>
      <c r="X281" s="19"/>
      <c r="Y281" s="19"/>
      <c r="Z281" t="str">
        <f>IF(Tabela1[[#This Row],[1]]&lt;&gt;"",IF(ISNUMBER(FIND(",",Tabela1[[#This Row],[1]])),LEN(Tabela1[[#This Row],[1]])-LEN(SUBSTITUTE(Tabela1[[#This Row],[1]],",",""))+1,1),"")</f>
        <v/>
      </c>
      <c r="AA281" t="str">
        <f>IF(Tabela1[[#This Row],[2]]&lt;&gt;"",IF(ISNUMBER(FIND(",",Tabela1[[#This Row],[2]])),LEN(Tabela1[[#This Row],[2]])-LEN(SUBSTITUTE(Tabela1[[#This Row],[2]],",",""))+1,1),"")</f>
        <v/>
      </c>
      <c r="AB281" t="str">
        <f>IF(Tabela1[[#This Row],[3]]&lt;&gt;"",IF(ISNUMBER(FIND(",",Tabela1[[#This Row],[3]])),LEN(Tabela1[[#This Row],[3]])-LEN(SUBSTITUTE(Tabela1[[#This Row],[3]],",",""))+1,1),"")</f>
        <v/>
      </c>
      <c r="AC281">
        <f>IF(Tabela1[[#This Row],[4]]&lt;&gt;"",IF(ISNUMBER(FIND(",",Tabela1[[#This Row],[4]])),LEN(Tabela1[[#This Row],[4]])-LEN(SUBSTITUTE(Tabela1[[#This Row],[4]],",",""))+1,1),"")</f>
        <v>1</v>
      </c>
      <c r="AD281" t="str">
        <f>IF(Tabela1[[#This Row],[5]]&lt;&gt;"",IF(ISNUMBER(FIND(",",Tabela1[[#This Row],[5]])),LEN(Tabela1[[#This Row],[5]])-LEN(SUBSTITUTE(Tabela1[[#This Row],[5]],",",""))+1,1),"")</f>
        <v/>
      </c>
      <c r="AE281">
        <f>IF(Tabela1[[#This Row],[6]]&lt;&gt;"",IF(ISNUMBER(FIND(",",Tabela1[[#This Row],[6]])),LEN(Tabela1[[#This Row],[6]])-LEN(SUBSTITUTE(Tabela1[[#This Row],[6]],",",""))+1,1),"")</f>
        <v>1</v>
      </c>
      <c r="AF281" t="str">
        <f>IF(Tabela1[[#This Row],[7]]&lt;&gt;"",IF(ISNUMBER(FIND(",",Tabela1[[#This Row],[7]])),LEN(Tabela1[[#This Row],[7]])-LEN(SUBSTITUTE(Tabela1[[#This Row],[7]],",",""))+1,1),"")</f>
        <v/>
      </c>
      <c r="AG281" t="str">
        <f>IF(Tabela1[[#This Row],[8]]&lt;&gt;"",IF(ISNUMBER(FIND(",",Tabela1[[#This Row],[8]])),LEN(Tabela1[[#This Row],[8]])-LEN(SUBSTITUTE(Tabela1[[#This Row],[8]],",",""))+1,1),"")</f>
        <v/>
      </c>
      <c r="AH281" t="str">
        <f>IF(Tabela1[[#This Row],[9]]&lt;&gt;"",IF(ISNUMBER(FIND(",",Tabela1[[#This Row],[9]])),LEN(Tabela1[[#This Row],[9]])-LEN(SUBSTITUTE(Tabela1[[#This Row],[9]],",",""))+1,1),"")</f>
        <v/>
      </c>
      <c r="AI281" t="str">
        <f>IF(Tabela1[[#This Row],[10]]&lt;&gt;"",IF(ISNUMBER(FIND(",",Tabela1[[#This Row],[10]])),LEN(Tabela1[[#This Row],[10]])-LEN(SUBSTITUTE(Tabela1[[#This Row],[10]],",",""))+1,1),"")</f>
        <v/>
      </c>
      <c r="AJ281" t="str">
        <f>IF(Tabela1[[#This Row],[11]]&lt;&gt;"",IF(ISNUMBER(FIND(",",Tabela1[[#This Row],[11]])),LEN(Tabela1[[#This Row],[11]])-LEN(SUBSTITUTE(Tabela1[[#This Row],[11]],",",""))+1,1),"")</f>
        <v/>
      </c>
      <c r="AK281" t="str">
        <f>IF(Tabela1[[#This Row],[12]]&lt;&gt;"",IF(ISNUMBER(FIND(",",Tabela1[[#This Row],[12]])),LEN(Tabela1[[#This Row],[12]])-LEN(SUBSTITUTE(Tabela1[[#This Row],[12]],",",""))+1,1),"")</f>
        <v/>
      </c>
      <c r="AL281" t="str">
        <f>IF(Tabela1[[#This Row],[13]]&lt;&gt;"",IF(ISNUMBER(FIND(",",Tabela1[[#This Row],[13]])),LEN(Tabela1[[#This Row],[13]])-LEN(SUBSTITUTE(Tabela1[[#This Row],[13]],",",""))+1,1),"")</f>
        <v/>
      </c>
      <c r="AM281" t="str">
        <f>IF(Tabela1[[#This Row],[14]]&lt;&gt;"",IF(ISNUMBER(FIND(",",Tabela1[[#This Row],[14]])),LEN(Tabela1[[#This Row],[14]])-LEN(SUBSTITUTE(Tabela1[[#This Row],[14]],",",""))+1,1),"")</f>
        <v/>
      </c>
      <c r="AN281" t="str">
        <f>IF(Tabela1[[#This Row],[15]]&lt;&gt;"",IF(ISNUMBER(FIND(",",Tabela1[[#This Row],[15]])),LEN(Tabela1[[#This Row],[15]])-LEN(SUBSTITUTE(Tabela1[[#This Row],[15]],",",""))+1,1),"")</f>
        <v/>
      </c>
      <c r="AO281" t="str">
        <f>IF(Tabela1[[#This Row],[16]]&lt;&gt;"",IF(ISNUMBER(FIND(",",Tabela1[[#This Row],[16]])),LEN(Tabela1[[#This Row],[16]])-LEN(SUBSTITUTE(Tabela1[[#This Row],[16]],",",""))+1,1),"")</f>
        <v/>
      </c>
      <c r="AP281" t="str">
        <f>IF(Tabela1[[#This Row],[17]]&lt;&gt;"",IF(ISNUMBER(FIND(",",Tabela1[[#This Row],[17]])),LEN(Tabela1[[#This Row],[17]])-LEN(SUBSTITUTE(Tabela1[[#This Row],[17]],",",""))+1,1),"")</f>
        <v/>
      </c>
      <c r="AQ281" t="str">
        <f>IF(Tabela1[[#This Row],[18]]&lt;&gt;"",IF(ISNUMBER(FIND(",",Tabela1[[#This Row],[18]])),LEN(Tabela1[[#This Row],[18]])-LEN(SUBSTITUTE(Tabela1[[#This Row],[18]],",",""))+1,1),"")</f>
        <v/>
      </c>
      <c r="AR281" s="13" t="str">
        <f>IF(Tabela1[[#This Row],[19_LENGTH]]&lt;&gt;"",IF(ISNUMBER(FIND(",",Tabela1[[#This Row],[19_LENGTH]])),LEN(Tabela1[[#This Row],[19_LENGTH]])-LEN(SUBSTITUTE(Tabela1[[#This Row],[19_LENGTH]],",",""))+1,1),"")</f>
        <v/>
      </c>
      <c r="AS281" s="21">
        <f>SUM(Tabela1[[#This Row],[1_]:[19_]])</f>
        <v>2</v>
      </c>
    </row>
    <row r="282" spans="1:45" x14ac:dyDescent="0.25">
      <c r="A282" s="27" t="s">
        <v>1322</v>
      </c>
      <c r="B282" s="19" t="s">
        <v>775</v>
      </c>
      <c r="C282" s="19">
        <v>182</v>
      </c>
      <c r="D282" s="19" t="s">
        <v>1292</v>
      </c>
      <c r="E282" s="20">
        <v>43495</v>
      </c>
      <c r="F282" s="19"/>
      <c r="G282" s="19" t="s">
        <v>111</v>
      </c>
      <c r="H282" s="19" t="s">
        <v>112</v>
      </c>
      <c r="I282" s="19"/>
      <c r="J282" s="19"/>
      <c r="K282" s="19"/>
      <c r="L282" s="19"/>
      <c r="M282" s="19"/>
      <c r="N282" s="19"/>
      <c r="O282" s="19" t="s">
        <v>113</v>
      </c>
      <c r="P282" s="19"/>
      <c r="Q282" s="19"/>
      <c r="R282" s="19"/>
      <c r="S282" s="19"/>
      <c r="T282" s="19"/>
      <c r="U282" s="19"/>
      <c r="V282" s="19">
        <v>37</v>
      </c>
      <c r="W282" s="19"/>
      <c r="X282" s="19" t="s">
        <v>114</v>
      </c>
      <c r="Y282" s="19">
        <v>133</v>
      </c>
      <c r="Z282" t="str">
        <f>IF(Tabela1[[#This Row],[1]]&lt;&gt;"",IF(ISNUMBER(FIND(",",Tabela1[[#This Row],[1]])),LEN(Tabela1[[#This Row],[1]])-LEN(SUBSTITUTE(Tabela1[[#This Row],[1]],",",""))+1,1),"")</f>
        <v/>
      </c>
      <c r="AA282">
        <f>IF(Tabela1[[#This Row],[2]]&lt;&gt;"",IF(ISNUMBER(FIND(",",Tabela1[[#This Row],[2]])),LEN(Tabela1[[#This Row],[2]])-LEN(SUBSTITUTE(Tabela1[[#This Row],[2]],",",""))+1,1),"")</f>
        <v>2</v>
      </c>
      <c r="AB282">
        <f>IF(Tabela1[[#This Row],[3]]&lt;&gt;"",IF(ISNUMBER(FIND(",",Tabela1[[#This Row],[3]])),LEN(Tabela1[[#This Row],[3]])-LEN(SUBSTITUTE(Tabela1[[#This Row],[3]],",",""))+1,1),"")</f>
        <v>2</v>
      </c>
      <c r="AC282" t="str">
        <f>IF(Tabela1[[#This Row],[4]]&lt;&gt;"",IF(ISNUMBER(FIND(",",Tabela1[[#This Row],[4]])),LEN(Tabela1[[#This Row],[4]])-LEN(SUBSTITUTE(Tabela1[[#This Row],[4]],",",""))+1,1),"")</f>
        <v/>
      </c>
      <c r="AD282" t="str">
        <f>IF(Tabela1[[#This Row],[5]]&lt;&gt;"",IF(ISNUMBER(FIND(",",Tabela1[[#This Row],[5]])),LEN(Tabela1[[#This Row],[5]])-LEN(SUBSTITUTE(Tabela1[[#This Row],[5]],",",""))+1,1),"")</f>
        <v/>
      </c>
      <c r="AE282" t="str">
        <f>IF(Tabela1[[#This Row],[6]]&lt;&gt;"",IF(ISNUMBER(FIND(",",Tabela1[[#This Row],[6]])),LEN(Tabela1[[#This Row],[6]])-LEN(SUBSTITUTE(Tabela1[[#This Row],[6]],",",""))+1,1),"")</f>
        <v/>
      </c>
      <c r="AF282" t="str">
        <f>IF(Tabela1[[#This Row],[7]]&lt;&gt;"",IF(ISNUMBER(FIND(",",Tabela1[[#This Row],[7]])),LEN(Tabela1[[#This Row],[7]])-LEN(SUBSTITUTE(Tabela1[[#This Row],[7]],",",""))+1,1),"")</f>
        <v/>
      </c>
      <c r="AG282" t="str">
        <f>IF(Tabela1[[#This Row],[8]]&lt;&gt;"",IF(ISNUMBER(FIND(",",Tabela1[[#This Row],[8]])),LEN(Tabela1[[#This Row],[8]])-LEN(SUBSTITUTE(Tabela1[[#This Row],[8]],",",""))+1,1),"")</f>
        <v/>
      </c>
      <c r="AH282" t="str">
        <f>IF(Tabela1[[#This Row],[9]]&lt;&gt;"",IF(ISNUMBER(FIND(",",Tabela1[[#This Row],[9]])),LEN(Tabela1[[#This Row],[9]])-LEN(SUBSTITUTE(Tabela1[[#This Row],[9]],",",""))+1,1),"")</f>
        <v/>
      </c>
      <c r="AI282">
        <f>IF(Tabela1[[#This Row],[10]]&lt;&gt;"",IF(ISNUMBER(FIND(",",Tabela1[[#This Row],[10]])),LEN(Tabela1[[#This Row],[10]])-LEN(SUBSTITUTE(Tabela1[[#This Row],[10]],",",""))+1,1),"")</f>
        <v>1</v>
      </c>
      <c r="AJ282" t="str">
        <f>IF(Tabela1[[#This Row],[11]]&lt;&gt;"",IF(ISNUMBER(FIND(",",Tabela1[[#This Row],[11]])),LEN(Tabela1[[#This Row],[11]])-LEN(SUBSTITUTE(Tabela1[[#This Row],[11]],",",""))+1,1),"")</f>
        <v/>
      </c>
      <c r="AK282" t="str">
        <f>IF(Tabela1[[#This Row],[12]]&lt;&gt;"",IF(ISNUMBER(FIND(",",Tabela1[[#This Row],[12]])),LEN(Tabela1[[#This Row],[12]])-LEN(SUBSTITUTE(Tabela1[[#This Row],[12]],",",""))+1,1),"")</f>
        <v/>
      </c>
      <c r="AL282" t="str">
        <f>IF(Tabela1[[#This Row],[13]]&lt;&gt;"",IF(ISNUMBER(FIND(",",Tabela1[[#This Row],[13]])),LEN(Tabela1[[#This Row],[13]])-LEN(SUBSTITUTE(Tabela1[[#This Row],[13]],",",""))+1,1),"")</f>
        <v/>
      </c>
      <c r="AM282" t="str">
        <f>IF(Tabela1[[#This Row],[14]]&lt;&gt;"",IF(ISNUMBER(FIND(",",Tabela1[[#This Row],[14]])),LEN(Tabela1[[#This Row],[14]])-LEN(SUBSTITUTE(Tabela1[[#This Row],[14]],",",""))+1,1),"")</f>
        <v/>
      </c>
      <c r="AN282" t="str">
        <f>IF(Tabela1[[#This Row],[15]]&lt;&gt;"",IF(ISNUMBER(FIND(",",Tabela1[[#This Row],[15]])),LEN(Tabela1[[#This Row],[15]])-LEN(SUBSTITUTE(Tabela1[[#This Row],[15]],",",""))+1,1),"")</f>
        <v/>
      </c>
      <c r="AO282" t="str">
        <f>IF(Tabela1[[#This Row],[16]]&lt;&gt;"",IF(ISNUMBER(FIND(",",Tabela1[[#This Row],[16]])),LEN(Tabela1[[#This Row],[16]])-LEN(SUBSTITUTE(Tabela1[[#This Row],[16]],",",""))+1,1),"")</f>
        <v/>
      </c>
      <c r="AP282">
        <f>IF(Tabela1[[#This Row],[17]]&lt;&gt;"",IF(ISNUMBER(FIND(",",Tabela1[[#This Row],[17]])),LEN(Tabela1[[#This Row],[17]])-LEN(SUBSTITUTE(Tabela1[[#This Row],[17]],",",""))+1,1),"")</f>
        <v>1</v>
      </c>
      <c r="AQ282" t="str">
        <f>IF(Tabela1[[#This Row],[18]]&lt;&gt;"",IF(ISNUMBER(FIND(",",Tabela1[[#This Row],[18]])),LEN(Tabela1[[#This Row],[18]])-LEN(SUBSTITUTE(Tabela1[[#This Row],[18]],",",""))+1,1),"")</f>
        <v/>
      </c>
      <c r="AR282" s="13">
        <f>IF(Tabela1[[#This Row],[19_LENGTH]]&lt;&gt;"",IF(ISNUMBER(FIND(",",Tabela1[[#This Row],[19_LENGTH]])),LEN(Tabela1[[#This Row],[19_LENGTH]])-LEN(SUBSTITUTE(Tabela1[[#This Row],[19_LENGTH]],",",""))+1,1),"")</f>
        <v>1</v>
      </c>
      <c r="AS282" s="21">
        <f>SUM(Tabela1[[#This Row],[1_]:[19_]])</f>
        <v>7</v>
      </c>
    </row>
    <row r="283" spans="1:45" x14ac:dyDescent="0.25">
      <c r="A283" s="27" t="s">
        <v>1322</v>
      </c>
      <c r="B283" s="19" t="s">
        <v>776</v>
      </c>
      <c r="C283" s="19">
        <v>202</v>
      </c>
      <c r="D283" s="19" t="s">
        <v>1292</v>
      </c>
      <c r="E283" s="20">
        <v>43495</v>
      </c>
      <c r="F283" s="19"/>
      <c r="G283" s="19" t="s">
        <v>115</v>
      </c>
      <c r="H283" s="19" t="s">
        <v>116</v>
      </c>
      <c r="I283" s="19"/>
      <c r="J283" s="19"/>
      <c r="K283" s="19"/>
      <c r="L283" s="19"/>
      <c r="M283" s="19"/>
      <c r="N283" s="19"/>
      <c r="O283" s="19"/>
      <c r="P283" s="19"/>
      <c r="Q283" s="19"/>
      <c r="R283" s="19"/>
      <c r="S283" s="19"/>
      <c r="T283" s="19"/>
      <c r="U283" s="19"/>
      <c r="V283" s="19"/>
      <c r="W283" s="19"/>
      <c r="X283" s="19" t="s">
        <v>114</v>
      </c>
      <c r="Y283" s="19">
        <v>123</v>
      </c>
      <c r="Z283" t="str">
        <f>IF(Tabela1[[#This Row],[1]]&lt;&gt;"",IF(ISNUMBER(FIND(",",Tabela1[[#This Row],[1]])),LEN(Tabela1[[#This Row],[1]])-LEN(SUBSTITUTE(Tabela1[[#This Row],[1]],",",""))+1,1),"")</f>
        <v/>
      </c>
      <c r="AA283">
        <f>IF(Tabela1[[#This Row],[2]]&lt;&gt;"",IF(ISNUMBER(FIND(",",Tabela1[[#This Row],[2]])),LEN(Tabela1[[#This Row],[2]])-LEN(SUBSTITUTE(Tabela1[[#This Row],[2]],",",""))+1,1),"")</f>
        <v>2</v>
      </c>
      <c r="AB283">
        <f>IF(Tabela1[[#This Row],[3]]&lt;&gt;"",IF(ISNUMBER(FIND(",",Tabela1[[#This Row],[3]])),LEN(Tabela1[[#This Row],[3]])-LEN(SUBSTITUTE(Tabela1[[#This Row],[3]],",",""))+1,1),"")</f>
        <v>1</v>
      </c>
      <c r="AC283" t="str">
        <f>IF(Tabela1[[#This Row],[4]]&lt;&gt;"",IF(ISNUMBER(FIND(",",Tabela1[[#This Row],[4]])),LEN(Tabela1[[#This Row],[4]])-LEN(SUBSTITUTE(Tabela1[[#This Row],[4]],",",""))+1,1),"")</f>
        <v/>
      </c>
      <c r="AD283" t="str">
        <f>IF(Tabela1[[#This Row],[5]]&lt;&gt;"",IF(ISNUMBER(FIND(",",Tabela1[[#This Row],[5]])),LEN(Tabela1[[#This Row],[5]])-LEN(SUBSTITUTE(Tabela1[[#This Row],[5]],",",""))+1,1),"")</f>
        <v/>
      </c>
      <c r="AE283" t="str">
        <f>IF(Tabela1[[#This Row],[6]]&lt;&gt;"",IF(ISNUMBER(FIND(",",Tabela1[[#This Row],[6]])),LEN(Tabela1[[#This Row],[6]])-LEN(SUBSTITUTE(Tabela1[[#This Row],[6]],",",""))+1,1),"")</f>
        <v/>
      </c>
      <c r="AF283" t="str">
        <f>IF(Tabela1[[#This Row],[7]]&lt;&gt;"",IF(ISNUMBER(FIND(",",Tabela1[[#This Row],[7]])),LEN(Tabela1[[#This Row],[7]])-LEN(SUBSTITUTE(Tabela1[[#This Row],[7]],",",""))+1,1),"")</f>
        <v/>
      </c>
      <c r="AG283" t="str">
        <f>IF(Tabela1[[#This Row],[8]]&lt;&gt;"",IF(ISNUMBER(FIND(",",Tabela1[[#This Row],[8]])),LEN(Tabela1[[#This Row],[8]])-LEN(SUBSTITUTE(Tabela1[[#This Row],[8]],",",""))+1,1),"")</f>
        <v/>
      </c>
      <c r="AH283" t="str">
        <f>IF(Tabela1[[#This Row],[9]]&lt;&gt;"",IF(ISNUMBER(FIND(",",Tabela1[[#This Row],[9]])),LEN(Tabela1[[#This Row],[9]])-LEN(SUBSTITUTE(Tabela1[[#This Row],[9]],",",""))+1,1),"")</f>
        <v/>
      </c>
      <c r="AI283" t="str">
        <f>IF(Tabela1[[#This Row],[10]]&lt;&gt;"",IF(ISNUMBER(FIND(",",Tabela1[[#This Row],[10]])),LEN(Tabela1[[#This Row],[10]])-LEN(SUBSTITUTE(Tabela1[[#This Row],[10]],",",""))+1,1),"")</f>
        <v/>
      </c>
      <c r="AJ283" t="str">
        <f>IF(Tabela1[[#This Row],[11]]&lt;&gt;"",IF(ISNUMBER(FIND(",",Tabela1[[#This Row],[11]])),LEN(Tabela1[[#This Row],[11]])-LEN(SUBSTITUTE(Tabela1[[#This Row],[11]],",",""))+1,1),"")</f>
        <v/>
      </c>
      <c r="AK283" t="str">
        <f>IF(Tabela1[[#This Row],[12]]&lt;&gt;"",IF(ISNUMBER(FIND(",",Tabela1[[#This Row],[12]])),LEN(Tabela1[[#This Row],[12]])-LEN(SUBSTITUTE(Tabela1[[#This Row],[12]],",",""))+1,1),"")</f>
        <v/>
      </c>
      <c r="AL283" t="str">
        <f>IF(Tabela1[[#This Row],[13]]&lt;&gt;"",IF(ISNUMBER(FIND(",",Tabela1[[#This Row],[13]])),LEN(Tabela1[[#This Row],[13]])-LEN(SUBSTITUTE(Tabela1[[#This Row],[13]],",",""))+1,1),"")</f>
        <v/>
      </c>
      <c r="AM283" t="str">
        <f>IF(Tabela1[[#This Row],[14]]&lt;&gt;"",IF(ISNUMBER(FIND(",",Tabela1[[#This Row],[14]])),LEN(Tabela1[[#This Row],[14]])-LEN(SUBSTITUTE(Tabela1[[#This Row],[14]],",",""))+1,1),"")</f>
        <v/>
      </c>
      <c r="AN283" t="str">
        <f>IF(Tabela1[[#This Row],[15]]&lt;&gt;"",IF(ISNUMBER(FIND(",",Tabela1[[#This Row],[15]])),LEN(Tabela1[[#This Row],[15]])-LEN(SUBSTITUTE(Tabela1[[#This Row],[15]],",",""))+1,1),"")</f>
        <v/>
      </c>
      <c r="AO283" t="str">
        <f>IF(Tabela1[[#This Row],[16]]&lt;&gt;"",IF(ISNUMBER(FIND(",",Tabela1[[#This Row],[16]])),LEN(Tabela1[[#This Row],[16]])-LEN(SUBSTITUTE(Tabela1[[#This Row],[16]],",",""))+1,1),"")</f>
        <v/>
      </c>
      <c r="AP283" t="str">
        <f>IF(Tabela1[[#This Row],[17]]&lt;&gt;"",IF(ISNUMBER(FIND(",",Tabela1[[#This Row],[17]])),LEN(Tabela1[[#This Row],[17]])-LEN(SUBSTITUTE(Tabela1[[#This Row],[17]],",",""))+1,1),"")</f>
        <v/>
      </c>
      <c r="AQ283" t="str">
        <f>IF(Tabela1[[#This Row],[18]]&lt;&gt;"",IF(ISNUMBER(FIND(",",Tabela1[[#This Row],[18]])),LEN(Tabela1[[#This Row],[18]])-LEN(SUBSTITUTE(Tabela1[[#This Row],[18]],",",""))+1,1),"")</f>
        <v/>
      </c>
      <c r="AR283" s="13">
        <f>IF(Tabela1[[#This Row],[19_LENGTH]]&lt;&gt;"",IF(ISNUMBER(FIND(",",Tabela1[[#This Row],[19_LENGTH]])),LEN(Tabela1[[#This Row],[19_LENGTH]])-LEN(SUBSTITUTE(Tabela1[[#This Row],[19_LENGTH]],",",""))+1,1),"")</f>
        <v>1</v>
      </c>
      <c r="AS283" s="21">
        <f>SUM(Tabela1[[#This Row],[1_]:[19_]])</f>
        <v>4</v>
      </c>
    </row>
    <row r="284" spans="1:45" x14ac:dyDescent="0.25">
      <c r="A284" s="27" t="s">
        <v>1322</v>
      </c>
      <c r="B284" s="19" t="s">
        <v>777</v>
      </c>
      <c r="C284" s="19">
        <v>202</v>
      </c>
      <c r="D284" s="19" t="s">
        <v>1296</v>
      </c>
      <c r="E284" s="20">
        <v>43495</v>
      </c>
      <c r="F284" s="19"/>
      <c r="G284" s="19"/>
      <c r="H284" s="19"/>
      <c r="I284" s="19">
        <v>160</v>
      </c>
      <c r="J284" s="19"/>
      <c r="K284" s="19"/>
      <c r="L284" s="19"/>
      <c r="M284" s="19"/>
      <c r="N284" s="19"/>
      <c r="O284" s="19"/>
      <c r="P284" s="19"/>
      <c r="Q284" s="19"/>
      <c r="R284" s="19"/>
      <c r="S284" s="19"/>
      <c r="T284" s="19"/>
      <c r="U284" s="19"/>
      <c r="V284" s="19"/>
      <c r="W284" s="19"/>
      <c r="X284" s="19"/>
      <c r="Y284" s="19"/>
      <c r="Z284" t="str">
        <f>IF(Tabela1[[#This Row],[1]]&lt;&gt;"",IF(ISNUMBER(FIND(",",Tabela1[[#This Row],[1]])),LEN(Tabela1[[#This Row],[1]])-LEN(SUBSTITUTE(Tabela1[[#This Row],[1]],",",""))+1,1),"")</f>
        <v/>
      </c>
      <c r="AA284" t="str">
        <f>IF(Tabela1[[#This Row],[2]]&lt;&gt;"",IF(ISNUMBER(FIND(",",Tabela1[[#This Row],[2]])),LEN(Tabela1[[#This Row],[2]])-LEN(SUBSTITUTE(Tabela1[[#This Row],[2]],",",""))+1,1),"")</f>
        <v/>
      </c>
      <c r="AB284" t="str">
        <f>IF(Tabela1[[#This Row],[3]]&lt;&gt;"",IF(ISNUMBER(FIND(",",Tabela1[[#This Row],[3]])),LEN(Tabela1[[#This Row],[3]])-LEN(SUBSTITUTE(Tabela1[[#This Row],[3]],",",""))+1,1),"")</f>
        <v/>
      </c>
      <c r="AC284">
        <f>IF(Tabela1[[#This Row],[4]]&lt;&gt;"",IF(ISNUMBER(FIND(",",Tabela1[[#This Row],[4]])),LEN(Tabela1[[#This Row],[4]])-LEN(SUBSTITUTE(Tabela1[[#This Row],[4]],",",""))+1,1),"")</f>
        <v>1</v>
      </c>
      <c r="AD284" t="str">
        <f>IF(Tabela1[[#This Row],[5]]&lt;&gt;"",IF(ISNUMBER(FIND(",",Tabela1[[#This Row],[5]])),LEN(Tabela1[[#This Row],[5]])-LEN(SUBSTITUTE(Tabela1[[#This Row],[5]],",",""))+1,1),"")</f>
        <v/>
      </c>
      <c r="AE284" t="str">
        <f>IF(Tabela1[[#This Row],[6]]&lt;&gt;"",IF(ISNUMBER(FIND(",",Tabela1[[#This Row],[6]])),LEN(Tabela1[[#This Row],[6]])-LEN(SUBSTITUTE(Tabela1[[#This Row],[6]],",",""))+1,1),"")</f>
        <v/>
      </c>
      <c r="AF284" t="str">
        <f>IF(Tabela1[[#This Row],[7]]&lt;&gt;"",IF(ISNUMBER(FIND(",",Tabela1[[#This Row],[7]])),LEN(Tabela1[[#This Row],[7]])-LEN(SUBSTITUTE(Tabela1[[#This Row],[7]],",",""))+1,1),"")</f>
        <v/>
      </c>
      <c r="AG284" t="str">
        <f>IF(Tabela1[[#This Row],[8]]&lt;&gt;"",IF(ISNUMBER(FIND(",",Tabela1[[#This Row],[8]])),LEN(Tabela1[[#This Row],[8]])-LEN(SUBSTITUTE(Tabela1[[#This Row],[8]],",",""))+1,1),"")</f>
        <v/>
      </c>
      <c r="AH284" t="str">
        <f>IF(Tabela1[[#This Row],[9]]&lt;&gt;"",IF(ISNUMBER(FIND(",",Tabela1[[#This Row],[9]])),LEN(Tabela1[[#This Row],[9]])-LEN(SUBSTITUTE(Tabela1[[#This Row],[9]],",",""))+1,1),"")</f>
        <v/>
      </c>
      <c r="AI284" t="str">
        <f>IF(Tabela1[[#This Row],[10]]&lt;&gt;"",IF(ISNUMBER(FIND(",",Tabela1[[#This Row],[10]])),LEN(Tabela1[[#This Row],[10]])-LEN(SUBSTITUTE(Tabela1[[#This Row],[10]],",",""))+1,1),"")</f>
        <v/>
      </c>
      <c r="AJ284" t="str">
        <f>IF(Tabela1[[#This Row],[11]]&lt;&gt;"",IF(ISNUMBER(FIND(",",Tabela1[[#This Row],[11]])),LEN(Tabela1[[#This Row],[11]])-LEN(SUBSTITUTE(Tabela1[[#This Row],[11]],",",""))+1,1),"")</f>
        <v/>
      </c>
      <c r="AK284" t="str">
        <f>IF(Tabela1[[#This Row],[12]]&lt;&gt;"",IF(ISNUMBER(FIND(",",Tabela1[[#This Row],[12]])),LEN(Tabela1[[#This Row],[12]])-LEN(SUBSTITUTE(Tabela1[[#This Row],[12]],",",""))+1,1),"")</f>
        <v/>
      </c>
      <c r="AL284" t="str">
        <f>IF(Tabela1[[#This Row],[13]]&lt;&gt;"",IF(ISNUMBER(FIND(",",Tabela1[[#This Row],[13]])),LEN(Tabela1[[#This Row],[13]])-LEN(SUBSTITUTE(Tabela1[[#This Row],[13]],",",""))+1,1),"")</f>
        <v/>
      </c>
      <c r="AM284" t="str">
        <f>IF(Tabela1[[#This Row],[14]]&lt;&gt;"",IF(ISNUMBER(FIND(",",Tabela1[[#This Row],[14]])),LEN(Tabela1[[#This Row],[14]])-LEN(SUBSTITUTE(Tabela1[[#This Row],[14]],",",""))+1,1),"")</f>
        <v/>
      </c>
      <c r="AN284" t="str">
        <f>IF(Tabela1[[#This Row],[15]]&lt;&gt;"",IF(ISNUMBER(FIND(",",Tabela1[[#This Row],[15]])),LEN(Tabela1[[#This Row],[15]])-LEN(SUBSTITUTE(Tabela1[[#This Row],[15]],",",""))+1,1),"")</f>
        <v/>
      </c>
      <c r="AO284" t="str">
        <f>IF(Tabela1[[#This Row],[16]]&lt;&gt;"",IF(ISNUMBER(FIND(",",Tabela1[[#This Row],[16]])),LEN(Tabela1[[#This Row],[16]])-LEN(SUBSTITUTE(Tabela1[[#This Row],[16]],",",""))+1,1),"")</f>
        <v/>
      </c>
      <c r="AP284" t="str">
        <f>IF(Tabela1[[#This Row],[17]]&lt;&gt;"",IF(ISNUMBER(FIND(",",Tabela1[[#This Row],[17]])),LEN(Tabela1[[#This Row],[17]])-LEN(SUBSTITUTE(Tabela1[[#This Row],[17]],",",""))+1,1),"")</f>
        <v/>
      </c>
      <c r="AQ284" t="str">
        <f>IF(Tabela1[[#This Row],[18]]&lt;&gt;"",IF(ISNUMBER(FIND(",",Tabela1[[#This Row],[18]])),LEN(Tabela1[[#This Row],[18]])-LEN(SUBSTITUTE(Tabela1[[#This Row],[18]],",",""))+1,1),"")</f>
        <v/>
      </c>
      <c r="AR284" s="13" t="str">
        <f>IF(Tabela1[[#This Row],[19_LENGTH]]&lt;&gt;"",IF(ISNUMBER(FIND(",",Tabela1[[#This Row],[19_LENGTH]])),LEN(Tabela1[[#This Row],[19_LENGTH]])-LEN(SUBSTITUTE(Tabela1[[#This Row],[19_LENGTH]],",",""))+1,1),"")</f>
        <v/>
      </c>
      <c r="AS284" s="21">
        <f>SUM(Tabela1[[#This Row],[1_]:[19_]])</f>
        <v>1</v>
      </c>
    </row>
    <row r="285" spans="1:45" x14ac:dyDescent="0.25">
      <c r="A285" s="27" t="s">
        <v>1322</v>
      </c>
      <c r="B285" s="19" t="s">
        <v>778</v>
      </c>
      <c r="C285" s="19">
        <v>202</v>
      </c>
      <c r="D285" s="19" t="s">
        <v>1296</v>
      </c>
      <c r="E285" s="20">
        <v>43495</v>
      </c>
      <c r="F285" s="19"/>
      <c r="G285" s="19"/>
      <c r="H285" s="19"/>
      <c r="I285" s="19">
        <v>181</v>
      </c>
      <c r="J285" s="19"/>
      <c r="K285" s="19"/>
      <c r="L285" s="19"/>
      <c r="M285" s="19"/>
      <c r="N285" s="19"/>
      <c r="O285" s="19"/>
      <c r="P285" s="19"/>
      <c r="Q285" s="19"/>
      <c r="R285" s="19"/>
      <c r="S285" s="19"/>
      <c r="T285" s="19"/>
      <c r="U285" s="19"/>
      <c r="V285" s="19"/>
      <c r="W285" s="19"/>
      <c r="X285" s="19"/>
      <c r="Y285" s="19"/>
      <c r="Z285" t="str">
        <f>IF(Tabela1[[#This Row],[1]]&lt;&gt;"",IF(ISNUMBER(FIND(",",Tabela1[[#This Row],[1]])),LEN(Tabela1[[#This Row],[1]])-LEN(SUBSTITUTE(Tabela1[[#This Row],[1]],",",""))+1,1),"")</f>
        <v/>
      </c>
      <c r="AA285" t="str">
        <f>IF(Tabela1[[#This Row],[2]]&lt;&gt;"",IF(ISNUMBER(FIND(",",Tabela1[[#This Row],[2]])),LEN(Tabela1[[#This Row],[2]])-LEN(SUBSTITUTE(Tabela1[[#This Row],[2]],",",""))+1,1),"")</f>
        <v/>
      </c>
      <c r="AB285" t="str">
        <f>IF(Tabela1[[#This Row],[3]]&lt;&gt;"",IF(ISNUMBER(FIND(",",Tabela1[[#This Row],[3]])),LEN(Tabela1[[#This Row],[3]])-LEN(SUBSTITUTE(Tabela1[[#This Row],[3]],",",""))+1,1),"")</f>
        <v/>
      </c>
      <c r="AC285">
        <f>IF(Tabela1[[#This Row],[4]]&lt;&gt;"",IF(ISNUMBER(FIND(",",Tabela1[[#This Row],[4]])),LEN(Tabela1[[#This Row],[4]])-LEN(SUBSTITUTE(Tabela1[[#This Row],[4]],",",""))+1,1),"")</f>
        <v>1</v>
      </c>
      <c r="AD285" t="str">
        <f>IF(Tabela1[[#This Row],[5]]&lt;&gt;"",IF(ISNUMBER(FIND(",",Tabela1[[#This Row],[5]])),LEN(Tabela1[[#This Row],[5]])-LEN(SUBSTITUTE(Tabela1[[#This Row],[5]],",",""))+1,1),"")</f>
        <v/>
      </c>
      <c r="AE285" t="str">
        <f>IF(Tabela1[[#This Row],[6]]&lt;&gt;"",IF(ISNUMBER(FIND(",",Tabela1[[#This Row],[6]])),LEN(Tabela1[[#This Row],[6]])-LEN(SUBSTITUTE(Tabela1[[#This Row],[6]],",",""))+1,1),"")</f>
        <v/>
      </c>
      <c r="AF285" t="str">
        <f>IF(Tabela1[[#This Row],[7]]&lt;&gt;"",IF(ISNUMBER(FIND(",",Tabela1[[#This Row],[7]])),LEN(Tabela1[[#This Row],[7]])-LEN(SUBSTITUTE(Tabela1[[#This Row],[7]],",",""))+1,1),"")</f>
        <v/>
      </c>
      <c r="AG285" t="str">
        <f>IF(Tabela1[[#This Row],[8]]&lt;&gt;"",IF(ISNUMBER(FIND(",",Tabela1[[#This Row],[8]])),LEN(Tabela1[[#This Row],[8]])-LEN(SUBSTITUTE(Tabela1[[#This Row],[8]],",",""))+1,1),"")</f>
        <v/>
      </c>
      <c r="AH285" t="str">
        <f>IF(Tabela1[[#This Row],[9]]&lt;&gt;"",IF(ISNUMBER(FIND(",",Tabela1[[#This Row],[9]])),LEN(Tabela1[[#This Row],[9]])-LEN(SUBSTITUTE(Tabela1[[#This Row],[9]],",",""))+1,1),"")</f>
        <v/>
      </c>
      <c r="AI285" t="str">
        <f>IF(Tabela1[[#This Row],[10]]&lt;&gt;"",IF(ISNUMBER(FIND(",",Tabela1[[#This Row],[10]])),LEN(Tabela1[[#This Row],[10]])-LEN(SUBSTITUTE(Tabela1[[#This Row],[10]],",",""))+1,1),"")</f>
        <v/>
      </c>
      <c r="AJ285" t="str">
        <f>IF(Tabela1[[#This Row],[11]]&lt;&gt;"",IF(ISNUMBER(FIND(",",Tabela1[[#This Row],[11]])),LEN(Tabela1[[#This Row],[11]])-LEN(SUBSTITUTE(Tabela1[[#This Row],[11]],",",""))+1,1),"")</f>
        <v/>
      </c>
      <c r="AK285" t="str">
        <f>IF(Tabela1[[#This Row],[12]]&lt;&gt;"",IF(ISNUMBER(FIND(",",Tabela1[[#This Row],[12]])),LEN(Tabela1[[#This Row],[12]])-LEN(SUBSTITUTE(Tabela1[[#This Row],[12]],",",""))+1,1),"")</f>
        <v/>
      </c>
      <c r="AL285" t="str">
        <f>IF(Tabela1[[#This Row],[13]]&lt;&gt;"",IF(ISNUMBER(FIND(",",Tabela1[[#This Row],[13]])),LEN(Tabela1[[#This Row],[13]])-LEN(SUBSTITUTE(Tabela1[[#This Row],[13]],",",""))+1,1),"")</f>
        <v/>
      </c>
      <c r="AM285" t="str">
        <f>IF(Tabela1[[#This Row],[14]]&lt;&gt;"",IF(ISNUMBER(FIND(",",Tabela1[[#This Row],[14]])),LEN(Tabela1[[#This Row],[14]])-LEN(SUBSTITUTE(Tabela1[[#This Row],[14]],",",""))+1,1),"")</f>
        <v/>
      </c>
      <c r="AN285" t="str">
        <f>IF(Tabela1[[#This Row],[15]]&lt;&gt;"",IF(ISNUMBER(FIND(",",Tabela1[[#This Row],[15]])),LEN(Tabela1[[#This Row],[15]])-LEN(SUBSTITUTE(Tabela1[[#This Row],[15]],",",""))+1,1),"")</f>
        <v/>
      </c>
      <c r="AO285" t="str">
        <f>IF(Tabela1[[#This Row],[16]]&lt;&gt;"",IF(ISNUMBER(FIND(",",Tabela1[[#This Row],[16]])),LEN(Tabela1[[#This Row],[16]])-LEN(SUBSTITUTE(Tabela1[[#This Row],[16]],",",""))+1,1),"")</f>
        <v/>
      </c>
      <c r="AP285" t="str">
        <f>IF(Tabela1[[#This Row],[17]]&lt;&gt;"",IF(ISNUMBER(FIND(",",Tabela1[[#This Row],[17]])),LEN(Tabela1[[#This Row],[17]])-LEN(SUBSTITUTE(Tabela1[[#This Row],[17]],",",""))+1,1),"")</f>
        <v/>
      </c>
      <c r="AQ285" t="str">
        <f>IF(Tabela1[[#This Row],[18]]&lt;&gt;"",IF(ISNUMBER(FIND(",",Tabela1[[#This Row],[18]])),LEN(Tabela1[[#This Row],[18]])-LEN(SUBSTITUTE(Tabela1[[#This Row],[18]],",",""))+1,1),"")</f>
        <v/>
      </c>
      <c r="AR285" s="13" t="str">
        <f>IF(Tabela1[[#This Row],[19_LENGTH]]&lt;&gt;"",IF(ISNUMBER(FIND(",",Tabela1[[#This Row],[19_LENGTH]])),LEN(Tabela1[[#This Row],[19_LENGTH]])-LEN(SUBSTITUTE(Tabela1[[#This Row],[19_LENGTH]],",",""))+1,1),"")</f>
        <v/>
      </c>
      <c r="AS285" s="21">
        <f>SUM(Tabela1[[#This Row],[1_]:[19_]])</f>
        <v>1</v>
      </c>
    </row>
    <row r="286" spans="1:45" x14ac:dyDescent="0.25">
      <c r="A286" s="27" t="s">
        <v>1322</v>
      </c>
      <c r="B286" s="19" t="s">
        <v>779</v>
      </c>
      <c r="C286" s="19">
        <v>216</v>
      </c>
      <c r="D286" s="19" t="s">
        <v>1315</v>
      </c>
      <c r="E286" s="20">
        <v>43494</v>
      </c>
      <c r="F286" s="19"/>
      <c r="G286" s="19"/>
      <c r="H286" s="19"/>
      <c r="I286" s="19"/>
      <c r="J286" s="19"/>
      <c r="K286" s="19"/>
      <c r="L286" s="19"/>
      <c r="M286" s="19">
        <v>56</v>
      </c>
      <c r="N286" s="19"/>
      <c r="O286" s="19"/>
      <c r="P286" s="19"/>
      <c r="Q286" s="19"/>
      <c r="R286" s="19"/>
      <c r="S286" s="19"/>
      <c r="T286" s="19"/>
      <c r="U286" s="19"/>
      <c r="V286" s="19"/>
      <c r="W286" s="19"/>
      <c r="X286" s="19"/>
      <c r="Y286" s="19"/>
      <c r="Z286" t="str">
        <f>IF(Tabela1[[#This Row],[1]]&lt;&gt;"",IF(ISNUMBER(FIND(",",Tabela1[[#This Row],[1]])),LEN(Tabela1[[#This Row],[1]])-LEN(SUBSTITUTE(Tabela1[[#This Row],[1]],",",""))+1,1),"")</f>
        <v/>
      </c>
      <c r="AA286" t="str">
        <f>IF(Tabela1[[#This Row],[2]]&lt;&gt;"",IF(ISNUMBER(FIND(",",Tabela1[[#This Row],[2]])),LEN(Tabela1[[#This Row],[2]])-LEN(SUBSTITUTE(Tabela1[[#This Row],[2]],",",""))+1,1),"")</f>
        <v/>
      </c>
      <c r="AB286" t="str">
        <f>IF(Tabela1[[#This Row],[3]]&lt;&gt;"",IF(ISNUMBER(FIND(",",Tabela1[[#This Row],[3]])),LEN(Tabela1[[#This Row],[3]])-LEN(SUBSTITUTE(Tabela1[[#This Row],[3]],",",""))+1,1),"")</f>
        <v/>
      </c>
      <c r="AC286" t="str">
        <f>IF(Tabela1[[#This Row],[4]]&lt;&gt;"",IF(ISNUMBER(FIND(",",Tabela1[[#This Row],[4]])),LEN(Tabela1[[#This Row],[4]])-LEN(SUBSTITUTE(Tabela1[[#This Row],[4]],",",""))+1,1),"")</f>
        <v/>
      </c>
      <c r="AD286" t="str">
        <f>IF(Tabela1[[#This Row],[5]]&lt;&gt;"",IF(ISNUMBER(FIND(",",Tabela1[[#This Row],[5]])),LEN(Tabela1[[#This Row],[5]])-LEN(SUBSTITUTE(Tabela1[[#This Row],[5]],",",""))+1,1),"")</f>
        <v/>
      </c>
      <c r="AE286" t="str">
        <f>IF(Tabela1[[#This Row],[6]]&lt;&gt;"",IF(ISNUMBER(FIND(",",Tabela1[[#This Row],[6]])),LEN(Tabela1[[#This Row],[6]])-LEN(SUBSTITUTE(Tabela1[[#This Row],[6]],",",""))+1,1),"")</f>
        <v/>
      </c>
      <c r="AF286" t="str">
        <f>IF(Tabela1[[#This Row],[7]]&lt;&gt;"",IF(ISNUMBER(FIND(",",Tabela1[[#This Row],[7]])),LEN(Tabela1[[#This Row],[7]])-LEN(SUBSTITUTE(Tabela1[[#This Row],[7]],",",""))+1,1),"")</f>
        <v/>
      </c>
      <c r="AG286">
        <f>IF(Tabela1[[#This Row],[8]]&lt;&gt;"",IF(ISNUMBER(FIND(",",Tabela1[[#This Row],[8]])),LEN(Tabela1[[#This Row],[8]])-LEN(SUBSTITUTE(Tabela1[[#This Row],[8]],",",""))+1,1),"")</f>
        <v>1</v>
      </c>
      <c r="AH286" t="str">
        <f>IF(Tabela1[[#This Row],[9]]&lt;&gt;"",IF(ISNUMBER(FIND(",",Tabela1[[#This Row],[9]])),LEN(Tabela1[[#This Row],[9]])-LEN(SUBSTITUTE(Tabela1[[#This Row],[9]],",",""))+1,1),"")</f>
        <v/>
      </c>
      <c r="AI286" t="str">
        <f>IF(Tabela1[[#This Row],[10]]&lt;&gt;"",IF(ISNUMBER(FIND(",",Tabela1[[#This Row],[10]])),LEN(Tabela1[[#This Row],[10]])-LEN(SUBSTITUTE(Tabela1[[#This Row],[10]],",",""))+1,1),"")</f>
        <v/>
      </c>
      <c r="AJ286" t="str">
        <f>IF(Tabela1[[#This Row],[11]]&lt;&gt;"",IF(ISNUMBER(FIND(",",Tabela1[[#This Row],[11]])),LEN(Tabela1[[#This Row],[11]])-LEN(SUBSTITUTE(Tabela1[[#This Row],[11]],",",""))+1,1),"")</f>
        <v/>
      </c>
      <c r="AK286" t="str">
        <f>IF(Tabela1[[#This Row],[12]]&lt;&gt;"",IF(ISNUMBER(FIND(",",Tabela1[[#This Row],[12]])),LEN(Tabela1[[#This Row],[12]])-LEN(SUBSTITUTE(Tabela1[[#This Row],[12]],",",""))+1,1),"")</f>
        <v/>
      </c>
      <c r="AL286" t="str">
        <f>IF(Tabela1[[#This Row],[13]]&lt;&gt;"",IF(ISNUMBER(FIND(",",Tabela1[[#This Row],[13]])),LEN(Tabela1[[#This Row],[13]])-LEN(SUBSTITUTE(Tabela1[[#This Row],[13]],",",""))+1,1),"")</f>
        <v/>
      </c>
      <c r="AM286" t="str">
        <f>IF(Tabela1[[#This Row],[14]]&lt;&gt;"",IF(ISNUMBER(FIND(",",Tabela1[[#This Row],[14]])),LEN(Tabela1[[#This Row],[14]])-LEN(SUBSTITUTE(Tabela1[[#This Row],[14]],",",""))+1,1),"")</f>
        <v/>
      </c>
      <c r="AN286" t="str">
        <f>IF(Tabela1[[#This Row],[15]]&lt;&gt;"",IF(ISNUMBER(FIND(",",Tabela1[[#This Row],[15]])),LEN(Tabela1[[#This Row],[15]])-LEN(SUBSTITUTE(Tabela1[[#This Row],[15]],",",""))+1,1),"")</f>
        <v/>
      </c>
      <c r="AO286" t="str">
        <f>IF(Tabela1[[#This Row],[16]]&lt;&gt;"",IF(ISNUMBER(FIND(",",Tabela1[[#This Row],[16]])),LEN(Tabela1[[#This Row],[16]])-LEN(SUBSTITUTE(Tabela1[[#This Row],[16]],",",""))+1,1),"")</f>
        <v/>
      </c>
      <c r="AP286" t="str">
        <f>IF(Tabela1[[#This Row],[17]]&lt;&gt;"",IF(ISNUMBER(FIND(",",Tabela1[[#This Row],[17]])),LEN(Tabela1[[#This Row],[17]])-LEN(SUBSTITUTE(Tabela1[[#This Row],[17]],",",""))+1,1),"")</f>
        <v/>
      </c>
      <c r="AQ286" t="str">
        <f>IF(Tabela1[[#This Row],[18]]&lt;&gt;"",IF(ISNUMBER(FIND(",",Tabela1[[#This Row],[18]])),LEN(Tabela1[[#This Row],[18]])-LEN(SUBSTITUTE(Tabela1[[#This Row],[18]],",",""))+1,1),"")</f>
        <v/>
      </c>
      <c r="AR286" s="13" t="str">
        <f>IF(Tabela1[[#This Row],[19_LENGTH]]&lt;&gt;"",IF(ISNUMBER(FIND(",",Tabela1[[#This Row],[19_LENGTH]])),LEN(Tabela1[[#This Row],[19_LENGTH]])-LEN(SUBSTITUTE(Tabela1[[#This Row],[19_LENGTH]],",",""))+1,1),"")</f>
        <v/>
      </c>
      <c r="AS286" s="21">
        <f>SUM(Tabela1[[#This Row],[1_]:[19_]])</f>
        <v>1</v>
      </c>
    </row>
    <row r="287" spans="1:45" x14ac:dyDescent="0.25">
      <c r="A287" s="27" t="s">
        <v>1322</v>
      </c>
      <c r="B287" s="19" t="s">
        <v>780</v>
      </c>
      <c r="C287" s="19">
        <v>202</v>
      </c>
      <c r="D287" s="19" t="s">
        <v>1315</v>
      </c>
      <c r="E287" s="20">
        <v>43494</v>
      </c>
      <c r="F287" s="19"/>
      <c r="G287" s="19"/>
      <c r="H287" s="19"/>
      <c r="I287" s="19"/>
      <c r="J287" s="19"/>
      <c r="K287" s="19"/>
      <c r="L287" s="19"/>
      <c r="M287" s="19" t="s">
        <v>117</v>
      </c>
      <c r="N287" s="19"/>
      <c r="O287" s="19" t="s">
        <v>118</v>
      </c>
      <c r="P287" s="19"/>
      <c r="Q287" s="19"/>
      <c r="R287" s="19"/>
      <c r="S287" s="19"/>
      <c r="T287" s="19"/>
      <c r="U287" s="19"/>
      <c r="V287" s="19"/>
      <c r="W287" s="19"/>
      <c r="X287" s="19"/>
      <c r="Y287" s="19"/>
      <c r="Z287" t="str">
        <f>IF(Tabela1[[#This Row],[1]]&lt;&gt;"",IF(ISNUMBER(FIND(",",Tabela1[[#This Row],[1]])),LEN(Tabela1[[#This Row],[1]])-LEN(SUBSTITUTE(Tabela1[[#This Row],[1]],",",""))+1,1),"")</f>
        <v/>
      </c>
      <c r="AA287" t="str">
        <f>IF(Tabela1[[#This Row],[2]]&lt;&gt;"",IF(ISNUMBER(FIND(",",Tabela1[[#This Row],[2]])),LEN(Tabela1[[#This Row],[2]])-LEN(SUBSTITUTE(Tabela1[[#This Row],[2]],",",""))+1,1),"")</f>
        <v/>
      </c>
      <c r="AB287" t="str">
        <f>IF(Tabela1[[#This Row],[3]]&lt;&gt;"",IF(ISNUMBER(FIND(",",Tabela1[[#This Row],[3]])),LEN(Tabela1[[#This Row],[3]])-LEN(SUBSTITUTE(Tabela1[[#This Row],[3]],",",""))+1,1),"")</f>
        <v/>
      </c>
      <c r="AC287" t="str">
        <f>IF(Tabela1[[#This Row],[4]]&lt;&gt;"",IF(ISNUMBER(FIND(",",Tabela1[[#This Row],[4]])),LEN(Tabela1[[#This Row],[4]])-LEN(SUBSTITUTE(Tabela1[[#This Row],[4]],",",""))+1,1),"")</f>
        <v/>
      </c>
      <c r="AD287" t="str">
        <f>IF(Tabela1[[#This Row],[5]]&lt;&gt;"",IF(ISNUMBER(FIND(",",Tabela1[[#This Row],[5]])),LEN(Tabela1[[#This Row],[5]])-LEN(SUBSTITUTE(Tabela1[[#This Row],[5]],",",""))+1,1),"")</f>
        <v/>
      </c>
      <c r="AE287" t="str">
        <f>IF(Tabela1[[#This Row],[6]]&lt;&gt;"",IF(ISNUMBER(FIND(",",Tabela1[[#This Row],[6]])),LEN(Tabela1[[#This Row],[6]])-LEN(SUBSTITUTE(Tabela1[[#This Row],[6]],",",""))+1,1),"")</f>
        <v/>
      </c>
      <c r="AF287" t="str">
        <f>IF(Tabela1[[#This Row],[7]]&lt;&gt;"",IF(ISNUMBER(FIND(",",Tabela1[[#This Row],[7]])),LEN(Tabela1[[#This Row],[7]])-LEN(SUBSTITUTE(Tabela1[[#This Row],[7]],",",""))+1,1),"")</f>
        <v/>
      </c>
      <c r="AG287">
        <f>IF(Tabela1[[#This Row],[8]]&lt;&gt;"",IF(ISNUMBER(FIND(",",Tabela1[[#This Row],[8]])),LEN(Tabela1[[#This Row],[8]])-LEN(SUBSTITUTE(Tabela1[[#This Row],[8]],",",""))+1,1),"")</f>
        <v>2</v>
      </c>
      <c r="AH287" t="str">
        <f>IF(Tabela1[[#This Row],[9]]&lt;&gt;"",IF(ISNUMBER(FIND(",",Tabela1[[#This Row],[9]])),LEN(Tabela1[[#This Row],[9]])-LEN(SUBSTITUTE(Tabela1[[#This Row],[9]],",",""))+1,1),"")</f>
        <v/>
      </c>
      <c r="AI287">
        <f>IF(Tabela1[[#This Row],[10]]&lt;&gt;"",IF(ISNUMBER(FIND(",",Tabela1[[#This Row],[10]])),LEN(Tabela1[[#This Row],[10]])-LEN(SUBSTITUTE(Tabela1[[#This Row],[10]],",",""))+1,1),"")</f>
        <v>1</v>
      </c>
      <c r="AJ287" t="str">
        <f>IF(Tabela1[[#This Row],[11]]&lt;&gt;"",IF(ISNUMBER(FIND(",",Tabela1[[#This Row],[11]])),LEN(Tabela1[[#This Row],[11]])-LEN(SUBSTITUTE(Tabela1[[#This Row],[11]],",",""))+1,1),"")</f>
        <v/>
      </c>
      <c r="AK287" t="str">
        <f>IF(Tabela1[[#This Row],[12]]&lt;&gt;"",IF(ISNUMBER(FIND(",",Tabela1[[#This Row],[12]])),LEN(Tabela1[[#This Row],[12]])-LEN(SUBSTITUTE(Tabela1[[#This Row],[12]],",",""))+1,1),"")</f>
        <v/>
      </c>
      <c r="AL287" t="str">
        <f>IF(Tabela1[[#This Row],[13]]&lt;&gt;"",IF(ISNUMBER(FIND(",",Tabela1[[#This Row],[13]])),LEN(Tabela1[[#This Row],[13]])-LEN(SUBSTITUTE(Tabela1[[#This Row],[13]],",",""))+1,1),"")</f>
        <v/>
      </c>
      <c r="AM287" t="str">
        <f>IF(Tabela1[[#This Row],[14]]&lt;&gt;"",IF(ISNUMBER(FIND(",",Tabela1[[#This Row],[14]])),LEN(Tabela1[[#This Row],[14]])-LEN(SUBSTITUTE(Tabela1[[#This Row],[14]],",",""))+1,1),"")</f>
        <v/>
      </c>
      <c r="AN287" t="str">
        <f>IF(Tabela1[[#This Row],[15]]&lt;&gt;"",IF(ISNUMBER(FIND(",",Tabela1[[#This Row],[15]])),LEN(Tabela1[[#This Row],[15]])-LEN(SUBSTITUTE(Tabela1[[#This Row],[15]],",",""))+1,1),"")</f>
        <v/>
      </c>
      <c r="AO287" t="str">
        <f>IF(Tabela1[[#This Row],[16]]&lt;&gt;"",IF(ISNUMBER(FIND(",",Tabela1[[#This Row],[16]])),LEN(Tabela1[[#This Row],[16]])-LEN(SUBSTITUTE(Tabela1[[#This Row],[16]],",",""))+1,1),"")</f>
        <v/>
      </c>
      <c r="AP287" t="str">
        <f>IF(Tabela1[[#This Row],[17]]&lt;&gt;"",IF(ISNUMBER(FIND(",",Tabela1[[#This Row],[17]])),LEN(Tabela1[[#This Row],[17]])-LEN(SUBSTITUTE(Tabela1[[#This Row],[17]],",",""))+1,1),"")</f>
        <v/>
      </c>
      <c r="AQ287" t="str">
        <f>IF(Tabela1[[#This Row],[18]]&lt;&gt;"",IF(ISNUMBER(FIND(",",Tabela1[[#This Row],[18]])),LEN(Tabela1[[#This Row],[18]])-LEN(SUBSTITUTE(Tabela1[[#This Row],[18]],",",""))+1,1),"")</f>
        <v/>
      </c>
      <c r="AR287" s="13" t="str">
        <f>IF(Tabela1[[#This Row],[19_LENGTH]]&lt;&gt;"",IF(ISNUMBER(FIND(",",Tabela1[[#This Row],[19_LENGTH]])),LEN(Tabela1[[#This Row],[19_LENGTH]])-LEN(SUBSTITUTE(Tabela1[[#This Row],[19_LENGTH]],",",""))+1,1),"")</f>
        <v/>
      </c>
      <c r="AS287" s="21">
        <f>SUM(Tabela1[[#This Row],[1_]:[19_]])</f>
        <v>3</v>
      </c>
    </row>
    <row r="288" spans="1:45" x14ac:dyDescent="0.25">
      <c r="A288" s="27" t="s">
        <v>1322</v>
      </c>
      <c r="B288" s="19" t="s">
        <v>781</v>
      </c>
      <c r="C288" s="19">
        <v>202</v>
      </c>
      <c r="D288" s="19" t="s">
        <v>1315</v>
      </c>
      <c r="E288" s="20">
        <v>43494</v>
      </c>
      <c r="F288" s="19"/>
      <c r="G288" s="19"/>
      <c r="H288" s="19"/>
      <c r="I288" s="19"/>
      <c r="J288" s="19"/>
      <c r="K288" s="19"/>
      <c r="L288" s="19"/>
      <c r="M288" s="19">
        <v>181</v>
      </c>
      <c r="N288" s="19"/>
      <c r="O288" s="19" t="s">
        <v>119</v>
      </c>
      <c r="P288" s="19"/>
      <c r="Q288" s="19"/>
      <c r="R288" s="19"/>
      <c r="S288" s="19"/>
      <c r="T288" s="19"/>
      <c r="U288" s="19">
        <v>171</v>
      </c>
      <c r="V288" s="19"/>
      <c r="W288" s="19"/>
      <c r="X288" s="19"/>
      <c r="Y288" s="19"/>
      <c r="Z288" t="str">
        <f>IF(Tabela1[[#This Row],[1]]&lt;&gt;"",IF(ISNUMBER(FIND(",",Tabela1[[#This Row],[1]])),LEN(Tabela1[[#This Row],[1]])-LEN(SUBSTITUTE(Tabela1[[#This Row],[1]],",",""))+1,1),"")</f>
        <v/>
      </c>
      <c r="AA288" t="str">
        <f>IF(Tabela1[[#This Row],[2]]&lt;&gt;"",IF(ISNUMBER(FIND(",",Tabela1[[#This Row],[2]])),LEN(Tabela1[[#This Row],[2]])-LEN(SUBSTITUTE(Tabela1[[#This Row],[2]],",",""))+1,1),"")</f>
        <v/>
      </c>
      <c r="AB288" t="str">
        <f>IF(Tabela1[[#This Row],[3]]&lt;&gt;"",IF(ISNUMBER(FIND(",",Tabela1[[#This Row],[3]])),LEN(Tabela1[[#This Row],[3]])-LEN(SUBSTITUTE(Tabela1[[#This Row],[3]],",",""))+1,1),"")</f>
        <v/>
      </c>
      <c r="AC288" t="str">
        <f>IF(Tabela1[[#This Row],[4]]&lt;&gt;"",IF(ISNUMBER(FIND(",",Tabela1[[#This Row],[4]])),LEN(Tabela1[[#This Row],[4]])-LEN(SUBSTITUTE(Tabela1[[#This Row],[4]],",",""))+1,1),"")</f>
        <v/>
      </c>
      <c r="AD288" t="str">
        <f>IF(Tabela1[[#This Row],[5]]&lt;&gt;"",IF(ISNUMBER(FIND(",",Tabela1[[#This Row],[5]])),LEN(Tabela1[[#This Row],[5]])-LEN(SUBSTITUTE(Tabela1[[#This Row],[5]],",",""))+1,1),"")</f>
        <v/>
      </c>
      <c r="AE288" t="str">
        <f>IF(Tabela1[[#This Row],[6]]&lt;&gt;"",IF(ISNUMBER(FIND(",",Tabela1[[#This Row],[6]])),LEN(Tabela1[[#This Row],[6]])-LEN(SUBSTITUTE(Tabela1[[#This Row],[6]],",",""))+1,1),"")</f>
        <v/>
      </c>
      <c r="AF288" t="str">
        <f>IF(Tabela1[[#This Row],[7]]&lt;&gt;"",IF(ISNUMBER(FIND(",",Tabela1[[#This Row],[7]])),LEN(Tabela1[[#This Row],[7]])-LEN(SUBSTITUTE(Tabela1[[#This Row],[7]],",",""))+1,1),"")</f>
        <v/>
      </c>
      <c r="AG288">
        <f>IF(Tabela1[[#This Row],[8]]&lt;&gt;"",IF(ISNUMBER(FIND(",",Tabela1[[#This Row],[8]])),LEN(Tabela1[[#This Row],[8]])-LEN(SUBSTITUTE(Tabela1[[#This Row],[8]],",",""))+1,1),"")</f>
        <v>1</v>
      </c>
      <c r="AH288" t="str">
        <f>IF(Tabela1[[#This Row],[9]]&lt;&gt;"",IF(ISNUMBER(FIND(",",Tabela1[[#This Row],[9]])),LEN(Tabela1[[#This Row],[9]])-LEN(SUBSTITUTE(Tabela1[[#This Row],[9]],",",""))+1,1),"")</f>
        <v/>
      </c>
      <c r="AI288">
        <f>IF(Tabela1[[#This Row],[10]]&lt;&gt;"",IF(ISNUMBER(FIND(",",Tabela1[[#This Row],[10]])),LEN(Tabela1[[#This Row],[10]])-LEN(SUBSTITUTE(Tabela1[[#This Row],[10]],",",""))+1,1),"")</f>
        <v>2</v>
      </c>
      <c r="AJ288" t="str">
        <f>IF(Tabela1[[#This Row],[11]]&lt;&gt;"",IF(ISNUMBER(FIND(",",Tabela1[[#This Row],[11]])),LEN(Tabela1[[#This Row],[11]])-LEN(SUBSTITUTE(Tabela1[[#This Row],[11]],",",""))+1,1),"")</f>
        <v/>
      </c>
      <c r="AK288" t="str">
        <f>IF(Tabela1[[#This Row],[12]]&lt;&gt;"",IF(ISNUMBER(FIND(",",Tabela1[[#This Row],[12]])),LEN(Tabela1[[#This Row],[12]])-LEN(SUBSTITUTE(Tabela1[[#This Row],[12]],",",""))+1,1),"")</f>
        <v/>
      </c>
      <c r="AL288" t="str">
        <f>IF(Tabela1[[#This Row],[13]]&lt;&gt;"",IF(ISNUMBER(FIND(",",Tabela1[[#This Row],[13]])),LEN(Tabela1[[#This Row],[13]])-LEN(SUBSTITUTE(Tabela1[[#This Row],[13]],",",""))+1,1),"")</f>
        <v/>
      </c>
      <c r="AM288" t="str">
        <f>IF(Tabela1[[#This Row],[14]]&lt;&gt;"",IF(ISNUMBER(FIND(",",Tabela1[[#This Row],[14]])),LEN(Tabela1[[#This Row],[14]])-LEN(SUBSTITUTE(Tabela1[[#This Row],[14]],",",""))+1,1),"")</f>
        <v/>
      </c>
      <c r="AN288" t="str">
        <f>IF(Tabela1[[#This Row],[15]]&lt;&gt;"",IF(ISNUMBER(FIND(",",Tabela1[[#This Row],[15]])),LEN(Tabela1[[#This Row],[15]])-LEN(SUBSTITUTE(Tabela1[[#This Row],[15]],",",""))+1,1),"")</f>
        <v/>
      </c>
      <c r="AO288">
        <f>IF(Tabela1[[#This Row],[16]]&lt;&gt;"",IF(ISNUMBER(FIND(",",Tabela1[[#This Row],[16]])),LEN(Tabela1[[#This Row],[16]])-LEN(SUBSTITUTE(Tabela1[[#This Row],[16]],",",""))+1,1),"")</f>
        <v>1</v>
      </c>
      <c r="AP288" t="str">
        <f>IF(Tabela1[[#This Row],[17]]&lt;&gt;"",IF(ISNUMBER(FIND(",",Tabela1[[#This Row],[17]])),LEN(Tabela1[[#This Row],[17]])-LEN(SUBSTITUTE(Tabela1[[#This Row],[17]],",",""))+1,1),"")</f>
        <v/>
      </c>
      <c r="AQ288" t="str">
        <f>IF(Tabela1[[#This Row],[18]]&lt;&gt;"",IF(ISNUMBER(FIND(",",Tabela1[[#This Row],[18]])),LEN(Tabela1[[#This Row],[18]])-LEN(SUBSTITUTE(Tabela1[[#This Row],[18]],",",""))+1,1),"")</f>
        <v/>
      </c>
      <c r="AR288" s="13" t="str">
        <f>IF(Tabela1[[#This Row],[19_LENGTH]]&lt;&gt;"",IF(ISNUMBER(FIND(",",Tabela1[[#This Row],[19_LENGTH]])),LEN(Tabela1[[#This Row],[19_LENGTH]])-LEN(SUBSTITUTE(Tabela1[[#This Row],[19_LENGTH]],",",""))+1,1),"")</f>
        <v/>
      </c>
      <c r="AS288" s="21">
        <f>SUM(Tabela1[[#This Row],[1_]:[19_]])</f>
        <v>4</v>
      </c>
    </row>
    <row r="289" spans="1:45" x14ac:dyDescent="0.25">
      <c r="A289" s="27" t="s">
        <v>1322</v>
      </c>
      <c r="B289" s="19" t="s">
        <v>447</v>
      </c>
      <c r="C289" s="19">
        <v>202</v>
      </c>
      <c r="D289" s="19" t="s">
        <v>1315</v>
      </c>
      <c r="E289" s="20">
        <v>43494</v>
      </c>
      <c r="F289" s="19"/>
      <c r="G289" s="19"/>
      <c r="H289" s="19"/>
      <c r="I289" s="19">
        <v>9</v>
      </c>
      <c r="J289" s="19"/>
      <c r="K289" s="19"/>
      <c r="L289" s="19"/>
      <c r="M289" s="19"/>
      <c r="N289" s="19"/>
      <c r="O289" s="19"/>
      <c r="P289" s="19"/>
      <c r="Q289" s="19"/>
      <c r="R289" s="19"/>
      <c r="S289" s="19"/>
      <c r="T289" s="19"/>
      <c r="U289" s="19"/>
      <c r="V289" s="19"/>
      <c r="W289" s="19"/>
      <c r="X289" s="19"/>
      <c r="Y289" s="19"/>
      <c r="Z289" t="str">
        <f>IF(Tabela1[[#This Row],[1]]&lt;&gt;"",IF(ISNUMBER(FIND(",",Tabela1[[#This Row],[1]])),LEN(Tabela1[[#This Row],[1]])-LEN(SUBSTITUTE(Tabela1[[#This Row],[1]],",",""))+1,1),"")</f>
        <v/>
      </c>
      <c r="AA289" t="str">
        <f>IF(Tabela1[[#This Row],[2]]&lt;&gt;"",IF(ISNUMBER(FIND(",",Tabela1[[#This Row],[2]])),LEN(Tabela1[[#This Row],[2]])-LEN(SUBSTITUTE(Tabela1[[#This Row],[2]],",",""))+1,1),"")</f>
        <v/>
      </c>
      <c r="AB289" t="str">
        <f>IF(Tabela1[[#This Row],[3]]&lt;&gt;"",IF(ISNUMBER(FIND(",",Tabela1[[#This Row],[3]])),LEN(Tabela1[[#This Row],[3]])-LEN(SUBSTITUTE(Tabela1[[#This Row],[3]],",",""))+1,1),"")</f>
        <v/>
      </c>
      <c r="AC289">
        <f>IF(Tabela1[[#This Row],[4]]&lt;&gt;"",IF(ISNUMBER(FIND(",",Tabela1[[#This Row],[4]])),LEN(Tabela1[[#This Row],[4]])-LEN(SUBSTITUTE(Tabela1[[#This Row],[4]],",",""))+1,1),"")</f>
        <v>1</v>
      </c>
      <c r="AD289" t="str">
        <f>IF(Tabela1[[#This Row],[5]]&lt;&gt;"",IF(ISNUMBER(FIND(",",Tabela1[[#This Row],[5]])),LEN(Tabela1[[#This Row],[5]])-LEN(SUBSTITUTE(Tabela1[[#This Row],[5]],",",""))+1,1),"")</f>
        <v/>
      </c>
      <c r="AE289" t="str">
        <f>IF(Tabela1[[#This Row],[6]]&lt;&gt;"",IF(ISNUMBER(FIND(",",Tabela1[[#This Row],[6]])),LEN(Tabela1[[#This Row],[6]])-LEN(SUBSTITUTE(Tabela1[[#This Row],[6]],",",""))+1,1),"")</f>
        <v/>
      </c>
      <c r="AF289" t="str">
        <f>IF(Tabela1[[#This Row],[7]]&lt;&gt;"",IF(ISNUMBER(FIND(",",Tabela1[[#This Row],[7]])),LEN(Tabela1[[#This Row],[7]])-LEN(SUBSTITUTE(Tabela1[[#This Row],[7]],",",""))+1,1),"")</f>
        <v/>
      </c>
      <c r="AG289" t="str">
        <f>IF(Tabela1[[#This Row],[8]]&lt;&gt;"",IF(ISNUMBER(FIND(",",Tabela1[[#This Row],[8]])),LEN(Tabela1[[#This Row],[8]])-LEN(SUBSTITUTE(Tabela1[[#This Row],[8]],",",""))+1,1),"")</f>
        <v/>
      </c>
      <c r="AH289" t="str">
        <f>IF(Tabela1[[#This Row],[9]]&lt;&gt;"",IF(ISNUMBER(FIND(",",Tabela1[[#This Row],[9]])),LEN(Tabela1[[#This Row],[9]])-LEN(SUBSTITUTE(Tabela1[[#This Row],[9]],",",""))+1,1),"")</f>
        <v/>
      </c>
      <c r="AI289" t="str">
        <f>IF(Tabela1[[#This Row],[10]]&lt;&gt;"",IF(ISNUMBER(FIND(",",Tabela1[[#This Row],[10]])),LEN(Tabela1[[#This Row],[10]])-LEN(SUBSTITUTE(Tabela1[[#This Row],[10]],",",""))+1,1),"")</f>
        <v/>
      </c>
      <c r="AJ289" t="str">
        <f>IF(Tabela1[[#This Row],[11]]&lt;&gt;"",IF(ISNUMBER(FIND(",",Tabela1[[#This Row],[11]])),LEN(Tabela1[[#This Row],[11]])-LEN(SUBSTITUTE(Tabela1[[#This Row],[11]],",",""))+1,1),"")</f>
        <v/>
      </c>
      <c r="AK289" t="str">
        <f>IF(Tabela1[[#This Row],[12]]&lt;&gt;"",IF(ISNUMBER(FIND(",",Tabela1[[#This Row],[12]])),LEN(Tabela1[[#This Row],[12]])-LEN(SUBSTITUTE(Tabela1[[#This Row],[12]],",",""))+1,1),"")</f>
        <v/>
      </c>
      <c r="AL289" t="str">
        <f>IF(Tabela1[[#This Row],[13]]&lt;&gt;"",IF(ISNUMBER(FIND(",",Tabela1[[#This Row],[13]])),LEN(Tabela1[[#This Row],[13]])-LEN(SUBSTITUTE(Tabela1[[#This Row],[13]],",",""))+1,1),"")</f>
        <v/>
      </c>
      <c r="AM289" t="str">
        <f>IF(Tabela1[[#This Row],[14]]&lt;&gt;"",IF(ISNUMBER(FIND(",",Tabela1[[#This Row],[14]])),LEN(Tabela1[[#This Row],[14]])-LEN(SUBSTITUTE(Tabela1[[#This Row],[14]],",",""))+1,1),"")</f>
        <v/>
      </c>
      <c r="AN289" t="str">
        <f>IF(Tabela1[[#This Row],[15]]&lt;&gt;"",IF(ISNUMBER(FIND(",",Tabela1[[#This Row],[15]])),LEN(Tabela1[[#This Row],[15]])-LEN(SUBSTITUTE(Tabela1[[#This Row],[15]],",",""))+1,1),"")</f>
        <v/>
      </c>
      <c r="AO289" t="str">
        <f>IF(Tabela1[[#This Row],[16]]&lt;&gt;"",IF(ISNUMBER(FIND(",",Tabela1[[#This Row],[16]])),LEN(Tabela1[[#This Row],[16]])-LEN(SUBSTITUTE(Tabela1[[#This Row],[16]],",",""))+1,1),"")</f>
        <v/>
      </c>
      <c r="AP289" t="str">
        <f>IF(Tabela1[[#This Row],[17]]&lt;&gt;"",IF(ISNUMBER(FIND(",",Tabela1[[#This Row],[17]])),LEN(Tabela1[[#This Row],[17]])-LEN(SUBSTITUTE(Tabela1[[#This Row],[17]],",",""))+1,1),"")</f>
        <v/>
      </c>
      <c r="AQ289" t="str">
        <f>IF(Tabela1[[#This Row],[18]]&lt;&gt;"",IF(ISNUMBER(FIND(",",Tabela1[[#This Row],[18]])),LEN(Tabela1[[#This Row],[18]])-LEN(SUBSTITUTE(Tabela1[[#This Row],[18]],",",""))+1,1),"")</f>
        <v/>
      </c>
      <c r="AR289" s="13" t="str">
        <f>IF(Tabela1[[#This Row],[19_LENGTH]]&lt;&gt;"",IF(ISNUMBER(FIND(",",Tabela1[[#This Row],[19_LENGTH]])),LEN(Tabela1[[#This Row],[19_LENGTH]])-LEN(SUBSTITUTE(Tabela1[[#This Row],[19_LENGTH]],",",""))+1,1),"")</f>
        <v/>
      </c>
      <c r="AS289" s="21">
        <f>SUM(Tabela1[[#This Row],[1_]:[19_]])</f>
        <v>1</v>
      </c>
    </row>
    <row r="290" spans="1:45" x14ac:dyDescent="0.25">
      <c r="A290" s="27" t="s">
        <v>1322</v>
      </c>
      <c r="B290" s="19" t="s">
        <v>448</v>
      </c>
      <c r="C290" s="19">
        <v>216</v>
      </c>
      <c r="D290" s="19" t="s">
        <v>1315</v>
      </c>
      <c r="E290" s="20">
        <v>43494</v>
      </c>
      <c r="F290" s="19"/>
      <c r="G290" s="19"/>
      <c r="H290" s="19"/>
      <c r="I290" s="19" t="s">
        <v>120</v>
      </c>
      <c r="J290" s="19"/>
      <c r="K290" s="19"/>
      <c r="L290" s="19"/>
      <c r="M290" s="19"/>
      <c r="N290" s="19"/>
      <c r="O290" s="19"/>
      <c r="P290" s="19"/>
      <c r="Q290" s="19"/>
      <c r="R290" s="19"/>
      <c r="S290" s="19"/>
      <c r="T290" s="19"/>
      <c r="U290" s="19"/>
      <c r="V290" s="19"/>
      <c r="W290" s="19"/>
      <c r="X290" s="19"/>
      <c r="Y290" s="19"/>
      <c r="Z290" t="str">
        <f>IF(Tabela1[[#This Row],[1]]&lt;&gt;"",IF(ISNUMBER(FIND(",",Tabela1[[#This Row],[1]])),LEN(Tabela1[[#This Row],[1]])-LEN(SUBSTITUTE(Tabela1[[#This Row],[1]],",",""))+1,1),"")</f>
        <v/>
      </c>
      <c r="AA290" t="str">
        <f>IF(Tabela1[[#This Row],[2]]&lt;&gt;"",IF(ISNUMBER(FIND(",",Tabela1[[#This Row],[2]])),LEN(Tabela1[[#This Row],[2]])-LEN(SUBSTITUTE(Tabela1[[#This Row],[2]],",",""))+1,1),"")</f>
        <v/>
      </c>
      <c r="AB290" t="str">
        <f>IF(Tabela1[[#This Row],[3]]&lt;&gt;"",IF(ISNUMBER(FIND(",",Tabela1[[#This Row],[3]])),LEN(Tabela1[[#This Row],[3]])-LEN(SUBSTITUTE(Tabela1[[#This Row],[3]],",",""))+1,1),"")</f>
        <v/>
      </c>
      <c r="AC290">
        <f>IF(Tabela1[[#This Row],[4]]&lt;&gt;"",IF(ISNUMBER(FIND(",",Tabela1[[#This Row],[4]])),LEN(Tabela1[[#This Row],[4]])-LEN(SUBSTITUTE(Tabela1[[#This Row],[4]],",",""))+1,1),"")</f>
        <v>4</v>
      </c>
      <c r="AD290" t="str">
        <f>IF(Tabela1[[#This Row],[5]]&lt;&gt;"",IF(ISNUMBER(FIND(",",Tabela1[[#This Row],[5]])),LEN(Tabela1[[#This Row],[5]])-LEN(SUBSTITUTE(Tabela1[[#This Row],[5]],",",""))+1,1),"")</f>
        <v/>
      </c>
      <c r="AE290" t="str">
        <f>IF(Tabela1[[#This Row],[6]]&lt;&gt;"",IF(ISNUMBER(FIND(",",Tabela1[[#This Row],[6]])),LEN(Tabela1[[#This Row],[6]])-LEN(SUBSTITUTE(Tabela1[[#This Row],[6]],",",""))+1,1),"")</f>
        <v/>
      </c>
      <c r="AF290" t="str">
        <f>IF(Tabela1[[#This Row],[7]]&lt;&gt;"",IF(ISNUMBER(FIND(",",Tabela1[[#This Row],[7]])),LEN(Tabela1[[#This Row],[7]])-LEN(SUBSTITUTE(Tabela1[[#This Row],[7]],",",""))+1,1),"")</f>
        <v/>
      </c>
      <c r="AG290" t="str">
        <f>IF(Tabela1[[#This Row],[8]]&lt;&gt;"",IF(ISNUMBER(FIND(",",Tabela1[[#This Row],[8]])),LEN(Tabela1[[#This Row],[8]])-LEN(SUBSTITUTE(Tabela1[[#This Row],[8]],",",""))+1,1),"")</f>
        <v/>
      </c>
      <c r="AH290" t="str">
        <f>IF(Tabela1[[#This Row],[9]]&lt;&gt;"",IF(ISNUMBER(FIND(",",Tabela1[[#This Row],[9]])),LEN(Tabela1[[#This Row],[9]])-LEN(SUBSTITUTE(Tabela1[[#This Row],[9]],",",""))+1,1),"")</f>
        <v/>
      </c>
      <c r="AI290" t="str">
        <f>IF(Tabela1[[#This Row],[10]]&lt;&gt;"",IF(ISNUMBER(FIND(",",Tabela1[[#This Row],[10]])),LEN(Tabela1[[#This Row],[10]])-LEN(SUBSTITUTE(Tabela1[[#This Row],[10]],",",""))+1,1),"")</f>
        <v/>
      </c>
      <c r="AJ290" t="str">
        <f>IF(Tabela1[[#This Row],[11]]&lt;&gt;"",IF(ISNUMBER(FIND(",",Tabela1[[#This Row],[11]])),LEN(Tabela1[[#This Row],[11]])-LEN(SUBSTITUTE(Tabela1[[#This Row],[11]],",",""))+1,1),"")</f>
        <v/>
      </c>
      <c r="AK290" t="str">
        <f>IF(Tabela1[[#This Row],[12]]&lt;&gt;"",IF(ISNUMBER(FIND(",",Tabela1[[#This Row],[12]])),LEN(Tabela1[[#This Row],[12]])-LEN(SUBSTITUTE(Tabela1[[#This Row],[12]],",",""))+1,1),"")</f>
        <v/>
      </c>
      <c r="AL290" t="str">
        <f>IF(Tabela1[[#This Row],[13]]&lt;&gt;"",IF(ISNUMBER(FIND(",",Tabela1[[#This Row],[13]])),LEN(Tabela1[[#This Row],[13]])-LEN(SUBSTITUTE(Tabela1[[#This Row],[13]],",",""))+1,1),"")</f>
        <v/>
      </c>
      <c r="AM290" t="str">
        <f>IF(Tabela1[[#This Row],[14]]&lt;&gt;"",IF(ISNUMBER(FIND(",",Tabela1[[#This Row],[14]])),LEN(Tabela1[[#This Row],[14]])-LEN(SUBSTITUTE(Tabela1[[#This Row],[14]],",",""))+1,1),"")</f>
        <v/>
      </c>
      <c r="AN290" t="str">
        <f>IF(Tabela1[[#This Row],[15]]&lt;&gt;"",IF(ISNUMBER(FIND(",",Tabela1[[#This Row],[15]])),LEN(Tabela1[[#This Row],[15]])-LEN(SUBSTITUTE(Tabela1[[#This Row],[15]],",",""))+1,1),"")</f>
        <v/>
      </c>
      <c r="AO290" t="str">
        <f>IF(Tabela1[[#This Row],[16]]&lt;&gt;"",IF(ISNUMBER(FIND(",",Tabela1[[#This Row],[16]])),LEN(Tabela1[[#This Row],[16]])-LEN(SUBSTITUTE(Tabela1[[#This Row],[16]],",",""))+1,1),"")</f>
        <v/>
      </c>
      <c r="AP290" t="str">
        <f>IF(Tabela1[[#This Row],[17]]&lt;&gt;"",IF(ISNUMBER(FIND(",",Tabela1[[#This Row],[17]])),LEN(Tabela1[[#This Row],[17]])-LEN(SUBSTITUTE(Tabela1[[#This Row],[17]],",",""))+1,1),"")</f>
        <v/>
      </c>
      <c r="AQ290" t="str">
        <f>IF(Tabela1[[#This Row],[18]]&lt;&gt;"",IF(ISNUMBER(FIND(",",Tabela1[[#This Row],[18]])),LEN(Tabela1[[#This Row],[18]])-LEN(SUBSTITUTE(Tabela1[[#This Row],[18]],",",""))+1,1),"")</f>
        <v/>
      </c>
      <c r="AR290" s="13" t="str">
        <f>IF(Tabela1[[#This Row],[19_LENGTH]]&lt;&gt;"",IF(ISNUMBER(FIND(",",Tabela1[[#This Row],[19_LENGTH]])),LEN(Tabela1[[#This Row],[19_LENGTH]])-LEN(SUBSTITUTE(Tabela1[[#This Row],[19_LENGTH]],",",""))+1,1),"")</f>
        <v/>
      </c>
      <c r="AS290" s="21">
        <f>SUM(Tabela1[[#This Row],[1_]:[19_]])</f>
        <v>4</v>
      </c>
    </row>
    <row r="291" spans="1:45" x14ac:dyDescent="0.25">
      <c r="A291" s="27" t="s">
        <v>1322</v>
      </c>
      <c r="B291" s="19" t="s">
        <v>924</v>
      </c>
      <c r="C291" s="19">
        <v>78</v>
      </c>
      <c r="D291" s="19" t="s">
        <v>1292</v>
      </c>
      <c r="E291" s="20">
        <v>43494</v>
      </c>
      <c r="F291" s="19"/>
      <c r="G291" s="19"/>
      <c r="H291" s="19" t="s">
        <v>121</v>
      </c>
      <c r="I291" s="19"/>
      <c r="J291" s="19"/>
      <c r="K291" s="19"/>
      <c r="L291" s="19"/>
      <c r="M291" s="19"/>
      <c r="N291" s="19"/>
      <c r="O291" s="19"/>
      <c r="P291" s="19"/>
      <c r="Q291" s="19"/>
      <c r="R291" s="19"/>
      <c r="S291" s="19"/>
      <c r="T291" s="19"/>
      <c r="U291" s="19"/>
      <c r="V291" s="19"/>
      <c r="W291" s="19"/>
      <c r="X291" s="19"/>
      <c r="Y291" s="19"/>
      <c r="Z291" t="str">
        <f>IF(Tabela1[[#This Row],[1]]&lt;&gt;"",IF(ISNUMBER(FIND(",",Tabela1[[#This Row],[1]])),LEN(Tabela1[[#This Row],[1]])-LEN(SUBSTITUTE(Tabela1[[#This Row],[1]],",",""))+1,1),"")</f>
        <v/>
      </c>
      <c r="AA291" t="str">
        <f>IF(Tabela1[[#This Row],[2]]&lt;&gt;"",IF(ISNUMBER(FIND(",",Tabela1[[#This Row],[2]])),LEN(Tabela1[[#This Row],[2]])-LEN(SUBSTITUTE(Tabela1[[#This Row],[2]],",",""))+1,1),"")</f>
        <v/>
      </c>
      <c r="AB291">
        <f>IF(Tabela1[[#This Row],[3]]&lt;&gt;"",IF(ISNUMBER(FIND(",",Tabela1[[#This Row],[3]])),LEN(Tabela1[[#This Row],[3]])-LEN(SUBSTITUTE(Tabela1[[#This Row],[3]],",",""))+1,1),"")</f>
        <v>2</v>
      </c>
      <c r="AC291" t="str">
        <f>IF(Tabela1[[#This Row],[4]]&lt;&gt;"",IF(ISNUMBER(FIND(",",Tabela1[[#This Row],[4]])),LEN(Tabela1[[#This Row],[4]])-LEN(SUBSTITUTE(Tabela1[[#This Row],[4]],",",""))+1,1),"")</f>
        <v/>
      </c>
      <c r="AD291" t="str">
        <f>IF(Tabela1[[#This Row],[5]]&lt;&gt;"",IF(ISNUMBER(FIND(",",Tabela1[[#This Row],[5]])),LEN(Tabela1[[#This Row],[5]])-LEN(SUBSTITUTE(Tabela1[[#This Row],[5]],",",""))+1,1),"")</f>
        <v/>
      </c>
      <c r="AE291" t="str">
        <f>IF(Tabela1[[#This Row],[6]]&lt;&gt;"",IF(ISNUMBER(FIND(",",Tabela1[[#This Row],[6]])),LEN(Tabela1[[#This Row],[6]])-LEN(SUBSTITUTE(Tabela1[[#This Row],[6]],",",""))+1,1),"")</f>
        <v/>
      </c>
      <c r="AF291" t="str">
        <f>IF(Tabela1[[#This Row],[7]]&lt;&gt;"",IF(ISNUMBER(FIND(",",Tabela1[[#This Row],[7]])),LEN(Tabela1[[#This Row],[7]])-LEN(SUBSTITUTE(Tabela1[[#This Row],[7]],",",""))+1,1),"")</f>
        <v/>
      </c>
      <c r="AG291" t="str">
        <f>IF(Tabela1[[#This Row],[8]]&lt;&gt;"",IF(ISNUMBER(FIND(",",Tabela1[[#This Row],[8]])),LEN(Tabela1[[#This Row],[8]])-LEN(SUBSTITUTE(Tabela1[[#This Row],[8]],",",""))+1,1),"")</f>
        <v/>
      </c>
      <c r="AH291" t="str">
        <f>IF(Tabela1[[#This Row],[9]]&lt;&gt;"",IF(ISNUMBER(FIND(",",Tabela1[[#This Row],[9]])),LEN(Tabela1[[#This Row],[9]])-LEN(SUBSTITUTE(Tabela1[[#This Row],[9]],",",""))+1,1),"")</f>
        <v/>
      </c>
      <c r="AI291" t="str">
        <f>IF(Tabela1[[#This Row],[10]]&lt;&gt;"",IF(ISNUMBER(FIND(",",Tabela1[[#This Row],[10]])),LEN(Tabela1[[#This Row],[10]])-LEN(SUBSTITUTE(Tabela1[[#This Row],[10]],",",""))+1,1),"")</f>
        <v/>
      </c>
      <c r="AJ291" t="str">
        <f>IF(Tabela1[[#This Row],[11]]&lt;&gt;"",IF(ISNUMBER(FIND(",",Tabela1[[#This Row],[11]])),LEN(Tabela1[[#This Row],[11]])-LEN(SUBSTITUTE(Tabela1[[#This Row],[11]],",",""))+1,1),"")</f>
        <v/>
      </c>
      <c r="AK291" t="str">
        <f>IF(Tabela1[[#This Row],[12]]&lt;&gt;"",IF(ISNUMBER(FIND(",",Tabela1[[#This Row],[12]])),LEN(Tabela1[[#This Row],[12]])-LEN(SUBSTITUTE(Tabela1[[#This Row],[12]],",",""))+1,1),"")</f>
        <v/>
      </c>
      <c r="AL291" t="str">
        <f>IF(Tabela1[[#This Row],[13]]&lt;&gt;"",IF(ISNUMBER(FIND(",",Tabela1[[#This Row],[13]])),LEN(Tabela1[[#This Row],[13]])-LEN(SUBSTITUTE(Tabela1[[#This Row],[13]],",",""))+1,1),"")</f>
        <v/>
      </c>
      <c r="AM291" t="str">
        <f>IF(Tabela1[[#This Row],[14]]&lt;&gt;"",IF(ISNUMBER(FIND(",",Tabela1[[#This Row],[14]])),LEN(Tabela1[[#This Row],[14]])-LEN(SUBSTITUTE(Tabela1[[#This Row],[14]],",",""))+1,1),"")</f>
        <v/>
      </c>
      <c r="AN291" t="str">
        <f>IF(Tabela1[[#This Row],[15]]&lt;&gt;"",IF(ISNUMBER(FIND(",",Tabela1[[#This Row],[15]])),LEN(Tabela1[[#This Row],[15]])-LEN(SUBSTITUTE(Tabela1[[#This Row],[15]],",",""))+1,1),"")</f>
        <v/>
      </c>
      <c r="AO291" t="str">
        <f>IF(Tabela1[[#This Row],[16]]&lt;&gt;"",IF(ISNUMBER(FIND(",",Tabela1[[#This Row],[16]])),LEN(Tabela1[[#This Row],[16]])-LEN(SUBSTITUTE(Tabela1[[#This Row],[16]],",",""))+1,1),"")</f>
        <v/>
      </c>
      <c r="AP291" t="str">
        <f>IF(Tabela1[[#This Row],[17]]&lt;&gt;"",IF(ISNUMBER(FIND(",",Tabela1[[#This Row],[17]])),LEN(Tabela1[[#This Row],[17]])-LEN(SUBSTITUTE(Tabela1[[#This Row],[17]],",",""))+1,1),"")</f>
        <v/>
      </c>
      <c r="AQ291" t="str">
        <f>IF(Tabela1[[#This Row],[18]]&lt;&gt;"",IF(ISNUMBER(FIND(",",Tabela1[[#This Row],[18]])),LEN(Tabela1[[#This Row],[18]])-LEN(SUBSTITUTE(Tabela1[[#This Row],[18]],",",""))+1,1),"")</f>
        <v/>
      </c>
      <c r="AR291" s="13" t="str">
        <f>IF(Tabela1[[#This Row],[19_LENGTH]]&lt;&gt;"",IF(ISNUMBER(FIND(",",Tabela1[[#This Row],[19_LENGTH]])),LEN(Tabela1[[#This Row],[19_LENGTH]])-LEN(SUBSTITUTE(Tabela1[[#This Row],[19_LENGTH]],",",""))+1,1),"")</f>
        <v/>
      </c>
      <c r="AS291" s="21">
        <f>SUM(Tabela1[[#This Row],[1_]:[19_]])</f>
        <v>2</v>
      </c>
    </row>
    <row r="292" spans="1:45" x14ac:dyDescent="0.25">
      <c r="A292" s="27" t="s">
        <v>1322</v>
      </c>
      <c r="B292" s="19" t="s">
        <v>925</v>
      </c>
      <c r="C292" s="19">
        <v>202</v>
      </c>
      <c r="D292" s="19" t="s">
        <v>1292</v>
      </c>
      <c r="E292" s="20">
        <v>43494</v>
      </c>
      <c r="F292" s="19"/>
      <c r="G292" s="19">
        <v>68</v>
      </c>
      <c r="H292" s="19" t="s">
        <v>122</v>
      </c>
      <c r="I292" s="19"/>
      <c r="J292" s="19"/>
      <c r="K292" s="19"/>
      <c r="L292" s="19"/>
      <c r="M292" s="19"/>
      <c r="N292" s="19"/>
      <c r="O292" s="19"/>
      <c r="P292" s="19"/>
      <c r="Q292" s="19"/>
      <c r="R292" s="19"/>
      <c r="S292" s="19"/>
      <c r="T292" s="19"/>
      <c r="U292" s="19"/>
      <c r="V292" s="19"/>
      <c r="W292" s="19"/>
      <c r="X292" s="19"/>
      <c r="Y292" s="19"/>
      <c r="Z292" t="str">
        <f>IF(Tabela1[[#This Row],[1]]&lt;&gt;"",IF(ISNUMBER(FIND(",",Tabela1[[#This Row],[1]])),LEN(Tabela1[[#This Row],[1]])-LEN(SUBSTITUTE(Tabela1[[#This Row],[1]],",",""))+1,1),"")</f>
        <v/>
      </c>
      <c r="AA292">
        <f>IF(Tabela1[[#This Row],[2]]&lt;&gt;"",IF(ISNUMBER(FIND(",",Tabela1[[#This Row],[2]])),LEN(Tabela1[[#This Row],[2]])-LEN(SUBSTITUTE(Tabela1[[#This Row],[2]],",",""))+1,1),"")</f>
        <v>1</v>
      </c>
      <c r="AB292">
        <f>IF(Tabela1[[#This Row],[3]]&lt;&gt;"",IF(ISNUMBER(FIND(",",Tabela1[[#This Row],[3]])),LEN(Tabela1[[#This Row],[3]])-LEN(SUBSTITUTE(Tabela1[[#This Row],[3]],",",""))+1,1),"")</f>
        <v>2</v>
      </c>
      <c r="AC292" t="str">
        <f>IF(Tabela1[[#This Row],[4]]&lt;&gt;"",IF(ISNUMBER(FIND(",",Tabela1[[#This Row],[4]])),LEN(Tabela1[[#This Row],[4]])-LEN(SUBSTITUTE(Tabela1[[#This Row],[4]],",",""))+1,1),"")</f>
        <v/>
      </c>
      <c r="AD292" t="str">
        <f>IF(Tabela1[[#This Row],[5]]&lt;&gt;"",IF(ISNUMBER(FIND(",",Tabela1[[#This Row],[5]])),LEN(Tabela1[[#This Row],[5]])-LEN(SUBSTITUTE(Tabela1[[#This Row],[5]],",",""))+1,1),"")</f>
        <v/>
      </c>
      <c r="AE292" t="str">
        <f>IF(Tabela1[[#This Row],[6]]&lt;&gt;"",IF(ISNUMBER(FIND(",",Tabela1[[#This Row],[6]])),LEN(Tabela1[[#This Row],[6]])-LEN(SUBSTITUTE(Tabela1[[#This Row],[6]],",",""))+1,1),"")</f>
        <v/>
      </c>
      <c r="AF292" t="str">
        <f>IF(Tabela1[[#This Row],[7]]&lt;&gt;"",IF(ISNUMBER(FIND(",",Tabela1[[#This Row],[7]])),LEN(Tabela1[[#This Row],[7]])-LEN(SUBSTITUTE(Tabela1[[#This Row],[7]],",",""))+1,1),"")</f>
        <v/>
      </c>
      <c r="AG292" t="str">
        <f>IF(Tabela1[[#This Row],[8]]&lt;&gt;"",IF(ISNUMBER(FIND(",",Tabela1[[#This Row],[8]])),LEN(Tabela1[[#This Row],[8]])-LEN(SUBSTITUTE(Tabela1[[#This Row],[8]],",",""))+1,1),"")</f>
        <v/>
      </c>
      <c r="AH292" t="str">
        <f>IF(Tabela1[[#This Row],[9]]&lt;&gt;"",IF(ISNUMBER(FIND(",",Tabela1[[#This Row],[9]])),LEN(Tabela1[[#This Row],[9]])-LEN(SUBSTITUTE(Tabela1[[#This Row],[9]],",",""))+1,1),"")</f>
        <v/>
      </c>
      <c r="AI292" t="str">
        <f>IF(Tabela1[[#This Row],[10]]&lt;&gt;"",IF(ISNUMBER(FIND(",",Tabela1[[#This Row],[10]])),LEN(Tabela1[[#This Row],[10]])-LEN(SUBSTITUTE(Tabela1[[#This Row],[10]],",",""))+1,1),"")</f>
        <v/>
      </c>
      <c r="AJ292" t="str">
        <f>IF(Tabela1[[#This Row],[11]]&lt;&gt;"",IF(ISNUMBER(FIND(",",Tabela1[[#This Row],[11]])),LEN(Tabela1[[#This Row],[11]])-LEN(SUBSTITUTE(Tabela1[[#This Row],[11]],",",""))+1,1),"")</f>
        <v/>
      </c>
      <c r="AK292" t="str">
        <f>IF(Tabela1[[#This Row],[12]]&lt;&gt;"",IF(ISNUMBER(FIND(",",Tabela1[[#This Row],[12]])),LEN(Tabela1[[#This Row],[12]])-LEN(SUBSTITUTE(Tabela1[[#This Row],[12]],",",""))+1,1),"")</f>
        <v/>
      </c>
      <c r="AL292" t="str">
        <f>IF(Tabela1[[#This Row],[13]]&lt;&gt;"",IF(ISNUMBER(FIND(",",Tabela1[[#This Row],[13]])),LEN(Tabela1[[#This Row],[13]])-LEN(SUBSTITUTE(Tabela1[[#This Row],[13]],",",""))+1,1),"")</f>
        <v/>
      </c>
      <c r="AM292" t="str">
        <f>IF(Tabela1[[#This Row],[14]]&lt;&gt;"",IF(ISNUMBER(FIND(",",Tabela1[[#This Row],[14]])),LEN(Tabela1[[#This Row],[14]])-LEN(SUBSTITUTE(Tabela1[[#This Row],[14]],",",""))+1,1),"")</f>
        <v/>
      </c>
      <c r="AN292" t="str">
        <f>IF(Tabela1[[#This Row],[15]]&lt;&gt;"",IF(ISNUMBER(FIND(",",Tabela1[[#This Row],[15]])),LEN(Tabela1[[#This Row],[15]])-LEN(SUBSTITUTE(Tabela1[[#This Row],[15]],",",""))+1,1),"")</f>
        <v/>
      </c>
      <c r="AO292" t="str">
        <f>IF(Tabela1[[#This Row],[16]]&lt;&gt;"",IF(ISNUMBER(FIND(",",Tabela1[[#This Row],[16]])),LEN(Tabela1[[#This Row],[16]])-LEN(SUBSTITUTE(Tabela1[[#This Row],[16]],",",""))+1,1),"")</f>
        <v/>
      </c>
      <c r="AP292" t="str">
        <f>IF(Tabela1[[#This Row],[17]]&lt;&gt;"",IF(ISNUMBER(FIND(",",Tabela1[[#This Row],[17]])),LEN(Tabela1[[#This Row],[17]])-LEN(SUBSTITUTE(Tabela1[[#This Row],[17]],",",""))+1,1),"")</f>
        <v/>
      </c>
      <c r="AQ292" t="str">
        <f>IF(Tabela1[[#This Row],[18]]&lt;&gt;"",IF(ISNUMBER(FIND(",",Tabela1[[#This Row],[18]])),LEN(Tabela1[[#This Row],[18]])-LEN(SUBSTITUTE(Tabela1[[#This Row],[18]],",",""))+1,1),"")</f>
        <v/>
      </c>
      <c r="AR292" s="13" t="str">
        <f>IF(Tabela1[[#This Row],[19_LENGTH]]&lt;&gt;"",IF(ISNUMBER(FIND(",",Tabela1[[#This Row],[19_LENGTH]])),LEN(Tabela1[[#This Row],[19_LENGTH]])-LEN(SUBSTITUTE(Tabela1[[#This Row],[19_LENGTH]],",",""))+1,1),"")</f>
        <v/>
      </c>
      <c r="AS292" s="21">
        <f>SUM(Tabela1[[#This Row],[1_]:[19_]])</f>
        <v>3</v>
      </c>
    </row>
    <row r="293" spans="1:45" x14ac:dyDescent="0.25">
      <c r="A293" s="27" t="s">
        <v>1322</v>
      </c>
      <c r="B293" s="19" t="s">
        <v>926</v>
      </c>
      <c r="C293" s="19">
        <v>202</v>
      </c>
      <c r="D293" s="19" t="s">
        <v>1292</v>
      </c>
      <c r="E293" s="20">
        <v>43494</v>
      </c>
      <c r="F293" s="19"/>
      <c r="G293" s="19" t="s">
        <v>123</v>
      </c>
      <c r="H293" s="19"/>
      <c r="I293" s="19"/>
      <c r="J293" s="19"/>
      <c r="K293" s="19"/>
      <c r="L293" s="19"/>
      <c r="M293" s="19"/>
      <c r="N293" s="19"/>
      <c r="O293" s="19">
        <v>98</v>
      </c>
      <c r="P293" s="19"/>
      <c r="Q293" s="19"/>
      <c r="R293" s="19"/>
      <c r="S293" s="19"/>
      <c r="T293" s="19"/>
      <c r="U293" s="19">
        <v>158</v>
      </c>
      <c r="V293" s="19"/>
      <c r="W293" s="19"/>
      <c r="X293" s="19"/>
      <c r="Y293" s="19"/>
      <c r="Z293" t="str">
        <f>IF(Tabela1[[#This Row],[1]]&lt;&gt;"",IF(ISNUMBER(FIND(",",Tabela1[[#This Row],[1]])),LEN(Tabela1[[#This Row],[1]])-LEN(SUBSTITUTE(Tabela1[[#This Row],[1]],",",""))+1,1),"")</f>
        <v/>
      </c>
      <c r="AA293">
        <f>IF(Tabela1[[#This Row],[2]]&lt;&gt;"",IF(ISNUMBER(FIND(",",Tabela1[[#This Row],[2]])),LEN(Tabela1[[#This Row],[2]])-LEN(SUBSTITUTE(Tabela1[[#This Row],[2]],",",""))+1,1),"")</f>
        <v>2</v>
      </c>
      <c r="AB293" t="str">
        <f>IF(Tabela1[[#This Row],[3]]&lt;&gt;"",IF(ISNUMBER(FIND(",",Tabela1[[#This Row],[3]])),LEN(Tabela1[[#This Row],[3]])-LEN(SUBSTITUTE(Tabela1[[#This Row],[3]],",",""))+1,1),"")</f>
        <v/>
      </c>
      <c r="AC293" t="str">
        <f>IF(Tabela1[[#This Row],[4]]&lt;&gt;"",IF(ISNUMBER(FIND(",",Tabela1[[#This Row],[4]])),LEN(Tabela1[[#This Row],[4]])-LEN(SUBSTITUTE(Tabela1[[#This Row],[4]],",",""))+1,1),"")</f>
        <v/>
      </c>
      <c r="AD293" t="str">
        <f>IF(Tabela1[[#This Row],[5]]&lt;&gt;"",IF(ISNUMBER(FIND(",",Tabela1[[#This Row],[5]])),LEN(Tabela1[[#This Row],[5]])-LEN(SUBSTITUTE(Tabela1[[#This Row],[5]],",",""))+1,1),"")</f>
        <v/>
      </c>
      <c r="AE293" t="str">
        <f>IF(Tabela1[[#This Row],[6]]&lt;&gt;"",IF(ISNUMBER(FIND(",",Tabela1[[#This Row],[6]])),LEN(Tabela1[[#This Row],[6]])-LEN(SUBSTITUTE(Tabela1[[#This Row],[6]],",",""))+1,1),"")</f>
        <v/>
      </c>
      <c r="AF293" t="str">
        <f>IF(Tabela1[[#This Row],[7]]&lt;&gt;"",IF(ISNUMBER(FIND(",",Tabela1[[#This Row],[7]])),LEN(Tabela1[[#This Row],[7]])-LEN(SUBSTITUTE(Tabela1[[#This Row],[7]],",",""))+1,1),"")</f>
        <v/>
      </c>
      <c r="AG293" t="str">
        <f>IF(Tabela1[[#This Row],[8]]&lt;&gt;"",IF(ISNUMBER(FIND(",",Tabela1[[#This Row],[8]])),LEN(Tabela1[[#This Row],[8]])-LEN(SUBSTITUTE(Tabela1[[#This Row],[8]],",",""))+1,1),"")</f>
        <v/>
      </c>
      <c r="AH293" t="str">
        <f>IF(Tabela1[[#This Row],[9]]&lt;&gt;"",IF(ISNUMBER(FIND(",",Tabela1[[#This Row],[9]])),LEN(Tabela1[[#This Row],[9]])-LEN(SUBSTITUTE(Tabela1[[#This Row],[9]],",",""))+1,1),"")</f>
        <v/>
      </c>
      <c r="AI293">
        <f>IF(Tabela1[[#This Row],[10]]&lt;&gt;"",IF(ISNUMBER(FIND(",",Tabela1[[#This Row],[10]])),LEN(Tabela1[[#This Row],[10]])-LEN(SUBSTITUTE(Tabela1[[#This Row],[10]],",",""))+1,1),"")</f>
        <v>1</v>
      </c>
      <c r="AJ293" t="str">
        <f>IF(Tabela1[[#This Row],[11]]&lt;&gt;"",IF(ISNUMBER(FIND(",",Tabela1[[#This Row],[11]])),LEN(Tabela1[[#This Row],[11]])-LEN(SUBSTITUTE(Tabela1[[#This Row],[11]],",",""))+1,1),"")</f>
        <v/>
      </c>
      <c r="AK293" t="str">
        <f>IF(Tabela1[[#This Row],[12]]&lt;&gt;"",IF(ISNUMBER(FIND(",",Tabela1[[#This Row],[12]])),LEN(Tabela1[[#This Row],[12]])-LEN(SUBSTITUTE(Tabela1[[#This Row],[12]],",",""))+1,1),"")</f>
        <v/>
      </c>
      <c r="AL293" t="str">
        <f>IF(Tabela1[[#This Row],[13]]&lt;&gt;"",IF(ISNUMBER(FIND(",",Tabela1[[#This Row],[13]])),LEN(Tabela1[[#This Row],[13]])-LEN(SUBSTITUTE(Tabela1[[#This Row],[13]],",",""))+1,1),"")</f>
        <v/>
      </c>
      <c r="AM293" t="str">
        <f>IF(Tabela1[[#This Row],[14]]&lt;&gt;"",IF(ISNUMBER(FIND(",",Tabela1[[#This Row],[14]])),LEN(Tabela1[[#This Row],[14]])-LEN(SUBSTITUTE(Tabela1[[#This Row],[14]],",",""))+1,1),"")</f>
        <v/>
      </c>
      <c r="AN293" t="str">
        <f>IF(Tabela1[[#This Row],[15]]&lt;&gt;"",IF(ISNUMBER(FIND(",",Tabela1[[#This Row],[15]])),LEN(Tabela1[[#This Row],[15]])-LEN(SUBSTITUTE(Tabela1[[#This Row],[15]],",",""))+1,1),"")</f>
        <v/>
      </c>
      <c r="AO293">
        <f>IF(Tabela1[[#This Row],[16]]&lt;&gt;"",IF(ISNUMBER(FIND(",",Tabela1[[#This Row],[16]])),LEN(Tabela1[[#This Row],[16]])-LEN(SUBSTITUTE(Tabela1[[#This Row],[16]],",",""))+1,1),"")</f>
        <v>1</v>
      </c>
      <c r="AP293" t="str">
        <f>IF(Tabela1[[#This Row],[17]]&lt;&gt;"",IF(ISNUMBER(FIND(",",Tabela1[[#This Row],[17]])),LEN(Tabela1[[#This Row],[17]])-LEN(SUBSTITUTE(Tabela1[[#This Row],[17]],",",""))+1,1),"")</f>
        <v/>
      </c>
      <c r="AQ293" t="str">
        <f>IF(Tabela1[[#This Row],[18]]&lt;&gt;"",IF(ISNUMBER(FIND(",",Tabela1[[#This Row],[18]])),LEN(Tabela1[[#This Row],[18]])-LEN(SUBSTITUTE(Tabela1[[#This Row],[18]],",",""))+1,1),"")</f>
        <v/>
      </c>
      <c r="AR293" s="13" t="str">
        <f>IF(Tabela1[[#This Row],[19_LENGTH]]&lt;&gt;"",IF(ISNUMBER(FIND(",",Tabela1[[#This Row],[19_LENGTH]])),LEN(Tabela1[[#This Row],[19_LENGTH]])-LEN(SUBSTITUTE(Tabela1[[#This Row],[19_LENGTH]],",",""))+1,1),"")</f>
        <v/>
      </c>
      <c r="AS293" s="21">
        <f>SUM(Tabela1[[#This Row],[1_]:[19_]])</f>
        <v>4</v>
      </c>
    </row>
    <row r="294" spans="1:45" x14ac:dyDescent="0.25">
      <c r="A294" s="27" t="s">
        <v>1322</v>
      </c>
      <c r="B294" s="19" t="s">
        <v>449</v>
      </c>
      <c r="C294" s="19">
        <v>202</v>
      </c>
      <c r="D294" s="19" t="s">
        <v>1298</v>
      </c>
      <c r="E294" s="20">
        <v>43493</v>
      </c>
      <c r="F294" s="19"/>
      <c r="G294" s="19"/>
      <c r="H294" s="19"/>
      <c r="I294" s="19" t="s">
        <v>124</v>
      </c>
      <c r="J294" s="19"/>
      <c r="K294" s="19"/>
      <c r="L294" s="19"/>
      <c r="M294" s="19"/>
      <c r="N294" s="19"/>
      <c r="O294" s="19"/>
      <c r="P294" s="19"/>
      <c r="Q294" s="19"/>
      <c r="R294" s="19"/>
      <c r="S294" s="19"/>
      <c r="T294" s="19"/>
      <c r="U294" s="19"/>
      <c r="V294" s="19"/>
      <c r="W294" s="19"/>
      <c r="X294" s="19"/>
      <c r="Y294" s="19"/>
      <c r="Z294" t="str">
        <f>IF(Tabela1[[#This Row],[1]]&lt;&gt;"",IF(ISNUMBER(FIND(",",Tabela1[[#This Row],[1]])),LEN(Tabela1[[#This Row],[1]])-LEN(SUBSTITUTE(Tabela1[[#This Row],[1]],",",""))+1,1),"")</f>
        <v/>
      </c>
      <c r="AA294" t="str">
        <f>IF(Tabela1[[#This Row],[2]]&lt;&gt;"",IF(ISNUMBER(FIND(",",Tabela1[[#This Row],[2]])),LEN(Tabela1[[#This Row],[2]])-LEN(SUBSTITUTE(Tabela1[[#This Row],[2]],",",""))+1,1),"")</f>
        <v/>
      </c>
      <c r="AB294" t="str">
        <f>IF(Tabela1[[#This Row],[3]]&lt;&gt;"",IF(ISNUMBER(FIND(",",Tabela1[[#This Row],[3]])),LEN(Tabela1[[#This Row],[3]])-LEN(SUBSTITUTE(Tabela1[[#This Row],[3]],",",""))+1,1),"")</f>
        <v/>
      </c>
      <c r="AC294">
        <f>IF(Tabela1[[#This Row],[4]]&lt;&gt;"",IF(ISNUMBER(FIND(",",Tabela1[[#This Row],[4]])),LEN(Tabela1[[#This Row],[4]])-LEN(SUBSTITUTE(Tabela1[[#This Row],[4]],",",""))+1,1),"")</f>
        <v>1</v>
      </c>
      <c r="AD294" t="str">
        <f>IF(Tabela1[[#This Row],[5]]&lt;&gt;"",IF(ISNUMBER(FIND(",",Tabela1[[#This Row],[5]])),LEN(Tabela1[[#This Row],[5]])-LEN(SUBSTITUTE(Tabela1[[#This Row],[5]],",",""))+1,1),"")</f>
        <v/>
      </c>
      <c r="AE294" t="str">
        <f>IF(Tabela1[[#This Row],[6]]&lt;&gt;"",IF(ISNUMBER(FIND(",",Tabela1[[#This Row],[6]])),LEN(Tabela1[[#This Row],[6]])-LEN(SUBSTITUTE(Tabela1[[#This Row],[6]],",",""))+1,1),"")</f>
        <v/>
      </c>
      <c r="AF294" t="str">
        <f>IF(Tabela1[[#This Row],[7]]&lt;&gt;"",IF(ISNUMBER(FIND(",",Tabela1[[#This Row],[7]])),LEN(Tabela1[[#This Row],[7]])-LEN(SUBSTITUTE(Tabela1[[#This Row],[7]],",",""))+1,1),"")</f>
        <v/>
      </c>
      <c r="AG294" t="str">
        <f>IF(Tabela1[[#This Row],[8]]&lt;&gt;"",IF(ISNUMBER(FIND(",",Tabela1[[#This Row],[8]])),LEN(Tabela1[[#This Row],[8]])-LEN(SUBSTITUTE(Tabela1[[#This Row],[8]],",",""))+1,1),"")</f>
        <v/>
      </c>
      <c r="AH294" t="str">
        <f>IF(Tabela1[[#This Row],[9]]&lt;&gt;"",IF(ISNUMBER(FIND(",",Tabela1[[#This Row],[9]])),LEN(Tabela1[[#This Row],[9]])-LEN(SUBSTITUTE(Tabela1[[#This Row],[9]],",",""))+1,1),"")</f>
        <v/>
      </c>
      <c r="AI294" t="str">
        <f>IF(Tabela1[[#This Row],[10]]&lt;&gt;"",IF(ISNUMBER(FIND(",",Tabela1[[#This Row],[10]])),LEN(Tabela1[[#This Row],[10]])-LEN(SUBSTITUTE(Tabela1[[#This Row],[10]],",",""))+1,1),"")</f>
        <v/>
      </c>
      <c r="AJ294" t="str">
        <f>IF(Tabela1[[#This Row],[11]]&lt;&gt;"",IF(ISNUMBER(FIND(",",Tabela1[[#This Row],[11]])),LEN(Tabela1[[#This Row],[11]])-LEN(SUBSTITUTE(Tabela1[[#This Row],[11]],",",""))+1,1),"")</f>
        <v/>
      </c>
      <c r="AK294" t="str">
        <f>IF(Tabela1[[#This Row],[12]]&lt;&gt;"",IF(ISNUMBER(FIND(",",Tabela1[[#This Row],[12]])),LEN(Tabela1[[#This Row],[12]])-LEN(SUBSTITUTE(Tabela1[[#This Row],[12]],",",""))+1,1),"")</f>
        <v/>
      </c>
      <c r="AL294" t="str">
        <f>IF(Tabela1[[#This Row],[13]]&lt;&gt;"",IF(ISNUMBER(FIND(",",Tabela1[[#This Row],[13]])),LEN(Tabela1[[#This Row],[13]])-LEN(SUBSTITUTE(Tabela1[[#This Row],[13]],",",""))+1,1),"")</f>
        <v/>
      </c>
      <c r="AM294" t="str">
        <f>IF(Tabela1[[#This Row],[14]]&lt;&gt;"",IF(ISNUMBER(FIND(",",Tabela1[[#This Row],[14]])),LEN(Tabela1[[#This Row],[14]])-LEN(SUBSTITUTE(Tabela1[[#This Row],[14]],",",""))+1,1),"")</f>
        <v/>
      </c>
      <c r="AN294" t="str">
        <f>IF(Tabela1[[#This Row],[15]]&lt;&gt;"",IF(ISNUMBER(FIND(",",Tabela1[[#This Row],[15]])),LEN(Tabela1[[#This Row],[15]])-LEN(SUBSTITUTE(Tabela1[[#This Row],[15]],",",""))+1,1),"")</f>
        <v/>
      </c>
      <c r="AO294" t="str">
        <f>IF(Tabela1[[#This Row],[16]]&lt;&gt;"",IF(ISNUMBER(FIND(",",Tabela1[[#This Row],[16]])),LEN(Tabela1[[#This Row],[16]])-LEN(SUBSTITUTE(Tabela1[[#This Row],[16]],",",""))+1,1),"")</f>
        <v/>
      </c>
      <c r="AP294" t="str">
        <f>IF(Tabela1[[#This Row],[17]]&lt;&gt;"",IF(ISNUMBER(FIND(",",Tabela1[[#This Row],[17]])),LEN(Tabela1[[#This Row],[17]])-LEN(SUBSTITUTE(Tabela1[[#This Row],[17]],",",""))+1,1),"")</f>
        <v/>
      </c>
      <c r="AQ294" t="str">
        <f>IF(Tabela1[[#This Row],[18]]&lt;&gt;"",IF(ISNUMBER(FIND(",",Tabela1[[#This Row],[18]])),LEN(Tabela1[[#This Row],[18]])-LEN(SUBSTITUTE(Tabela1[[#This Row],[18]],",",""))+1,1),"")</f>
        <v/>
      </c>
      <c r="AR294" s="13" t="str">
        <f>IF(Tabela1[[#This Row],[19_LENGTH]]&lt;&gt;"",IF(ISNUMBER(FIND(",",Tabela1[[#This Row],[19_LENGTH]])),LEN(Tabela1[[#This Row],[19_LENGTH]])-LEN(SUBSTITUTE(Tabela1[[#This Row],[19_LENGTH]],",",""))+1,1),"")</f>
        <v/>
      </c>
      <c r="AS294" s="21">
        <f>SUM(Tabela1[[#This Row],[1_]:[19_]])</f>
        <v>1</v>
      </c>
    </row>
    <row r="295" spans="1:45" x14ac:dyDescent="0.25">
      <c r="A295" s="27" t="s">
        <v>1322</v>
      </c>
      <c r="B295" s="19" t="s">
        <v>450</v>
      </c>
      <c r="C295" s="19">
        <v>74</v>
      </c>
      <c r="D295" s="19" t="s">
        <v>1298</v>
      </c>
      <c r="E295" s="20">
        <v>43493</v>
      </c>
      <c r="F295" s="19"/>
      <c r="G295" s="19"/>
      <c r="H295" s="19">
        <v>55</v>
      </c>
      <c r="I295" s="19"/>
      <c r="J295" s="19"/>
      <c r="K295" s="19"/>
      <c r="L295" s="19"/>
      <c r="M295" s="19"/>
      <c r="N295" s="19"/>
      <c r="O295" s="19"/>
      <c r="P295" s="19"/>
      <c r="Q295" s="19"/>
      <c r="R295" s="19"/>
      <c r="S295" s="19"/>
      <c r="T295" s="19"/>
      <c r="U295" s="19"/>
      <c r="V295" s="19"/>
      <c r="W295" s="19"/>
      <c r="X295" s="19"/>
      <c r="Y295" s="19"/>
      <c r="Z295" t="str">
        <f>IF(Tabela1[[#This Row],[1]]&lt;&gt;"",IF(ISNUMBER(FIND(",",Tabela1[[#This Row],[1]])),LEN(Tabela1[[#This Row],[1]])-LEN(SUBSTITUTE(Tabela1[[#This Row],[1]],",",""))+1,1),"")</f>
        <v/>
      </c>
      <c r="AA295" t="str">
        <f>IF(Tabela1[[#This Row],[2]]&lt;&gt;"",IF(ISNUMBER(FIND(",",Tabela1[[#This Row],[2]])),LEN(Tabela1[[#This Row],[2]])-LEN(SUBSTITUTE(Tabela1[[#This Row],[2]],",",""))+1,1),"")</f>
        <v/>
      </c>
      <c r="AB295">
        <f>IF(Tabela1[[#This Row],[3]]&lt;&gt;"",IF(ISNUMBER(FIND(",",Tabela1[[#This Row],[3]])),LEN(Tabela1[[#This Row],[3]])-LEN(SUBSTITUTE(Tabela1[[#This Row],[3]],",",""))+1,1),"")</f>
        <v>1</v>
      </c>
      <c r="AC295" t="str">
        <f>IF(Tabela1[[#This Row],[4]]&lt;&gt;"",IF(ISNUMBER(FIND(",",Tabela1[[#This Row],[4]])),LEN(Tabela1[[#This Row],[4]])-LEN(SUBSTITUTE(Tabela1[[#This Row],[4]],",",""))+1,1),"")</f>
        <v/>
      </c>
      <c r="AD295" t="str">
        <f>IF(Tabela1[[#This Row],[5]]&lt;&gt;"",IF(ISNUMBER(FIND(",",Tabela1[[#This Row],[5]])),LEN(Tabela1[[#This Row],[5]])-LEN(SUBSTITUTE(Tabela1[[#This Row],[5]],",",""))+1,1),"")</f>
        <v/>
      </c>
      <c r="AE295" t="str">
        <f>IF(Tabela1[[#This Row],[6]]&lt;&gt;"",IF(ISNUMBER(FIND(",",Tabela1[[#This Row],[6]])),LEN(Tabela1[[#This Row],[6]])-LEN(SUBSTITUTE(Tabela1[[#This Row],[6]],",",""))+1,1),"")</f>
        <v/>
      </c>
      <c r="AF295" t="str">
        <f>IF(Tabela1[[#This Row],[7]]&lt;&gt;"",IF(ISNUMBER(FIND(",",Tabela1[[#This Row],[7]])),LEN(Tabela1[[#This Row],[7]])-LEN(SUBSTITUTE(Tabela1[[#This Row],[7]],",",""))+1,1),"")</f>
        <v/>
      </c>
      <c r="AG295" t="str">
        <f>IF(Tabela1[[#This Row],[8]]&lt;&gt;"",IF(ISNUMBER(FIND(",",Tabela1[[#This Row],[8]])),LEN(Tabela1[[#This Row],[8]])-LEN(SUBSTITUTE(Tabela1[[#This Row],[8]],",",""))+1,1),"")</f>
        <v/>
      </c>
      <c r="AH295" t="str">
        <f>IF(Tabela1[[#This Row],[9]]&lt;&gt;"",IF(ISNUMBER(FIND(",",Tabela1[[#This Row],[9]])),LEN(Tabela1[[#This Row],[9]])-LEN(SUBSTITUTE(Tabela1[[#This Row],[9]],",",""))+1,1),"")</f>
        <v/>
      </c>
      <c r="AI295" t="str">
        <f>IF(Tabela1[[#This Row],[10]]&lt;&gt;"",IF(ISNUMBER(FIND(",",Tabela1[[#This Row],[10]])),LEN(Tabela1[[#This Row],[10]])-LEN(SUBSTITUTE(Tabela1[[#This Row],[10]],",",""))+1,1),"")</f>
        <v/>
      </c>
      <c r="AJ295" t="str">
        <f>IF(Tabela1[[#This Row],[11]]&lt;&gt;"",IF(ISNUMBER(FIND(",",Tabela1[[#This Row],[11]])),LEN(Tabela1[[#This Row],[11]])-LEN(SUBSTITUTE(Tabela1[[#This Row],[11]],",",""))+1,1),"")</f>
        <v/>
      </c>
      <c r="AK295" t="str">
        <f>IF(Tabela1[[#This Row],[12]]&lt;&gt;"",IF(ISNUMBER(FIND(",",Tabela1[[#This Row],[12]])),LEN(Tabela1[[#This Row],[12]])-LEN(SUBSTITUTE(Tabela1[[#This Row],[12]],",",""))+1,1),"")</f>
        <v/>
      </c>
      <c r="AL295" t="str">
        <f>IF(Tabela1[[#This Row],[13]]&lt;&gt;"",IF(ISNUMBER(FIND(",",Tabela1[[#This Row],[13]])),LEN(Tabela1[[#This Row],[13]])-LEN(SUBSTITUTE(Tabela1[[#This Row],[13]],",",""))+1,1),"")</f>
        <v/>
      </c>
      <c r="AM295" t="str">
        <f>IF(Tabela1[[#This Row],[14]]&lt;&gt;"",IF(ISNUMBER(FIND(",",Tabela1[[#This Row],[14]])),LEN(Tabela1[[#This Row],[14]])-LEN(SUBSTITUTE(Tabela1[[#This Row],[14]],",",""))+1,1),"")</f>
        <v/>
      </c>
      <c r="AN295" t="str">
        <f>IF(Tabela1[[#This Row],[15]]&lt;&gt;"",IF(ISNUMBER(FIND(",",Tabela1[[#This Row],[15]])),LEN(Tabela1[[#This Row],[15]])-LEN(SUBSTITUTE(Tabela1[[#This Row],[15]],",",""))+1,1),"")</f>
        <v/>
      </c>
      <c r="AO295" t="str">
        <f>IF(Tabela1[[#This Row],[16]]&lt;&gt;"",IF(ISNUMBER(FIND(",",Tabela1[[#This Row],[16]])),LEN(Tabela1[[#This Row],[16]])-LEN(SUBSTITUTE(Tabela1[[#This Row],[16]],",",""))+1,1),"")</f>
        <v/>
      </c>
      <c r="AP295" t="str">
        <f>IF(Tabela1[[#This Row],[17]]&lt;&gt;"",IF(ISNUMBER(FIND(",",Tabela1[[#This Row],[17]])),LEN(Tabela1[[#This Row],[17]])-LEN(SUBSTITUTE(Tabela1[[#This Row],[17]],",",""))+1,1),"")</f>
        <v/>
      </c>
      <c r="AQ295" t="str">
        <f>IF(Tabela1[[#This Row],[18]]&lt;&gt;"",IF(ISNUMBER(FIND(",",Tabela1[[#This Row],[18]])),LEN(Tabela1[[#This Row],[18]])-LEN(SUBSTITUTE(Tabela1[[#This Row],[18]],",",""))+1,1),"")</f>
        <v/>
      </c>
      <c r="AR295" s="13" t="str">
        <f>IF(Tabela1[[#This Row],[19_LENGTH]]&lt;&gt;"",IF(ISNUMBER(FIND(",",Tabela1[[#This Row],[19_LENGTH]])),LEN(Tabela1[[#This Row],[19_LENGTH]])-LEN(SUBSTITUTE(Tabela1[[#This Row],[19_LENGTH]],",",""))+1,1),"")</f>
        <v/>
      </c>
      <c r="AS295" s="21">
        <f>SUM(Tabela1[[#This Row],[1_]:[19_]])</f>
        <v>1</v>
      </c>
    </row>
    <row r="296" spans="1:45" x14ac:dyDescent="0.25">
      <c r="A296" s="27" t="s">
        <v>1322</v>
      </c>
      <c r="B296" s="19" t="s">
        <v>451</v>
      </c>
      <c r="C296" s="19">
        <v>202</v>
      </c>
      <c r="D296" s="19" t="s">
        <v>1298</v>
      </c>
      <c r="E296" s="20">
        <v>43493</v>
      </c>
      <c r="F296" s="19"/>
      <c r="G296" s="19"/>
      <c r="H296" s="19"/>
      <c r="I296" s="19" t="s">
        <v>125</v>
      </c>
      <c r="J296" s="19"/>
      <c r="K296" s="19"/>
      <c r="L296" s="19"/>
      <c r="M296" s="19"/>
      <c r="N296" s="19"/>
      <c r="O296" s="19"/>
      <c r="P296" s="19"/>
      <c r="Q296" s="19"/>
      <c r="R296" s="19"/>
      <c r="S296" s="19"/>
      <c r="T296" s="19"/>
      <c r="U296" s="19">
        <v>21</v>
      </c>
      <c r="V296" s="19"/>
      <c r="W296" s="19">
        <v>32</v>
      </c>
      <c r="X296" s="19"/>
      <c r="Y296" s="19"/>
      <c r="Z296" t="str">
        <f>IF(Tabela1[[#This Row],[1]]&lt;&gt;"",IF(ISNUMBER(FIND(",",Tabela1[[#This Row],[1]])),LEN(Tabela1[[#This Row],[1]])-LEN(SUBSTITUTE(Tabela1[[#This Row],[1]],",",""))+1,1),"")</f>
        <v/>
      </c>
      <c r="AA296" t="str">
        <f>IF(Tabela1[[#This Row],[2]]&lt;&gt;"",IF(ISNUMBER(FIND(",",Tabela1[[#This Row],[2]])),LEN(Tabela1[[#This Row],[2]])-LEN(SUBSTITUTE(Tabela1[[#This Row],[2]],",",""))+1,1),"")</f>
        <v/>
      </c>
      <c r="AB296" t="str">
        <f>IF(Tabela1[[#This Row],[3]]&lt;&gt;"",IF(ISNUMBER(FIND(",",Tabela1[[#This Row],[3]])),LEN(Tabela1[[#This Row],[3]])-LEN(SUBSTITUTE(Tabela1[[#This Row],[3]],",",""))+1,1),"")</f>
        <v/>
      </c>
      <c r="AC296">
        <f>IF(Tabela1[[#This Row],[4]]&lt;&gt;"",IF(ISNUMBER(FIND(",",Tabela1[[#This Row],[4]])),LEN(Tabela1[[#This Row],[4]])-LEN(SUBSTITUTE(Tabela1[[#This Row],[4]],",",""))+1,1),"")</f>
        <v>4</v>
      </c>
      <c r="AD296" t="str">
        <f>IF(Tabela1[[#This Row],[5]]&lt;&gt;"",IF(ISNUMBER(FIND(",",Tabela1[[#This Row],[5]])),LEN(Tabela1[[#This Row],[5]])-LEN(SUBSTITUTE(Tabela1[[#This Row],[5]],",",""))+1,1),"")</f>
        <v/>
      </c>
      <c r="AE296" t="str">
        <f>IF(Tabela1[[#This Row],[6]]&lt;&gt;"",IF(ISNUMBER(FIND(",",Tabela1[[#This Row],[6]])),LEN(Tabela1[[#This Row],[6]])-LEN(SUBSTITUTE(Tabela1[[#This Row],[6]],",",""))+1,1),"")</f>
        <v/>
      </c>
      <c r="AF296" t="str">
        <f>IF(Tabela1[[#This Row],[7]]&lt;&gt;"",IF(ISNUMBER(FIND(",",Tabela1[[#This Row],[7]])),LEN(Tabela1[[#This Row],[7]])-LEN(SUBSTITUTE(Tabela1[[#This Row],[7]],",",""))+1,1),"")</f>
        <v/>
      </c>
      <c r="AG296" t="str">
        <f>IF(Tabela1[[#This Row],[8]]&lt;&gt;"",IF(ISNUMBER(FIND(",",Tabela1[[#This Row],[8]])),LEN(Tabela1[[#This Row],[8]])-LEN(SUBSTITUTE(Tabela1[[#This Row],[8]],",",""))+1,1),"")</f>
        <v/>
      </c>
      <c r="AH296" t="str">
        <f>IF(Tabela1[[#This Row],[9]]&lt;&gt;"",IF(ISNUMBER(FIND(",",Tabela1[[#This Row],[9]])),LEN(Tabela1[[#This Row],[9]])-LEN(SUBSTITUTE(Tabela1[[#This Row],[9]],",",""))+1,1),"")</f>
        <v/>
      </c>
      <c r="AI296" t="str">
        <f>IF(Tabela1[[#This Row],[10]]&lt;&gt;"",IF(ISNUMBER(FIND(",",Tabela1[[#This Row],[10]])),LEN(Tabela1[[#This Row],[10]])-LEN(SUBSTITUTE(Tabela1[[#This Row],[10]],",",""))+1,1),"")</f>
        <v/>
      </c>
      <c r="AJ296" t="str">
        <f>IF(Tabela1[[#This Row],[11]]&lt;&gt;"",IF(ISNUMBER(FIND(",",Tabela1[[#This Row],[11]])),LEN(Tabela1[[#This Row],[11]])-LEN(SUBSTITUTE(Tabela1[[#This Row],[11]],",",""))+1,1),"")</f>
        <v/>
      </c>
      <c r="AK296" t="str">
        <f>IF(Tabela1[[#This Row],[12]]&lt;&gt;"",IF(ISNUMBER(FIND(",",Tabela1[[#This Row],[12]])),LEN(Tabela1[[#This Row],[12]])-LEN(SUBSTITUTE(Tabela1[[#This Row],[12]],",",""))+1,1),"")</f>
        <v/>
      </c>
      <c r="AL296" t="str">
        <f>IF(Tabela1[[#This Row],[13]]&lt;&gt;"",IF(ISNUMBER(FIND(",",Tabela1[[#This Row],[13]])),LEN(Tabela1[[#This Row],[13]])-LEN(SUBSTITUTE(Tabela1[[#This Row],[13]],",",""))+1,1),"")</f>
        <v/>
      </c>
      <c r="AM296" t="str">
        <f>IF(Tabela1[[#This Row],[14]]&lt;&gt;"",IF(ISNUMBER(FIND(",",Tabela1[[#This Row],[14]])),LEN(Tabela1[[#This Row],[14]])-LEN(SUBSTITUTE(Tabela1[[#This Row],[14]],",",""))+1,1),"")</f>
        <v/>
      </c>
      <c r="AN296" t="str">
        <f>IF(Tabela1[[#This Row],[15]]&lt;&gt;"",IF(ISNUMBER(FIND(",",Tabela1[[#This Row],[15]])),LEN(Tabela1[[#This Row],[15]])-LEN(SUBSTITUTE(Tabela1[[#This Row],[15]],",",""))+1,1),"")</f>
        <v/>
      </c>
      <c r="AO296">
        <f>IF(Tabela1[[#This Row],[16]]&lt;&gt;"",IF(ISNUMBER(FIND(",",Tabela1[[#This Row],[16]])),LEN(Tabela1[[#This Row],[16]])-LEN(SUBSTITUTE(Tabela1[[#This Row],[16]],",",""))+1,1),"")</f>
        <v>1</v>
      </c>
      <c r="AP296" t="str">
        <f>IF(Tabela1[[#This Row],[17]]&lt;&gt;"",IF(ISNUMBER(FIND(",",Tabela1[[#This Row],[17]])),LEN(Tabela1[[#This Row],[17]])-LEN(SUBSTITUTE(Tabela1[[#This Row],[17]],",",""))+1,1),"")</f>
        <v/>
      </c>
      <c r="AQ296">
        <f>IF(Tabela1[[#This Row],[18]]&lt;&gt;"",IF(ISNUMBER(FIND(",",Tabela1[[#This Row],[18]])),LEN(Tabela1[[#This Row],[18]])-LEN(SUBSTITUTE(Tabela1[[#This Row],[18]],",",""))+1,1),"")</f>
        <v>1</v>
      </c>
      <c r="AR296" s="13" t="str">
        <f>IF(Tabela1[[#This Row],[19_LENGTH]]&lt;&gt;"",IF(ISNUMBER(FIND(",",Tabela1[[#This Row],[19_LENGTH]])),LEN(Tabela1[[#This Row],[19_LENGTH]])-LEN(SUBSTITUTE(Tabela1[[#This Row],[19_LENGTH]],",",""))+1,1),"")</f>
        <v/>
      </c>
      <c r="AS296" s="21">
        <f>SUM(Tabela1[[#This Row],[1_]:[19_]])</f>
        <v>6</v>
      </c>
    </row>
    <row r="297" spans="1:45" x14ac:dyDescent="0.25">
      <c r="A297" s="27" t="s">
        <v>1322</v>
      </c>
      <c r="B297" s="19" t="s">
        <v>452</v>
      </c>
      <c r="C297" s="19">
        <v>212</v>
      </c>
      <c r="D297" s="19" t="s">
        <v>1296</v>
      </c>
      <c r="E297" s="20">
        <v>43494</v>
      </c>
      <c r="F297" s="19"/>
      <c r="G297" s="19"/>
      <c r="H297" s="19"/>
      <c r="I297" s="19"/>
      <c r="J297" s="19"/>
      <c r="K297" s="19"/>
      <c r="L297" s="19"/>
      <c r="M297" s="19"/>
      <c r="N297" s="19"/>
      <c r="O297" s="19"/>
      <c r="P297" s="19"/>
      <c r="Q297" s="19"/>
      <c r="R297" s="19"/>
      <c r="S297" s="19"/>
      <c r="T297" s="19"/>
      <c r="U297" s="19"/>
      <c r="V297" s="19"/>
      <c r="W297" s="19"/>
      <c r="X297" s="19" t="s">
        <v>95</v>
      </c>
      <c r="Y297" s="19" t="s">
        <v>118</v>
      </c>
      <c r="Z297" t="str">
        <f>IF(Tabela1[[#This Row],[1]]&lt;&gt;"",IF(ISNUMBER(FIND(",",Tabela1[[#This Row],[1]])),LEN(Tabela1[[#This Row],[1]])-LEN(SUBSTITUTE(Tabela1[[#This Row],[1]],",",""))+1,1),"")</f>
        <v/>
      </c>
      <c r="AA297" t="str">
        <f>IF(Tabela1[[#This Row],[2]]&lt;&gt;"",IF(ISNUMBER(FIND(",",Tabela1[[#This Row],[2]])),LEN(Tabela1[[#This Row],[2]])-LEN(SUBSTITUTE(Tabela1[[#This Row],[2]],",",""))+1,1),"")</f>
        <v/>
      </c>
      <c r="AB297" t="str">
        <f>IF(Tabela1[[#This Row],[3]]&lt;&gt;"",IF(ISNUMBER(FIND(",",Tabela1[[#This Row],[3]])),LEN(Tabela1[[#This Row],[3]])-LEN(SUBSTITUTE(Tabela1[[#This Row],[3]],",",""))+1,1),"")</f>
        <v/>
      </c>
      <c r="AC297" t="str">
        <f>IF(Tabela1[[#This Row],[4]]&lt;&gt;"",IF(ISNUMBER(FIND(",",Tabela1[[#This Row],[4]])),LEN(Tabela1[[#This Row],[4]])-LEN(SUBSTITUTE(Tabela1[[#This Row],[4]],",",""))+1,1),"")</f>
        <v/>
      </c>
      <c r="AD297" t="str">
        <f>IF(Tabela1[[#This Row],[5]]&lt;&gt;"",IF(ISNUMBER(FIND(",",Tabela1[[#This Row],[5]])),LEN(Tabela1[[#This Row],[5]])-LEN(SUBSTITUTE(Tabela1[[#This Row],[5]],",",""))+1,1),"")</f>
        <v/>
      </c>
      <c r="AE297" t="str">
        <f>IF(Tabela1[[#This Row],[6]]&lt;&gt;"",IF(ISNUMBER(FIND(",",Tabela1[[#This Row],[6]])),LEN(Tabela1[[#This Row],[6]])-LEN(SUBSTITUTE(Tabela1[[#This Row],[6]],",",""))+1,1),"")</f>
        <v/>
      </c>
      <c r="AF297" t="str">
        <f>IF(Tabela1[[#This Row],[7]]&lt;&gt;"",IF(ISNUMBER(FIND(",",Tabela1[[#This Row],[7]])),LEN(Tabela1[[#This Row],[7]])-LEN(SUBSTITUTE(Tabela1[[#This Row],[7]],",",""))+1,1),"")</f>
        <v/>
      </c>
      <c r="AG297" t="str">
        <f>IF(Tabela1[[#This Row],[8]]&lt;&gt;"",IF(ISNUMBER(FIND(",",Tabela1[[#This Row],[8]])),LEN(Tabela1[[#This Row],[8]])-LEN(SUBSTITUTE(Tabela1[[#This Row],[8]],",",""))+1,1),"")</f>
        <v/>
      </c>
      <c r="AH297" t="str">
        <f>IF(Tabela1[[#This Row],[9]]&lt;&gt;"",IF(ISNUMBER(FIND(",",Tabela1[[#This Row],[9]])),LEN(Tabela1[[#This Row],[9]])-LEN(SUBSTITUTE(Tabela1[[#This Row],[9]],",",""))+1,1),"")</f>
        <v/>
      </c>
      <c r="AI297" t="str">
        <f>IF(Tabela1[[#This Row],[10]]&lt;&gt;"",IF(ISNUMBER(FIND(",",Tabela1[[#This Row],[10]])),LEN(Tabela1[[#This Row],[10]])-LEN(SUBSTITUTE(Tabela1[[#This Row],[10]],",",""))+1,1),"")</f>
        <v/>
      </c>
      <c r="AJ297" t="str">
        <f>IF(Tabela1[[#This Row],[11]]&lt;&gt;"",IF(ISNUMBER(FIND(",",Tabela1[[#This Row],[11]])),LEN(Tabela1[[#This Row],[11]])-LEN(SUBSTITUTE(Tabela1[[#This Row],[11]],",",""))+1,1),"")</f>
        <v/>
      </c>
      <c r="AK297" t="str">
        <f>IF(Tabela1[[#This Row],[12]]&lt;&gt;"",IF(ISNUMBER(FIND(",",Tabela1[[#This Row],[12]])),LEN(Tabela1[[#This Row],[12]])-LEN(SUBSTITUTE(Tabela1[[#This Row],[12]],",",""))+1,1),"")</f>
        <v/>
      </c>
      <c r="AL297" t="str">
        <f>IF(Tabela1[[#This Row],[13]]&lt;&gt;"",IF(ISNUMBER(FIND(",",Tabela1[[#This Row],[13]])),LEN(Tabela1[[#This Row],[13]])-LEN(SUBSTITUTE(Tabela1[[#This Row],[13]],",",""))+1,1),"")</f>
        <v/>
      </c>
      <c r="AM297" t="str">
        <f>IF(Tabela1[[#This Row],[14]]&lt;&gt;"",IF(ISNUMBER(FIND(",",Tabela1[[#This Row],[14]])),LEN(Tabela1[[#This Row],[14]])-LEN(SUBSTITUTE(Tabela1[[#This Row],[14]],",",""))+1,1),"")</f>
        <v/>
      </c>
      <c r="AN297" t="str">
        <f>IF(Tabela1[[#This Row],[15]]&lt;&gt;"",IF(ISNUMBER(FIND(",",Tabela1[[#This Row],[15]])),LEN(Tabela1[[#This Row],[15]])-LEN(SUBSTITUTE(Tabela1[[#This Row],[15]],",",""))+1,1),"")</f>
        <v/>
      </c>
      <c r="AO297" t="str">
        <f>IF(Tabela1[[#This Row],[16]]&lt;&gt;"",IF(ISNUMBER(FIND(",",Tabela1[[#This Row],[16]])),LEN(Tabela1[[#This Row],[16]])-LEN(SUBSTITUTE(Tabela1[[#This Row],[16]],",",""))+1,1),"")</f>
        <v/>
      </c>
      <c r="AP297" t="str">
        <f>IF(Tabela1[[#This Row],[17]]&lt;&gt;"",IF(ISNUMBER(FIND(",",Tabela1[[#This Row],[17]])),LEN(Tabela1[[#This Row],[17]])-LEN(SUBSTITUTE(Tabela1[[#This Row],[17]],",",""))+1,1),"")</f>
        <v/>
      </c>
      <c r="AQ297" t="str">
        <f>IF(Tabela1[[#This Row],[18]]&lt;&gt;"",IF(ISNUMBER(FIND(",",Tabela1[[#This Row],[18]])),LEN(Tabela1[[#This Row],[18]])-LEN(SUBSTITUTE(Tabela1[[#This Row],[18]],",",""))+1,1),"")</f>
        <v/>
      </c>
      <c r="AR297" s="13">
        <f>IF(Tabela1[[#This Row],[19_LENGTH]]&lt;&gt;"",IF(ISNUMBER(FIND(",",Tabela1[[#This Row],[19_LENGTH]])),LEN(Tabela1[[#This Row],[19_LENGTH]])-LEN(SUBSTITUTE(Tabela1[[#This Row],[19_LENGTH]],",",""))+1,1),"")</f>
        <v>1</v>
      </c>
      <c r="AS297" s="21">
        <f>SUM(Tabela1[[#This Row],[1_]:[19_]])</f>
        <v>1</v>
      </c>
    </row>
    <row r="298" spans="1:45" x14ac:dyDescent="0.25">
      <c r="A298" s="27" t="s">
        <v>1322</v>
      </c>
      <c r="B298" s="19" t="s">
        <v>453</v>
      </c>
      <c r="C298" s="19">
        <v>202</v>
      </c>
      <c r="D298" s="19" t="s">
        <v>1296</v>
      </c>
      <c r="E298" s="20">
        <v>43494</v>
      </c>
      <c r="F298" s="19"/>
      <c r="G298" s="19"/>
      <c r="H298" s="19">
        <v>158</v>
      </c>
      <c r="I298" s="19"/>
      <c r="J298" s="19"/>
      <c r="K298" s="19"/>
      <c r="L298" s="19"/>
      <c r="M298" s="19"/>
      <c r="N298" s="19"/>
      <c r="O298" s="19"/>
      <c r="P298" s="19"/>
      <c r="Q298" s="19"/>
      <c r="R298" s="19"/>
      <c r="S298" s="19"/>
      <c r="T298" s="19"/>
      <c r="U298" s="19"/>
      <c r="V298" s="19"/>
      <c r="W298" s="19"/>
      <c r="X298" s="19" t="s">
        <v>95</v>
      </c>
      <c r="Y298" s="19" t="s">
        <v>126</v>
      </c>
      <c r="Z298" t="str">
        <f>IF(Tabela1[[#This Row],[1]]&lt;&gt;"",IF(ISNUMBER(FIND(",",Tabela1[[#This Row],[1]])),LEN(Tabela1[[#This Row],[1]])-LEN(SUBSTITUTE(Tabela1[[#This Row],[1]],",",""))+1,1),"")</f>
        <v/>
      </c>
      <c r="AA298" t="str">
        <f>IF(Tabela1[[#This Row],[2]]&lt;&gt;"",IF(ISNUMBER(FIND(",",Tabela1[[#This Row],[2]])),LEN(Tabela1[[#This Row],[2]])-LEN(SUBSTITUTE(Tabela1[[#This Row],[2]],",",""))+1,1),"")</f>
        <v/>
      </c>
      <c r="AB298">
        <f>IF(Tabela1[[#This Row],[3]]&lt;&gt;"",IF(ISNUMBER(FIND(",",Tabela1[[#This Row],[3]])),LEN(Tabela1[[#This Row],[3]])-LEN(SUBSTITUTE(Tabela1[[#This Row],[3]],",",""))+1,1),"")</f>
        <v>1</v>
      </c>
      <c r="AC298" t="str">
        <f>IF(Tabela1[[#This Row],[4]]&lt;&gt;"",IF(ISNUMBER(FIND(",",Tabela1[[#This Row],[4]])),LEN(Tabela1[[#This Row],[4]])-LEN(SUBSTITUTE(Tabela1[[#This Row],[4]],",",""))+1,1),"")</f>
        <v/>
      </c>
      <c r="AD298" t="str">
        <f>IF(Tabela1[[#This Row],[5]]&lt;&gt;"",IF(ISNUMBER(FIND(",",Tabela1[[#This Row],[5]])),LEN(Tabela1[[#This Row],[5]])-LEN(SUBSTITUTE(Tabela1[[#This Row],[5]],",",""))+1,1),"")</f>
        <v/>
      </c>
      <c r="AE298" t="str">
        <f>IF(Tabela1[[#This Row],[6]]&lt;&gt;"",IF(ISNUMBER(FIND(",",Tabela1[[#This Row],[6]])),LEN(Tabela1[[#This Row],[6]])-LEN(SUBSTITUTE(Tabela1[[#This Row],[6]],",",""))+1,1),"")</f>
        <v/>
      </c>
      <c r="AF298" t="str">
        <f>IF(Tabela1[[#This Row],[7]]&lt;&gt;"",IF(ISNUMBER(FIND(",",Tabela1[[#This Row],[7]])),LEN(Tabela1[[#This Row],[7]])-LEN(SUBSTITUTE(Tabela1[[#This Row],[7]],",",""))+1,1),"")</f>
        <v/>
      </c>
      <c r="AG298" t="str">
        <f>IF(Tabela1[[#This Row],[8]]&lt;&gt;"",IF(ISNUMBER(FIND(",",Tabela1[[#This Row],[8]])),LEN(Tabela1[[#This Row],[8]])-LEN(SUBSTITUTE(Tabela1[[#This Row],[8]],",",""))+1,1),"")</f>
        <v/>
      </c>
      <c r="AH298" t="str">
        <f>IF(Tabela1[[#This Row],[9]]&lt;&gt;"",IF(ISNUMBER(FIND(",",Tabela1[[#This Row],[9]])),LEN(Tabela1[[#This Row],[9]])-LEN(SUBSTITUTE(Tabela1[[#This Row],[9]],",",""))+1,1),"")</f>
        <v/>
      </c>
      <c r="AI298" t="str">
        <f>IF(Tabela1[[#This Row],[10]]&lt;&gt;"",IF(ISNUMBER(FIND(",",Tabela1[[#This Row],[10]])),LEN(Tabela1[[#This Row],[10]])-LEN(SUBSTITUTE(Tabela1[[#This Row],[10]],",",""))+1,1),"")</f>
        <v/>
      </c>
      <c r="AJ298" t="str">
        <f>IF(Tabela1[[#This Row],[11]]&lt;&gt;"",IF(ISNUMBER(FIND(",",Tabela1[[#This Row],[11]])),LEN(Tabela1[[#This Row],[11]])-LEN(SUBSTITUTE(Tabela1[[#This Row],[11]],",",""))+1,1),"")</f>
        <v/>
      </c>
      <c r="AK298" t="str">
        <f>IF(Tabela1[[#This Row],[12]]&lt;&gt;"",IF(ISNUMBER(FIND(",",Tabela1[[#This Row],[12]])),LEN(Tabela1[[#This Row],[12]])-LEN(SUBSTITUTE(Tabela1[[#This Row],[12]],",",""))+1,1),"")</f>
        <v/>
      </c>
      <c r="AL298" t="str">
        <f>IF(Tabela1[[#This Row],[13]]&lt;&gt;"",IF(ISNUMBER(FIND(",",Tabela1[[#This Row],[13]])),LEN(Tabela1[[#This Row],[13]])-LEN(SUBSTITUTE(Tabela1[[#This Row],[13]],",",""))+1,1),"")</f>
        <v/>
      </c>
      <c r="AM298" t="str">
        <f>IF(Tabela1[[#This Row],[14]]&lt;&gt;"",IF(ISNUMBER(FIND(",",Tabela1[[#This Row],[14]])),LEN(Tabela1[[#This Row],[14]])-LEN(SUBSTITUTE(Tabela1[[#This Row],[14]],",",""))+1,1),"")</f>
        <v/>
      </c>
      <c r="AN298" t="str">
        <f>IF(Tabela1[[#This Row],[15]]&lt;&gt;"",IF(ISNUMBER(FIND(",",Tabela1[[#This Row],[15]])),LEN(Tabela1[[#This Row],[15]])-LEN(SUBSTITUTE(Tabela1[[#This Row],[15]],",",""))+1,1),"")</f>
        <v/>
      </c>
      <c r="AO298" t="str">
        <f>IF(Tabela1[[#This Row],[16]]&lt;&gt;"",IF(ISNUMBER(FIND(",",Tabela1[[#This Row],[16]])),LEN(Tabela1[[#This Row],[16]])-LEN(SUBSTITUTE(Tabela1[[#This Row],[16]],",",""))+1,1),"")</f>
        <v/>
      </c>
      <c r="AP298" t="str">
        <f>IF(Tabela1[[#This Row],[17]]&lt;&gt;"",IF(ISNUMBER(FIND(",",Tabela1[[#This Row],[17]])),LEN(Tabela1[[#This Row],[17]])-LEN(SUBSTITUTE(Tabela1[[#This Row],[17]],",",""))+1,1),"")</f>
        <v/>
      </c>
      <c r="AQ298" t="str">
        <f>IF(Tabela1[[#This Row],[18]]&lt;&gt;"",IF(ISNUMBER(FIND(",",Tabela1[[#This Row],[18]])),LEN(Tabela1[[#This Row],[18]])-LEN(SUBSTITUTE(Tabela1[[#This Row],[18]],",",""))+1,1),"")</f>
        <v/>
      </c>
      <c r="AR298" s="13">
        <f>IF(Tabela1[[#This Row],[19_LENGTH]]&lt;&gt;"",IF(ISNUMBER(FIND(",",Tabela1[[#This Row],[19_LENGTH]])),LEN(Tabela1[[#This Row],[19_LENGTH]])-LEN(SUBSTITUTE(Tabela1[[#This Row],[19_LENGTH]],",",""))+1,1),"")</f>
        <v>2</v>
      </c>
      <c r="AS298" s="21">
        <f>SUM(Tabela1[[#This Row],[1_]:[19_]])</f>
        <v>3</v>
      </c>
    </row>
    <row r="299" spans="1:45" x14ac:dyDescent="0.25">
      <c r="A299" s="27" t="s">
        <v>1322</v>
      </c>
      <c r="B299" s="19" t="s">
        <v>454</v>
      </c>
      <c r="C299" s="19">
        <v>202</v>
      </c>
      <c r="D299" s="19" t="s">
        <v>1296</v>
      </c>
      <c r="E299" s="20">
        <v>43494</v>
      </c>
      <c r="F299" s="19"/>
      <c r="G299" s="19"/>
      <c r="H299" s="19" t="s">
        <v>127</v>
      </c>
      <c r="I299" s="19"/>
      <c r="J299" s="19"/>
      <c r="K299" s="19"/>
      <c r="L299" s="19"/>
      <c r="M299" s="19"/>
      <c r="N299" s="19"/>
      <c r="O299" s="19"/>
      <c r="P299" s="19"/>
      <c r="Q299" s="19"/>
      <c r="R299" s="19"/>
      <c r="S299" s="19"/>
      <c r="T299" s="19"/>
      <c r="U299" s="19">
        <v>91</v>
      </c>
      <c r="V299" s="19">
        <v>57</v>
      </c>
      <c r="W299" s="19"/>
      <c r="X299" s="19"/>
      <c r="Y299" s="19"/>
      <c r="Z299" t="str">
        <f>IF(Tabela1[[#This Row],[1]]&lt;&gt;"",IF(ISNUMBER(FIND(",",Tabela1[[#This Row],[1]])),LEN(Tabela1[[#This Row],[1]])-LEN(SUBSTITUTE(Tabela1[[#This Row],[1]],",",""))+1,1),"")</f>
        <v/>
      </c>
      <c r="AA299" t="str">
        <f>IF(Tabela1[[#This Row],[2]]&lt;&gt;"",IF(ISNUMBER(FIND(",",Tabela1[[#This Row],[2]])),LEN(Tabela1[[#This Row],[2]])-LEN(SUBSTITUTE(Tabela1[[#This Row],[2]],",",""))+1,1),"")</f>
        <v/>
      </c>
      <c r="AB299">
        <f>IF(Tabela1[[#This Row],[3]]&lt;&gt;"",IF(ISNUMBER(FIND(",",Tabela1[[#This Row],[3]])),LEN(Tabela1[[#This Row],[3]])-LEN(SUBSTITUTE(Tabela1[[#This Row],[3]],",",""))+1,1),"")</f>
        <v>2</v>
      </c>
      <c r="AC299" t="str">
        <f>IF(Tabela1[[#This Row],[4]]&lt;&gt;"",IF(ISNUMBER(FIND(",",Tabela1[[#This Row],[4]])),LEN(Tabela1[[#This Row],[4]])-LEN(SUBSTITUTE(Tabela1[[#This Row],[4]],",",""))+1,1),"")</f>
        <v/>
      </c>
      <c r="AD299" t="str">
        <f>IF(Tabela1[[#This Row],[5]]&lt;&gt;"",IF(ISNUMBER(FIND(",",Tabela1[[#This Row],[5]])),LEN(Tabela1[[#This Row],[5]])-LEN(SUBSTITUTE(Tabela1[[#This Row],[5]],",",""))+1,1),"")</f>
        <v/>
      </c>
      <c r="AE299" t="str">
        <f>IF(Tabela1[[#This Row],[6]]&lt;&gt;"",IF(ISNUMBER(FIND(",",Tabela1[[#This Row],[6]])),LEN(Tabela1[[#This Row],[6]])-LEN(SUBSTITUTE(Tabela1[[#This Row],[6]],",",""))+1,1),"")</f>
        <v/>
      </c>
      <c r="AF299" t="str">
        <f>IF(Tabela1[[#This Row],[7]]&lt;&gt;"",IF(ISNUMBER(FIND(",",Tabela1[[#This Row],[7]])),LEN(Tabela1[[#This Row],[7]])-LEN(SUBSTITUTE(Tabela1[[#This Row],[7]],",",""))+1,1),"")</f>
        <v/>
      </c>
      <c r="AG299" t="str">
        <f>IF(Tabela1[[#This Row],[8]]&lt;&gt;"",IF(ISNUMBER(FIND(",",Tabela1[[#This Row],[8]])),LEN(Tabela1[[#This Row],[8]])-LEN(SUBSTITUTE(Tabela1[[#This Row],[8]],",",""))+1,1),"")</f>
        <v/>
      </c>
      <c r="AH299" t="str">
        <f>IF(Tabela1[[#This Row],[9]]&lt;&gt;"",IF(ISNUMBER(FIND(",",Tabela1[[#This Row],[9]])),LEN(Tabela1[[#This Row],[9]])-LEN(SUBSTITUTE(Tabela1[[#This Row],[9]],",",""))+1,1),"")</f>
        <v/>
      </c>
      <c r="AI299" t="str">
        <f>IF(Tabela1[[#This Row],[10]]&lt;&gt;"",IF(ISNUMBER(FIND(",",Tabela1[[#This Row],[10]])),LEN(Tabela1[[#This Row],[10]])-LEN(SUBSTITUTE(Tabela1[[#This Row],[10]],",",""))+1,1),"")</f>
        <v/>
      </c>
      <c r="AJ299" t="str">
        <f>IF(Tabela1[[#This Row],[11]]&lt;&gt;"",IF(ISNUMBER(FIND(",",Tabela1[[#This Row],[11]])),LEN(Tabela1[[#This Row],[11]])-LEN(SUBSTITUTE(Tabela1[[#This Row],[11]],",",""))+1,1),"")</f>
        <v/>
      </c>
      <c r="AK299" t="str">
        <f>IF(Tabela1[[#This Row],[12]]&lt;&gt;"",IF(ISNUMBER(FIND(",",Tabela1[[#This Row],[12]])),LEN(Tabela1[[#This Row],[12]])-LEN(SUBSTITUTE(Tabela1[[#This Row],[12]],",",""))+1,1),"")</f>
        <v/>
      </c>
      <c r="AL299" t="str">
        <f>IF(Tabela1[[#This Row],[13]]&lt;&gt;"",IF(ISNUMBER(FIND(",",Tabela1[[#This Row],[13]])),LEN(Tabela1[[#This Row],[13]])-LEN(SUBSTITUTE(Tabela1[[#This Row],[13]],",",""))+1,1),"")</f>
        <v/>
      </c>
      <c r="AM299" t="str">
        <f>IF(Tabela1[[#This Row],[14]]&lt;&gt;"",IF(ISNUMBER(FIND(",",Tabela1[[#This Row],[14]])),LEN(Tabela1[[#This Row],[14]])-LEN(SUBSTITUTE(Tabela1[[#This Row],[14]],",",""))+1,1),"")</f>
        <v/>
      </c>
      <c r="AN299" t="str">
        <f>IF(Tabela1[[#This Row],[15]]&lt;&gt;"",IF(ISNUMBER(FIND(",",Tabela1[[#This Row],[15]])),LEN(Tabela1[[#This Row],[15]])-LEN(SUBSTITUTE(Tabela1[[#This Row],[15]],",",""))+1,1),"")</f>
        <v/>
      </c>
      <c r="AO299">
        <f>IF(Tabela1[[#This Row],[16]]&lt;&gt;"",IF(ISNUMBER(FIND(",",Tabela1[[#This Row],[16]])),LEN(Tabela1[[#This Row],[16]])-LEN(SUBSTITUTE(Tabela1[[#This Row],[16]],",",""))+1,1),"")</f>
        <v>1</v>
      </c>
      <c r="AP299">
        <f>IF(Tabela1[[#This Row],[17]]&lt;&gt;"",IF(ISNUMBER(FIND(",",Tabela1[[#This Row],[17]])),LEN(Tabela1[[#This Row],[17]])-LEN(SUBSTITUTE(Tabela1[[#This Row],[17]],",",""))+1,1),"")</f>
        <v>1</v>
      </c>
      <c r="AQ299" t="str">
        <f>IF(Tabela1[[#This Row],[18]]&lt;&gt;"",IF(ISNUMBER(FIND(",",Tabela1[[#This Row],[18]])),LEN(Tabela1[[#This Row],[18]])-LEN(SUBSTITUTE(Tabela1[[#This Row],[18]],",",""))+1,1),"")</f>
        <v/>
      </c>
      <c r="AR299" s="13" t="str">
        <f>IF(Tabela1[[#This Row],[19_LENGTH]]&lt;&gt;"",IF(ISNUMBER(FIND(",",Tabela1[[#This Row],[19_LENGTH]])),LEN(Tabela1[[#This Row],[19_LENGTH]])-LEN(SUBSTITUTE(Tabela1[[#This Row],[19_LENGTH]],",",""))+1,1),"")</f>
        <v/>
      </c>
      <c r="AS299" s="21">
        <f>SUM(Tabela1[[#This Row],[1_]:[19_]])</f>
        <v>4</v>
      </c>
    </row>
    <row r="300" spans="1:45" x14ac:dyDescent="0.25">
      <c r="A300" s="27" t="s">
        <v>1322</v>
      </c>
      <c r="B300" s="19" t="s">
        <v>455</v>
      </c>
      <c r="C300" s="19">
        <v>202</v>
      </c>
      <c r="D300" s="19" t="s">
        <v>1296</v>
      </c>
      <c r="E300" s="20">
        <v>43494</v>
      </c>
      <c r="F300" s="19"/>
      <c r="G300" s="19"/>
      <c r="H300" s="19"/>
      <c r="I300" s="19"/>
      <c r="J300" s="19"/>
      <c r="K300" s="19"/>
      <c r="L300" s="19"/>
      <c r="M300" s="19"/>
      <c r="N300" s="19"/>
      <c r="O300" s="19"/>
      <c r="P300" s="19"/>
      <c r="Q300" s="19"/>
      <c r="R300" s="19"/>
      <c r="S300" s="19"/>
      <c r="T300" s="19"/>
      <c r="U300" s="19">
        <v>30</v>
      </c>
      <c r="V300" s="19">
        <v>106</v>
      </c>
      <c r="W300" s="19"/>
      <c r="X300" s="19"/>
      <c r="Y300" s="19"/>
      <c r="Z300" t="str">
        <f>IF(Tabela1[[#This Row],[1]]&lt;&gt;"",IF(ISNUMBER(FIND(",",Tabela1[[#This Row],[1]])),LEN(Tabela1[[#This Row],[1]])-LEN(SUBSTITUTE(Tabela1[[#This Row],[1]],",",""))+1,1),"")</f>
        <v/>
      </c>
      <c r="AA300" t="str">
        <f>IF(Tabela1[[#This Row],[2]]&lt;&gt;"",IF(ISNUMBER(FIND(",",Tabela1[[#This Row],[2]])),LEN(Tabela1[[#This Row],[2]])-LEN(SUBSTITUTE(Tabela1[[#This Row],[2]],",",""))+1,1),"")</f>
        <v/>
      </c>
      <c r="AB300" t="str">
        <f>IF(Tabela1[[#This Row],[3]]&lt;&gt;"",IF(ISNUMBER(FIND(",",Tabela1[[#This Row],[3]])),LEN(Tabela1[[#This Row],[3]])-LEN(SUBSTITUTE(Tabela1[[#This Row],[3]],",",""))+1,1),"")</f>
        <v/>
      </c>
      <c r="AC300" t="str">
        <f>IF(Tabela1[[#This Row],[4]]&lt;&gt;"",IF(ISNUMBER(FIND(",",Tabela1[[#This Row],[4]])),LEN(Tabela1[[#This Row],[4]])-LEN(SUBSTITUTE(Tabela1[[#This Row],[4]],",",""))+1,1),"")</f>
        <v/>
      </c>
      <c r="AD300" t="str">
        <f>IF(Tabela1[[#This Row],[5]]&lt;&gt;"",IF(ISNUMBER(FIND(",",Tabela1[[#This Row],[5]])),LEN(Tabela1[[#This Row],[5]])-LEN(SUBSTITUTE(Tabela1[[#This Row],[5]],",",""))+1,1),"")</f>
        <v/>
      </c>
      <c r="AE300" t="str">
        <f>IF(Tabela1[[#This Row],[6]]&lt;&gt;"",IF(ISNUMBER(FIND(",",Tabela1[[#This Row],[6]])),LEN(Tabela1[[#This Row],[6]])-LEN(SUBSTITUTE(Tabela1[[#This Row],[6]],",",""))+1,1),"")</f>
        <v/>
      </c>
      <c r="AF300" t="str">
        <f>IF(Tabela1[[#This Row],[7]]&lt;&gt;"",IF(ISNUMBER(FIND(",",Tabela1[[#This Row],[7]])),LEN(Tabela1[[#This Row],[7]])-LEN(SUBSTITUTE(Tabela1[[#This Row],[7]],",",""))+1,1),"")</f>
        <v/>
      </c>
      <c r="AG300" t="str">
        <f>IF(Tabela1[[#This Row],[8]]&lt;&gt;"",IF(ISNUMBER(FIND(",",Tabela1[[#This Row],[8]])),LEN(Tabela1[[#This Row],[8]])-LEN(SUBSTITUTE(Tabela1[[#This Row],[8]],",",""))+1,1),"")</f>
        <v/>
      </c>
      <c r="AH300" t="str">
        <f>IF(Tabela1[[#This Row],[9]]&lt;&gt;"",IF(ISNUMBER(FIND(",",Tabela1[[#This Row],[9]])),LEN(Tabela1[[#This Row],[9]])-LEN(SUBSTITUTE(Tabela1[[#This Row],[9]],",",""))+1,1),"")</f>
        <v/>
      </c>
      <c r="AI300" t="str">
        <f>IF(Tabela1[[#This Row],[10]]&lt;&gt;"",IF(ISNUMBER(FIND(",",Tabela1[[#This Row],[10]])),LEN(Tabela1[[#This Row],[10]])-LEN(SUBSTITUTE(Tabela1[[#This Row],[10]],",",""))+1,1),"")</f>
        <v/>
      </c>
      <c r="AJ300" t="str">
        <f>IF(Tabela1[[#This Row],[11]]&lt;&gt;"",IF(ISNUMBER(FIND(",",Tabela1[[#This Row],[11]])),LEN(Tabela1[[#This Row],[11]])-LEN(SUBSTITUTE(Tabela1[[#This Row],[11]],",",""))+1,1),"")</f>
        <v/>
      </c>
      <c r="AK300" t="str">
        <f>IF(Tabela1[[#This Row],[12]]&lt;&gt;"",IF(ISNUMBER(FIND(",",Tabela1[[#This Row],[12]])),LEN(Tabela1[[#This Row],[12]])-LEN(SUBSTITUTE(Tabela1[[#This Row],[12]],",",""))+1,1),"")</f>
        <v/>
      </c>
      <c r="AL300" t="str">
        <f>IF(Tabela1[[#This Row],[13]]&lt;&gt;"",IF(ISNUMBER(FIND(",",Tabela1[[#This Row],[13]])),LEN(Tabela1[[#This Row],[13]])-LEN(SUBSTITUTE(Tabela1[[#This Row],[13]],",",""))+1,1),"")</f>
        <v/>
      </c>
      <c r="AM300" t="str">
        <f>IF(Tabela1[[#This Row],[14]]&lt;&gt;"",IF(ISNUMBER(FIND(",",Tabela1[[#This Row],[14]])),LEN(Tabela1[[#This Row],[14]])-LEN(SUBSTITUTE(Tabela1[[#This Row],[14]],",",""))+1,1),"")</f>
        <v/>
      </c>
      <c r="AN300" t="str">
        <f>IF(Tabela1[[#This Row],[15]]&lt;&gt;"",IF(ISNUMBER(FIND(",",Tabela1[[#This Row],[15]])),LEN(Tabela1[[#This Row],[15]])-LEN(SUBSTITUTE(Tabela1[[#This Row],[15]],",",""))+1,1),"")</f>
        <v/>
      </c>
      <c r="AO300">
        <f>IF(Tabela1[[#This Row],[16]]&lt;&gt;"",IF(ISNUMBER(FIND(",",Tabela1[[#This Row],[16]])),LEN(Tabela1[[#This Row],[16]])-LEN(SUBSTITUTE(Tabela1[[#This Row],[16]],",",""))+1,1),"")</f>
        <v>1</v>
      </c>
      <c r="AP300">
        <f>IF(Tabela1[[#This Row],[17]]&lt;&gt;"",IF(ISNUMBER(FIND(",",Tabela1[[#This Row],[17]])),LEN(Tabela1[[#This Row],[17]])-LEN(SUBSTITUTE(Tabela1[[#This Row],[17]],",",""))+1,1),"")</f>
        <v>1</v>
      </c>
      <c r="AQ300" t="str">
        <f>IF(Tabela1[[#This Row],[18]]&lt;&gt;"",IF(ISNUMBER(FIND(",",Tabela1[[#This Row],[18]])),LEN(Tabela1[[#This Row],[18]])-LEN(SUBSTITUTE(Tabela1[[#This Row],[18]],",",""))+1,1),"")</f>
        <v/>
      </c>
      <c r="AR300" s="13" t="str">
        <f>IF(Tabela1[[#This Row],[19_LENGTH]]&lt;&gt;"",IF(ISNUMBER(FIND(",",Tabela1[[#This Row],[19_LENGTH]])),LEN(Tabela1[[#This Row],[19_LENGTH]])-LEN(SUBSTITUTE(Tabela1[[#This Row],[19_LENGTH]],",",""))+1,1),"")</f>
        <v/>
      </c>
      <c r="AS300" s="21">
        <f>SUM(Tabela1[[#This Row],[1_]:[19_]])</f>
        <v>2</v>
      </c>
    </row>
    <row r="301" spans="1:45" x14ac:dyDescent="0.25">
      <c r="A301" s="27" t="s">
        <v>1322</v>
      </c>
      <c r="B301" s="19" t="s">
        <v>782</v>
      </c>
      <c r="C301" s="19">
        <v>202</v>
      </c>
      <c r="D301" s="19" t="s">
        <v>1299</v>
      </c>
      <c r="E301" s="20">
        <v>43495</v>
      </c>
      <c r="F301" s="19"/>
      <c r="G301" s="19"/>
      <c r="H301" s="19"/>
      <c r="I301" s="19"/>
      <c r="J301" s="19" t="s">
        <v>128</v>
      </c>
      <c r="K301" s="19">
        <v>60</v>
      </c>
      <c r="L301" s="19"/>
      <c r="M301" s="19"/>
      <c r="N301" s="19"/>
      <c r="O301" s="19"/>
      <c r="P301" s="19"/>
      <c r="Q301" s="19"/>
      <c r="R301" s="19"/>
      <c r="S301" s="19"/>
      <c r="T301" s="19"/>
      <c r="U301" s="19"/>
      <c r="V301" s="19"/>
      <c r="W301" s="19"/>
      <c r="X301" s="19"/>
      <c r="Y301" s="19"/>
      <c r="Z301" t="str">
        <f>IF(Tabela1[[#This Row],[1]]&lt;&gt;"",IF(ISNUMBER(FIND(",",Tabela1[[#This Row],[1]])),LEN(Tabela1[[#This Row],[1]])-LEN(SUBSTITUTE(Tabela1[[#This Row],[1]],",",""))+1,1),"")</f>
        <v/>
      </c>
      <c r="AA301" t="str">
        <f>IF(Tabela1[[#This Row],[2]]&lt;&gt;"",IF(ISNUMBER(FIND(",",Tabela1[[#This Row],[2]])),LEN(Tabela1[[#This Row],[2]])-LEN(SUBSTITUTE(Tabela1[[#This Row],[2]],",",""))+1,1),"")</f>
        <v/>
      </c>
      <c r="AB301" t="str">
        <f>IF(Tabela1[[#This Row],[3]]&lt;&gt;"",IF(ISNUMBER(FIND(",",Tabela1[[#This Row],[3]])),LEN(Tabela1[[#This Row],[3]])-LEN(SUBSTITUTE(Tabela1[[#This Row],[3]],",",""))+1,1),"")</f>
        <v/>
      </c>
      <c r="AC301" t="str">
        <f>IF(Tabela1[[#This Row],[4]]&lt;&gt;"",IF(ISNUMBER(FIND(",",Tabela1[[#This Row],[4]])),LEN(Tabela1[[#This Row],[4]])-LEN(SUBSTITUTE(Tabela1[[#This Row],[4]],",",""))+1,1),"")</f>
        <v/>
      </c>
      <c r="AD301">
        <f>IF(Tabela1[[#This Row],[5]]&lt;&gt;"",IF(ISNUMBER(FIND(",",Tabela1[[#This Row],[5]])),LEN(Tabela1[[#This Row],[5]])-LEN(SUBSTITUTE(Tabela1[[#This Row],[5]],",",""))+1,1),"")</f>
        <v>2</v>
      </c>
      <c r="AE301">
        <f>IF(Tabela1[[#This Row],[6]]&lt;&gt;"",IF(ISNUMBER(FIND(",",Tabela1[[#This Row],[6]])),LEN(Tabela1[[#This Row],[6]])-LEN(SUBSTITUTE(Tabela1[[#This Row],[6]],",",""))+1,1),"")</f>
        <v>1</v>
      </c>
      <c r="AF301" t="str">
        <f>IF(Tabela1[[#This Row],[7]]&lt;&gt;"",IF(ISNUMBER(FIND(",",Tabela1[[#This Row],[7]])),LEN(Tabela1[[#This Row],[7]])-LEN(SUBSTITUTE(Tabela1[[#This Row],[7]],",",""))+1,1),"")</f>
        <v/>
      </c>
      <c r="AG301" t="str">
        <f>IF(Tabela1[[#This Row],[8]]&lt;&gt;"",IF(ISNUMBER(FIND(",",Tabela1[[#This Row],[8]])),LEN(Tabela1[[#This Row],[8]])-LEN(SUBSTITUTE(Tabela1[[#This Row],[8]],",",""))+1,1),"")</f>
        <v/>
      </c>
      <c r="AH301" t="str">
        <f>IF(Tabela1[[#This Row],[9]]&lt;&gt;"",IF(ISNUMBER(FIND(",",Tabela1[[#This Row],[9]])),LEN(Tabela1[[#This Row],[9]])-LEN(SUBSTITUTE(Tabela1[[#This Row],[9]],",",""))+1,1),"")</f>
        <v/>
      </c>
      <c r="AI301" t="str">
        <f>IF(Tabela1[[#This Row],[10]]&lt;&gt;"",IF(ISNUMBER(FIND(",",Tabela1[[#This Row],[10]])),LEN(Tabela1[[#This Row],[10]])-LEN(SUBSTITUTE(Tabela1[[#This Row],[10]],",",""))+1,1),"")</f>
        <v/>
      </c>
      <c r="AJ301" t="str">
        <f>IF(Tabela1[[#This Row],[11]]&lt;&gt;"",IF(ISNUMBER(FIND(",",Tabela1[[#This Row],[11]])),LEN(Tabela1[[#This Row],[11]])-LEN(SUBSTITUTE(Tabela1[[#This Row],[11]],",",""))+1,1),"")</f>
        <v/>
      </c>
      <c r="AK301" t="str">
        <f>IF(Tabela1[[#This Row],[12]]&lt;&gt;"",IF(ISNUMBER(FIND(",",Tabela1[[#This Row],[12]])),LEN(Tabela1[[#This Row],[12]])-LEN(SUBSTITUTE(Tabela1[[#This Row],[12]],",",""))+1,1),"")</f>
        <v/>
      </c>
      <c r="AL301" t="str">
        <f>IF(Tabela1[[#This Row],[13]]&lt;&gt;"",IF(ISNUMBER(FIND(",",Tabela1[[#This Row],[13]])),LEN(Tabela1[[#This Row],[13]])-LEN(SUBSTITUTE(Tabela1[[#This Row],[13]],",",""))+1,1),"")</f>
        <v/>
      </c>
      <c r="AM301" t="str">
        <f>IF(Tabela1[[#This Row],[14]]&lt;&gt;"",IF(ISNUMBER(FIND(",",Tabela1[[#This Row],[14]])),LEN(Tabela1[[#This Row],[14]])-LEN(SUBSTITUTE(Tabela1[[#This Row],[14]],",",""))+1,1),"")</f>
        <v/>
      </c>
      <c r="AN301" t="str">
        <f>IF(Tabela1[[#This Row],[15]]&lt;&gt;"",IF(ISNUMBER(FIND(",",Tabela1[[#This Row],[15]])),LEN(Tabela1[[#This Row],[15]])-LEN(SUBSTITUTE(Tabela1[[#This Row],[15]],",",""))+1,1),"")</f>
        <v/>
      </c>
      <c r="AO301" t="str">
        <f>IF(Tabela1[[#This Row],[16]]&lt;&gt;"",IF(ISNUMBER(FIND(",",Tabela1[[#This Row],[16]])),LEN(Tabela1[[#This Row],[16]])-LEN(SUBSTITUTE(Tabela1[[#This Row],[16]],",",""))+1,1),"")</f>
        <v/>
      </c>
      <c r="AP301" t="str">
        <f>IF(Tabela1[[#This Row],[17]]&lt;&gt;"",IF(ISNUMBER(FIND(",",Tabela1[[#This Row],[17]])),LEN(Tabela1[[#This Row],[17]])-LEN(SUBSTITUTE(Tabela1[[#This Row],[17]],",",""))+1,1),"")</f>
        <v/>
      </c>
      <c r="AQ301" t="str">
        <f>IF(Tabela1[[#This Row],[18]]&lt;&gt;"",IF(ISNUMBER(FIND(",",Tabela1[[#This Row],[18]])),LEN(Tabela1[[#This Row],[18]])-LEN(SUBSTITUTE(Tabela1[[#This Row],[18]],",",""))+1,1),"")</f>
        <v/>
      </c>
      <c r="AR301" s="13" t="str">
        <f>IF(Tabela1[[#This Row],[19_LENGTH]]&lt;&gt;"",IF(ISNUMBER(FIND(",",Tabela1[[#This Row],[19_LENGTH]])),LEN(Tabela1[[#This Row],[19_LENGTH]])-LEN(SUBSTITUTE(Tabela1[[#This Row],[19_LENGTH]],",",""))+1,1),"")</f>
        <v/>
      </c>
      <c r="AS301" s="21">
        <f>SUM(Tabela1[[#This Row],[1_]:[19_]])</f>
        <v>3</v>
      </c>
    </row>
    <row r="302" spans="1:45" x14ac:dyDescent="0.25">
      <c r="A302" s="27" t="s">
        <v>1322</v>
      </c>
      <c r="B302" s="19" t="s">
        <v>783</v>
      </c>
      <c r="C302" s="19">
        <v>202</v>
      </c>
      <c r="D302" s="19" t="s">
        <v>1299</v>
      </c>
      <c r="E302" s="20">
        <v>43495</v>
      </c>
      <c r="F302" s="19"/>
      <c r="G302" s="19"/>
      <c r="H302" s="19"/>
      <c r="I302" s="19"/>
      <c r="J302" s="19"/>
      <c r="K302" s="19">
        <v>113</v>
      </c>
      <c r="L302" s="19"/>
      <c r="M302" s="19"/>
      <c r="N302" s="19"/>
      <c r="O302" s="19"/>
      <c r="P302" s="19"/>
      <c r="Q302" s="19"/>
      <c r="R302" s="19"/>
      <c r="S302" s="19"/>
      <c r="T302" s="19"/>
      <c r="U302" s="19"/>
      <c r="V302" s="19" t="s">
        <v>129</v>
      </c>
      <c r="W302" s="19"/>
      <c r="X302" s="19"/>
      <c r="Y302" s="19"/>
      <c r="Z302" t="str">
        <f>IF(Tabela1[[#This Row],[1]]&lt;&gt;"",IF(ISNUMBER(FIND(",",Tabela1[[#This Row],[1]])),LEN(Tabela1[[#This Row],[1]])-LEN(SUBSTITUTE(Tabela1[[#This Row],[1]],",",""))+1,1),"")</f>
        <v/>
      </c>
      <c r="AA302" t="str">
        <f>IF(Tabela1[[#This Row],[2]]&lt;&gt;"",IF(ISNUMBER(FIND(",",Tabela1[[#This Row],[2]])),LEN(Tabela1[[#This Row],[2]])-LEN(SUBSTITUTE(Tabela1[[#This Row],[2]],",",""))+1,1),"")</f>
        <v/>
      </c>
      <c r="AB302" t="str">
        <f>IF(Tabela1[[#This Row],[3]]&lt;&gt;"",IF(ISNUMBER(FIND(",",Tabela1[[#This Row],[3]])),LEN(Tabela1[[#This Row],[3]])-LEN(SUBSTITUTE(Tabela1[[#This Row],[3]],",",""))+1,1),"")</f>
        <v/>
      </c>
      <c r="AC302" t="str">
        <f>IF(Tabela1[[#This Row],[4]]&lt;&gt;"",IF(ISNUMBER(FIND(",",Tabela1[[#This Row],[4]])),LEN(Tabela1[[#This Row],[4]])-LEN(SUBSTITUTE(Tabela1[[#This Row],[4]],",",""))+1,1),"")</f>
        <v/>
      </c>
      <c r="AD302" t="str">
        <f>IF(Tabela1[[#This Row],[5]]&lt;&gt;"",IF(ISNUMBER(FIND(",",Tabela1[[#This Row],[5]])),LEN(Tabela1[[#This Row],[5]])-LEN(SUBSTITUTE(Tabela1[[#This Row],[5]],",",""))+1,1),"")</f>
        <v/>
      </c>
      <c r="AE302">
        <f>IF(Tabela1[[#This Row],[6]]&lt;&gt;"",IF(ISNUMBER(FIND(",",Tabela1[[#This Row],[6]])),LEN(Tabela1[[#This Row],[6]])-LEN(SUBSTITUTE(Tabela1[[#This Row],[6]],",",""))+1,1),"")</f>
        <v>1</v>
      </c>
      <c r="AF302" t="str">
        <f>IF(Tabela1[[#This Row],[7]]&lt;&gt;"",IF(ISNUMBER(FIND(",",Tabela1[[#This Row],[7]])),LEN(Tabela1[[#This Row],[7]])-LEN(SUBSTITUTE(Tabela1[[#This Row],[7]],",",""))+1,1),"")</f>
        <v/>
      </c>
      <c r="AG302" t="str">
        <f>IF(Tabela1[[#This Row],[8]]&lt;&gt;"",IF(ISNUMBER(FIND(",",Tabela1[[#This Row],[8]])),LEN(Tabela1[[#This Row],[8]])-LEN(SUBSTITUTE(Tabela1[[#This Row],[8]],",",""))+1,1),"")</f>
        <v/>
      </c>
      <c r="AH302" t="str">
        <f>IF(Tabela1[[#This Row],[9]]&lt;&gt;"",IF(ISNUMBER(FIND(",",Tabela1[[#This Row],[9]])),LEN(Tabela1[[#This Row],[9]])-LEN(SUBSTITUTE(Tabela1[[#This Row],[9]],",",""))+1,1),"")</f>
        <v/>
      </c>
      <c r="AI302" t="str">
        <f>IF(Tabela1[[#This Row],[10]]&lt;&gt;"",IF(ISNUMBER(FIND(",",Tabela1[[#This Row],[10]])),LEN(Tabela1[[#This Row],[10]])-LEN(SUBSTITUTE(Tabela1[[#This Row],[10]],",",""))+1,1),"")</f>
        <v/>
      </c>
      <c r="AJ302" t="str">
        <f>IF(Tabela1[[#This Row],[11]]&lt;&gt;"",IF(ISNUMBER(FIND(",",Tabela1[[#This Row],[11]])),LEN(Tabela1[[#This Row],[11]])-LEN(SUBSTITUTE(Tabela1[[#This Row],[11]],",",""))+1,1),"")</f>
        <v/>
      </c>
      <c r="AK302" t="str">
        <f>IF(Tabela1[[#This Row],[12]]&lt;&gt;"",IF(ISNUMBER(FIND(",",Tabela1[[#This Row],[12]])),LEN(Tabela1[[#This Row],[12]])-LEN(SUBSTITUTE(Tabela1[[#This Row],[12]],",",""))+1,1),"")</f>
        <v/>
      </c>
      <c r="AL302" t="str">
        <f>IF(Tabela1[[#This Row],[13]]&lt;&gt;"",IF(ISNUMBER(FIND(",",Tabela1[[#This Row],[13]])),LEN(Tabela1[[#This Row],[13]])-LEN(SUBSTITUTE(Tabela1[[#This Row],[13]],",",""))+1,1),"")</f>
        <v/>
      </c>
      <c r="AM302" t="str">
        <f>IF(Tabela1[[#This Row],[14]]&lt;&gt;"",IF(ISNUMBER(FIND(",",Tabela1[[#This Row],[14]])),LEN(Tabela1[[#This Row],[14]])-LEN(SUBSTITUTE(Tabela1[[#This Row],[14]],",",""))+1,1),"")</f>
        <v/>
      </c>
      <c r="AN302" t="str">
        <f>IF(Tabela1[[#This Row],[15]]&lt;&gt;"",IF(ISNUMBER(FIND(",",Tabela1[[#This Row],[15]])),LEN(Tabela1[[#This Row],[15]])-LEN(SUBSTITUTE(Tabela1[[#This Row],[15]],",",""))+1,1),"")</f>
        <v/>
      </c>
      <c r="AO302" t="str">
        <f>IF(Tabela1[[#This Row],[16]]&lt;&gt;"",IF(ISNUMBER(FIND(",",Tabela1[[#This Row],[16]])),LEN(Tabela1[[#This Row],[16]])-LEN(SUBSTITUTE(Tabela1[[#This Row],[16]],",",""))+1,1),"")</f>
        <v/>
      </c>
      <c r="AP302">
        <f>IF(Tabela1[[#This Row],[17]]&lt;&gt;"",IF(ISNUMBER(FIND(",",Tabela1[[#This Row],[17]])),LEN(Tabela1[[#This Row],[17]])-LEN(SUBSTITUTE(Tabela1[[#This Row],[17]],",",""))+1,1),"")</f>
        <v>2</v>
      </c>
      <c r="AQ302" t="str">
        <f>IF(Tabela1[[#This Row],[18]]&lt;&gt;"",IF(ISNUMBER(FIND(",",Tabela1[[#This Row],[18]])),LEN(Tabela1[[#This Row],[18]])-LEN(SUBSTITUTE(Tabela1[[#This Row],[18]],",",""))+1,1),"")</f>
        <v/>
      </c>
      <c r="AR302" s="13" t="str">
        <f>IF(Tabela1[[#This Row],[19_LENGTH]]&lt;&gt;"",IF(ISNUMBER(FIND(",",Tabela1[[#This Row],[19_LENGTH]])),LEN(Tabela1[[#This Row],[19_LENGTH]])-LEN(SUBSTITUTE(Tabela1[[#This Row],[19_LENGTH]],",",""))+1,1),"")</f>
        <v/>
      </c>
      <c r="AS302" s="21">
        <f>SUM(Tabela1[[#This Row],[1_]:[19_]])</f>
        <v>3</v>
      </c>
    </row>
    <row r="303" spans="1:45" x14ac:dyDescent="0.25">
      <c r="A303" s="27" t="s">
        <v>1322</v>
      </c>
      <c r="B303" s="19" t="s">
        <v>784</v>
      </c>
      <c r="C303" s="19">
        <v>202</v>
      </c>
      <c r="D303" s="19" t="s">
        <v>1299</v>
      </c>
      <c r="E303" s="20">
        <v>43495</v>
      </c>
      <c r="F303" s="19"/>
      <c r="G303" s="19"/>
      <c r="H303" s="19"/>
      <c r="I303" s="19" t="s">
        <v>130</v>
      </c>
      <c r="J303" s="19"/>
      <c r="K303" s="19"/>
      <c r="L303" s="19"/>
      <c r="M303" s="19"/>
      <c r="N303" s="19"/>
      <c r="O303" s="19"/>
      <c r="P303" s="19"/>
      <c r="Q303" s="19"/>
      <c r="R303" s="19"/>
      <c r="S303" s="19"/>
      <c r="T303" s="19"/>
      <c r="U303" s="19"/>
      <c r="V303" s="19">
        <v>170</v>
      </c>
      <c r="W303" s="19"/>
      <c r="X303" s="19"/>
      <c r="Y303" s="19"/>
      <c r="Z303" t="str">
        <f>IF(Tabela1[[#This Row],[1]]&lt;&gt;"",IF(ISNUMBER(FIND(",",Tabela1[[#This Row],[1]])),LEN(Tabela1[[#This Row],[1]])-LEN(SUBSTITUTE(Tabela1[[#This Row],[1]],",",""))+1,1),"")</f>
        <v/>
      </c>
      <c r="AA303" t="str">
        <f>IF(Tabela1[[#This Row],[2]]&lt;&gt;"",IF(ISNUMBER(FIND(",",Tabela1[[#This Row],[2]])),LEN(Tabela1[[#This Row],[2]])-LEN(SUBSTITUTE(Tabela1[[#This Row],[2]],",",""))+1,1),"")</f>
        <v/>
      </c>
      <c r="AB303" t="str">
        <f>IF(Tabela1[[#This Row],[3]]&lt;&gt;"",IF(ISNUMBER(FIND(",",Tabela1[[#This Row],[3]])),LEN(Tabela1[[#This Row],[3]])-LEN(SUBSTITUTE(Tabela1[[#This Row],[3]],",",""))+1,1),"")</f>
        <v/>
      </c>
      <c r="AC303">
        <f>IF(Tabela1[[#This Row],[4]]&lt;&gt;"",IF(ISNUMBER(FIND(",",Tabela1[[#This Row],[4]])),LEN(Tabela1[[#This Row],[4]])-LEN(SUBSTITUTE(Tabela1[[#This Row],[4]],",",""))+1,1),"")</f>
        <v>2</v>
      </c>
      <c r="AD303" t="str">
        <f>IF(Tabela1[[#This Row],[5]]&lt;&gt;"",IF(ISNUMBER(FIND(",",Tabela1[[#This Row],[5]])),LEN(Tabela1[[#This Row],[5]])-LEN(SUBSTITUTE(Tabela1[[#This Row],[5]],",",""))+1,1),"")</f>
        <v/>
      </c>
      <c r="AE303" t="str">
        <f>IF(Tabela1[[#This Row],[6]]&lt;&gt;"",IF(ISNUMBER(FIND(",",Tabela1[[#This Row],[6]])),LEN(Tabela1[[#This Row],[6]])-LEN(SUBSTITUTE(Tabela1[[#This Row],[6]],",",""))+1,1),"")</f>
        <v/>
      </c>
      <c r="AF303" t="str">
        <f>IF(Tabela1[[#This Row],[7]]&lt;&gt;"",IF(ISNUMBER(FIND(",",Tabela1[[#This Row],[7]])),LEN(Tabela1[[#This Row],[7]])-LEN(SUBSTITUTE(Tabela1[[#This Row],[7]],",",""))+1,1),"")</f>
        <v/>
      </c>
      <c r="AG303" t="str">
        <f>IF(Tabela1[[#This Row],[8]]&lt;&gt;"",IF(ISNUMBER(FIND(",",Tabela1[[#This Row],[8]])),LEN(Tabela1[[#This Row],[8]])-LEN(SUBSTITUTE(Tabela1[[#This Row],[8]],",",""))+1,1),"")</f>
        <v/>
      </c>
      <c r="AH303" t="str">
        <f>IF(Tabela1[[#This Row],[9]]&lt;&gt;"",IF(ISNUMBER(FIND(",",Tabela1[[#This Row],[9]])),LEN(Tabela1[[#This Row],[9]])-LEN(SUBSTITUTE(Tabela1[[#This Row],[9]],",",""))+1,1),"")</f>
        <v/>
      </c>
      <c r="AI303" t="str">
        <f>IF(Tabela1[[#This Row],[10]]&lt;&gt;"",IF(ISNUMBER(FIND(",",Tabela1[[#This Row],[10]])),LEN(Tabela1[[#This Row],[10]])-LEN(SUBSTITUTE(Tabela1[[#This Row],[10]],",",""))+1,1),"")</f>
        <v/>
      </c>
      <c r="AJ303" t="str">
        <f>IF(Tabela1[[#This Row],[11]]&lt;&gt;"",IF(ISNUMBER(FIND(",",Tabela1[[#This Row],[11]])),LEN(Tabela1[[#This Row],[11]])-LEN(SUBSTITUTE(Tabela1[[#This Row],[11]],",",""))+1,1),"")</f>
        <v/>
      </c>
      <c r="AK303" t="str">
        <f>IF(Tabela1[[#This Row],[12]]&lt;&gt;"",IF(ISNUMBER(FIND(",",Tabela1[[#This Row],[12]])),LEN(Tabela1[[#This Row],[12]])-LEN(SUBSTITUTE(Tabela1[[#This Row],[12]],",",""))+1,1),"")</f>
        <v/>
      </c>
      <c r="AL303" t="str">
        <f>IF(Tabela1[[#This Row],[13]]&lt;&gt;"",IF(ISNUMBER(FIND(",",Tabela1[[#This Row],[13]])),LEN(Tabela1[[#This Row],[13]])-LEN(SUBSTITUTE(Tabela1[[#This Row],[13]],",",""))+1,1),"")</f>
        <v/>
      </c>
      <c r="AM303" t="str">
        <f>IF(Tabela1[[#This Row],[14]]&lt;&gt;"",IF(ISNUMBER(FIND(",",Tabela1[[#This Row],[14]])),LEN(Tabela1[[#This Row],[14]])-LEN(SUBSTITUTE(Tabela1[[#This Row],[14]],",",""))+1,1),"")</f>
        <v/>
      </c>
      <c r="AN303" t="str">
        <f>IF(Tabela1[[#This Row],[15]]&lt;&gt;"",IF(ISNUMBER(FIND(",",Tabela1[[#This Row],[15]])),LEN(Tabela1[[#This Row],[15]])-LEN(SUBSTITUTE(Tabela1[[#This Row],[15]],",",""))+1,1),"")</f>
        <v/>
      </c>
      <c r="AO303" t="str">
        <f>IF(Tabela1[[#This Row],[16]]&lt;&gt;"",IF(ISNUMBER(FIND(",",Tabela1[[#This Row],[16]])),LEN(Tabela1[[#This Row],[16]])-LEN(SUBSTITUTE(Tabela1[[#This Row],[16]],",",""))+1,1),"")</f>
        <v/>
      </c>
      <c r="AP303">
        <f>IF(Tabela1[[#This Row],[17]]&lt;&gt;"",IF(ISNUMBER(FIND(",",Tabela1[[#This Row],[17]])),LEN(Tabela1[[#This Row],[17]])-LEN(SUBSTITUTE(Tabela1[[#This Row],[17]],",",""))+1,1),"")</f>
        <v>1</v>
      </c>
      <c r="AQ303" t="str">
        <f>IF(Tabela1[[#This Row],[18]]&lt;&gt;"",IF(ISNUMBER(FIND(",",Tabela1[[#This Row],[18]])),LEN(Tabela1[[#This Row],[18]])-LEN(SUBSTITUTE(Tabela1[[#This Row],[18]],",",""))+1,1),"")</f>
        <v/>
      </c>
      <c r="AR303" s="13" t="str">
        <f>IF(Tabela1[[#This Row],[19_LENGTH]]&lt;&gt;"",IF(ISNUMBER(FIND(",",Tabela1[[#This Row],[19_LENGTH]])),LEN(Tabela1[[#This Row],[19_LENGTH]])-LEN(SUBSTITUTE(Tabela1[[#This Row],[19_LENGTH]],",",""))+1,1),"")</f>
        <v/>
      </c>
      <c r="AS303" s="21">
        <f>SUM(Tabela1[[#This Row],[1_]:[19_]])</f>
        <v>3</v>
      </c>
    </row>
    <row r="304" spans="1:45" x14ac:dyDescent="0.25">
      <c r="A304" s="27" t="s">
        <v>1323</v>
      </c>
      <c r="B304" s="19" t="s">
        <v>456</v>
      </c>
      <c r="C304" s="19">
        <v>216</v>
      </c>
      <c r="D304" s="19" t="s">
        <v>1297</v>
      </c>
      <c r="E304" s="20">
        <v>43500</v>
      </c>
      <c r="F304" s="19"/>
      <c r="G304" s="19"/>
      <c r="H304" s="19"/>
      <c r="I304" s="19"/>
      <c r="J304" s="19"/>
      <c r="K304" s="19"/>
      <c r="L304" s="19"/>
      <c r="M304" s="19"/>
      <c r="N304" s="19"/>
      <c r="O304" s="19"/>
      <c r="P304" s="19"/>
      <c r="Q304" s="19"/>
      <c r="R304" s="19"/>
      <c r="S304" s="19"/>
      <c r="T304" s="19"/>
      <c r="U304" s="19"/>
      <c r="V304" s="19"/>
      <c r="W304" s="19"/>
      <c r="X304" s="19" t="s">
        <v>131</v>
      </c>
      <c r="Y304" s="19" t="s">
        <v>132</v>
      </c>
      <c r="Z304" t="str">
        <f>IF(Tabela1[[#This Row],[1]]&lt;&gt;"",IF(ISNUMBER(FIND(",",Tabela1[[#This Row],[1]])),LEN(Tabela1[[#This Row],[1]])-LEN(SUBSTITUTE(Tabela1[[#This Row],[1]],",",""))+1,1),"")</f>
        <v/>
      </c>
      <c r="AA304" t="str">
        <f>IF(Tabela1[[#This Row],[2]]&lt;&gt;"",IF(ISNUMBER(FIND(",",Tabela1[[#This Row],[2]])),LEN(Tabela1[[#This Row],[2]])-LEN(SUBSTITUTE(Tabela1[[#This Row],[2]],",",""))+1,1),"")</f>
        <v/>
      </c>
      <c r="AB304" t="str">
        <f>IF(Tabela1[[#This Row],[3]]&lt;&gt;"",IF(ISNUMBER(FIND(",",Tabela1[[#This Row],[3]])),LEN(Tabela1[[#This Row],[3]])-LEN(SUBSTITUTE(Tabela1[[#This Row],[3]],",",""))+1,1),"")</f>
        <v/>
      </c>
      <c r="AC304" t="str">
        <f>IF(Tabela1[[#This Row],[4]]&lt;&gt;"",IF(ISNUMBER(FIND(",",Tabela1[[#This Row],[4]])),LEN(Tabela1[[#This Row],[4]])-LEN(SUBSTITUTE(Tabela1[[#This Row],[4]],",",""))+1,1),"")</f>
        <v/>
      </c>
      <c r="AD304" t="str">
        <f>IF(Tabela1[[#This Row],[5]]&lt;&gt;"",IF(ISNUMBER(FIND(",",Tabela1[[#This Row],[5]])),LEN(Tabela1[[#This Row],[5]])-LEN(SUBSTITUTE(Tabela1[[#This Row],[5]],",",""))+1,1),"")</f>
        <v/>
      </c>
      <c r="AE304" t="str">
        <f>IF(Tabela1[[#This Row],[6]]&lt;&gt;"",IF(ISNUMBER(FIND(",",Tabela1[[#This Row],[6]])),LEN(Tabela1[[#This Row],[6]])-LEN(SUBSTITUTE(Tabela1[[#This Row],[6]],",",""))+1,1),"")</f>
        <v/>
      </c>
      <c r="AF304" t="str">
        <f>IF(Tabela1[[#This Row],[7]]&lt;&gt;"",IF(ISNUMBER(FIND(",",Tabela1[[#This Row],[7]])),LEN(Tabela1[[#This Row],[7]])-LEN(SUBSTITUTE(Tabela1[[#This Row],[7]],",",""))+1,1),"")</f>
        <v/>
      </c>
      <c r="AG304" t="str">
        <f>IF(Tabela1[[#This Row],[8]]&lt;&gt;"",IF(ISNUMBER(FIND(",",Tabela1[[#This Row],[8]])),LEN(Tabela1[[#This Row],[8]])-LEN(SUBSTITUTE(Tabela1[[#This Row],[8]],",",""))+1,1),"")</f>
        <v/>
      </c>
      <c r="AH304" t="str">
        <f>IF(Tabela1[[#This Row],[9]]&lt;&gt;"",IF(ISNUMBER(FIND(",",Tabela1[[#This Row],[9]])),LEN(Tabela1[[#This Row],[9]])-LEN(SUBSTITUTE(Tabela1[[#This Row],[9]],",",""))+1,1),"")</f>
        <v/>
      </c>
      <c r="AI304" t="str">
        <f>IF(Tabela1[[#This Row],[10]]&lt;&gt;"",IF(ISNUMBER(FIND(",",Tabela1[[#This Row],[10]])),LEN(Tabela1[[#This Row],[10]])-LEN(SUBSTITUTE(Tabela1[[#This Row],[10]],",",""))+1,1),"")</f>
        <v/>
      </c>
      <c r="AJ304" t="str">
        <f>IF(Tabela1[[#This Row],[11]]&lt;&gt;"",IF(ISNUMBER(FIND(",",Tabela1[[#This Row],[11]])),LEN(Tabela1[[#This Row],[11]])-LEN(SUBSTITUTE(Tabela1[[#This Row],[11]],",",""))+1,1),"")</f>
        <v/>
      </c>
      <c r="AK304" t="str">
        <f>IF(Tabela1[[#This Row],[12]]&lt;&gt;"",IF(ISNUMBER(FIND(",",Tabela1[[#This Row],[12]])),LEN(Tabela1[[#This Row],[12]])-LEN(SUBSTITUTE(Tabela1[[#This Row],[12]],",",""))+1,1),"")</f>
        <v/>
      </c>
      <c r="AL304" t="str">
        <f>IF(Tabela1[[#This Row],[13]]&lt;&gt;"",IF(ISNUMBER(FIND(",",Tabela1[[#This Row],[13]])),LEN(Tabela1[[#This Row],[13]])-LEN(SUBSTITUTE(Tabela1[[#This Row],[13]],",",""))+1,1),"")</f>
        <v/>
      </c>
      <c r="AM304" t="str">
        <f>IF(Tabela1[[#This Row],[14]]&lt;&gt;"",IF(ISNUMBER(FIND(",",Tabela1[[#This Row],[14]])),LEN(Tabela1[[#This Row],[14]])-LEN(SUBSTITUTE(Tabela1[[#This Row],[14]],",",""))+1,1),"")</f>
        <v/>
      </c>
      <c r="AN304" t="str">
        <f>IF(Tabela1[[#This Row],[15]]&lt;&gt;"",IF(ISNUMBER(FIND(",",Tabela1[[#This Row],[15]])),LEN(Tabela1[[#This Row],[15]])-LEN(SUBSTITUTE(Tabela1[[#This Row],[15]],",",""))+1,1),"")</f>
        <v/>
      </c>
      <c r="AO304" t="str">
        <f>IF(Tabela1[[#This Row],[16]]&lt;&gt;"",IF(ISNUMBER(FIND(",",Tabela1[[#This Row],[16]])),LEN(Tabela1[[#This Row],[16]])-LEN(SUBSTITUTE(Tabela1[[#This Row],[16]],",",""))+1,1),"")</f>
        <v/>
      </c>
      <c r="AP304" t="str">
        <f>IF(Tabela1[[#This Row],[17]]&lt;&gt;"",IF(ISNUMBER(FIND(",",Tabela1[[#This Row],[17]])),LEN(Tabela1[[#This Row],[17]])-LEN(SUBSTITUTE(Tabela1[[#This Row],[17]],",",""))+1,1),"")</f>
        <v/>
      </c>
      <c r="AQ304" t="str">
        <f>IF(Tabela1[[#This Row],[18]]&lt;&gt;"",IF(ISNUMBER(FIND(",",Tabela1[[#This Row],[18]])),LEN(Tabela1[[#This Row],[18]])-LEN(SUBSTITUTE(Tabela1[[#This Row],[18]],",",""))+1,1),"")</f>
        <v/>
      </c>
      <c r="AR304" s="13">
        <f>IF(Tabela1[[#This Row],[19_LENGTH]]&lt;&gt;"",IF(ISNUMBER(FIND(",",Tabela1[[#This Row],[19_LENGTH]])),LEN(Tabela1[[#This Row],[19_LENGTH]])-LEN(SUBSTITUTE(Tabela1[[#This Row],[19_LENGTH]],",",""))+1,1),"")</f>
        <v>1</v>
      </c>
      <c r="AS304" s="21">
        <f>SUM(Tabela1[[#This Row],[1_]:[19_]])</f>
        <v>1</v>
      </c>
    </row>
    <row r="305" spans="1:45" x14ac:dyDescent="0.25">
      <c r="A305" s="27" t="s">
        <v>1323</v>
      </c>
      <c r="B305" s="19" t="s">
        <v>457</v>
      </c>
      <c r="C305" s="19">
        <v>212</v>
      </c>
      <c r="D305" s="19" t="s">
        <v>1297</v>
      </c>
      <c r="E305" s="20">
        <v>43500</v>
      </c>
      <c r="F305" s="19"/>
      <c r="G305" s="19"/>
      <c r="H305" s="19"/>
      <c r="I305" s="19">
        <v>86</v>
      </c>
      <c r="J305" s="19"/>
      <c r="K305" s="19"/>
      <c r="L305" s="19"/>
      <c r="M305" s="19"/>
      <c r="N305" s="19"/>
      <c r="O305" s="19"/>
      <c r="P305" s="19"/>
      <c r="Q305" s="19"/>
      <c r="R305" s="19"/>
      <c r="S305" s="19"/>
      <c r="T305" s="19"/>
      <c r="U305" s="19"/>
      <c r="V305" s="19"/>
      <c r="W305" s="19"/>
      <c r="X305" s="19"/>
      <c r="Y305" s="19"/>
      <c r="Z305" t="str">
        <f>IF(Tabela1[[#This Row],[1]]&lt;&gt;"",IF(ISNUMBER(FIND(",",Tabela1[[#This Row],[1]])),LEN(Tabela1[[#This Row],[1]])-LEN(SUBSTITUTE(Tabela1[[#This Row],[1]],",",""))+1,1),"")</f>
        <v/>
      </c>
      <c r="AA305" t="str">
        <f>IF(Tabela1[[#This Row],[2]]&lt;&gt;"",IF(ISNUMBER(FIND(",",Tabela1[[#This Row],[2]])),LEN(Tabela1[[#This Row],[2]])-LEN(SUBSTITUTE(Tabela1[[#This Row],[2]],",",""))+1,1),"")</f>
        <v/>
      </c>
      <c r="AB305" t="str">
        <f>IF(Tabela1[[#This Row],[3]]&lt;&gt;"",IF(ISNUMBER(FIND(",",Tabela1[[#This Row],[3]])),LEN(Tabela1[[#This Row],[3]])-LEN(SUBSTITUTE(Tabela1[[#This Row],[3]],",",""))+1,1),"")</f>
        <v/>
      </c>
      <c r="AC305">
        <f>IF(Tabela1[[#This Row],[4]]&lt;&gt;"",IF(ISNUMBER(FIND(",",Tabela1[[#This Row],[4]])),LEN(Tabela1[[#This Row],[4]])-LEN(SUBSTITUTE(Tabela1[[#This Row],[4]],",",""))+1,1),"")</f>
        <v>1</v>
      </c>
      <c r="AD305" t="str">
        <f>IF(Tabela1[[#This Row],[5]]&lt;&gt;"",IF(ISNUMBER(FIND(",",Tabela1[[#This Row],[5]])),LEN(Tabela1[[#This Row],[5]])-LEN(SUBSTITUTE(Tabela1[[#This Row],[5]],",",""))+1,1),"")</f>
        <v/>
      </c>
      <c r="AE305" t="str">
        <f>IF(Tabela1[[#This Row],[6]]&lt;&gt;"",IF(ISNUMBER(FIND(",",Tabela1[[#This Row],[6]])),LEN(Tabela1[[#This Row],[6]])-LEN(SUBSTITUTE(Tabela1[[#This Row],[6]],",",""))+1,1),"")</f>
        <v/>
      </c>
      <c r="AF305" t="str">
        <f>IF(Tabela1[[#This Row],[7]]&lt;&gt;"",IF(ISNUMBER(FIND(",",Tabela1[[#This Row],[7]])),LEN(Tabela1[[#This Row],[7]])-LEN(SUBSTITUTE(Tabela1[[#This Row],[7]],",",""))+1,1),"")</f>
        <v/>
      </c>
      <c r="AG305" t="str">
        <f>IF(Tabela1[[#This Row],[8]]&lt;&gt;"",IF(ISNUMBER(FIND(",",Tabela1[[#This Row],[8]])),LEN(Tabela1[[#This Row],[8]])-LEN(SUBSTITUTE(Tabela1[[#This Row],[8]],",",""))+1,1),"")</f>
        <v/>
      </c>
      <c r="AH305" t="str">
        <f>IF(Tabela1[[#This Row],[9]]&lt;&gt;"",IF(ISNUMBER(FIND(",",Tabela1[[#This Row],[9]])),LEN(Tabela1[[#This Row],[9]])-LEN(SUBSTITUTE(Tabela1[[#This Row],[9]],",",""))+1,1),"")</f>
        <v/>
      </c>
      <c r="AI305" t="str">
        <f>IF(Tabela1[[#This Row],[10]]&lt;&gt;"",IF(ISNUMBER(FIND(",",Tabela1[[#This Row],[10]])),LEN(Tabela1[[#This Row],[10]])-LEN(SUBSTITUTE(Tabela1[[#This Row],[10]],",",""))+1,1),"")</f>
        <v/>
      </c>
      <c r="AJ305" t="str">
        <f>IF(Tabela1[[#This Row],[11]]&lt;&gt;"",IF(ISNUMBER(FIND(",",Tabela1[[#This Row],[11]])),LEN(Tabela1[[#This Row],[11]])-LEN(SUBSTITUTE(Tabela1[[#This Row],[11]],",",""))+1,1),"")</f>
        <v/>
      </c>
      <c r="AK305" t="str">
        <f>IF(Tabela1[[#This Row],[12]]&lt;&gt;"",IF(ISNUMBER(FIND(",",Tabela1[[#This Row],[12]])),LEN(Tabela1[[#This Row],[12]])-LEN(SUBSTITUTE(Tabela1[[#This Row],[12]],",",""))+1,1),"")</f>
        <v/>
      </c>
      <c r="AL305" t="str">
        <f>IF(Tabela1[[#This Row],[13]]&lt;&gt;"",IF(ISNUMBER(FIND(",",Tabela1[[#This Row],[13]])),LEN(Tabela1[[#This Row],[13]])-LEN(SUBSTITUTE(Tabela1[[#This Row],[13]],",",""))+1,1),"")</f>
        <v/>
      </c>
      <c r="AM305" t="str">
        <f>IF(Tabela1[[#This Row],[14]]&lt;&gt;"",IF(ISNUMBER(FIND(",",Tabela1[[#This Row],[14]])),LEN(Tabela1[[#This Row],[14]])-LEN(SUBSTITUTE(Tabela1[[#This Row],[14]],",",""))+1,1),"")</f>
        <v/>
      </c>
      <c r="AN305" t="str">
        <f>IF(Tabela1[[#This Row],[15]]&lt;&gt;"",IF(ISNUMBER(FIND(",",Tabela1[[#This Row],[15]])),LEN(Tabela1[[#This Row],[15]])-LEN(SUBSTITUTE(Tabela1[[#This Row],[15]],",",""))+1,1),"")</f>
        <v/>
      </c>
      <c r="AO305" t="str">
        <f>IF(Tabela1[[#This Row],[16]]&lt;&gt;"",IF(ISNUMBER(FIND(",",Tabela1[[#This Row],[16]])),LEN(Tabela1[[#This Row],[16]])-LEN(SUBSTITUTE(Tabela1[[#This Row],[16]],",",""))+1,1),"")</f>
        <v/>
      </c>
      <c r="AP305" t="str">
        <f>IF(Tabela1[[#This Row],[17]]&lt;&gt;"",IF(ISNUMBER(FIND(",",Tabela1[[#This Row],[17]])),LEN(Tabela1[[#This Row],[17]])-LEN(SUBSTITUTE(Tabela1[[#This Row],[17]],",",""))+1,1),"")</f>
        <v/>
      </c>
      <c r="AQ305" t="str">
        <f>IF(Tabela1[[#This Row],[18]]&lt;&gt;"",IF(ISNUMBER(FIND(",",Tabela1[[#This Row],[18]])),LEN(Tabela1[[#This Row],[18]])-LEN(SUBSTITUTE(Tabela1[[#This Row],[18]],",",""))+1,1),"")</f>
        <v/>
      </c>
      <c r="AR305" s="13" t="str">
        <f>IF(Tabela1[[#This Row],[19_LENGTH]]&lt;&gt;"",IF(ISNUMBER(FIND(",",Tabela1[[#This Row],[19_LENGTH]])),LEN(Tabela1[[#This Row],[19_LENGTH]])-LEN(SUBSTITUTE(Tabela1[[#This Row],[19_LENGTH]],",",""))+1,1),"")</f>
        <v/>
      </c>
      <c r="AS305" s="21">
        <f>SUM(Tabela1[[#This Row],[1_]:[19_]])</f>
        <v>1</v>
      </c>
    </row>
    <row r="306" spans="1:45" x14ac:dyDescent="0.25">
      <c r="A306" s="27" t="s">
        <v>1323</v>
      </c>
      <c r="B306" s="19" t="s">
        <v>458</v>
      </c>
      <c r="C306" s="19">
        <v>202</v>
      </c>
      <c r="D306" s="19" t="s">
        <v>1297</v>
      </c>
      <c r="E306" s="20">
        <v>43500</v>
      </c>
      <c r="F306" s="19"/>
      <c r="G306" s="19">
        <v>15</v>
      </c>
      <c r="H306" s="19"/>
      <c r="I306" s="19" t="s">
        <v>133</v>
      </c>
      <c r="J306" s="19"/>
      <c r="K306" s="19"/>
      <c r="L306" s="19"/>
      <c r="M306" s="19">
        <v>29</v>
      </c>
      <c r="N306" s="19"/>
      <c r="O306" s="19"/>
      <c r="P306" s="19"/>
      <c r="Q306" s="19"/>
      <c r="R306" s="19"/>
      <c r="S306" s="19"/>
      <c r="T306" s="19"/>
      <c r="U306" s="19"/>
      <c r="V306" s="19"/>
      <c r="W306" s="19"/>
      <c r="X306" s="19"/>
      <c r="Y306" s="19"/>
      <c r="Z306" t="str">
        <f>IF(Tabela1[[#This Row],[1]]&lt;&gt;"",IF(ISNUMBER(FIND(",",Tabela1[[#This Row],[1]])),LEN(Tabela1[[#This Row],[1]])-LEN(SUBSTITUTE(Tabela1[[#This Row],[1]],",",""))+1,1),"")</f>
        <v/>
      </c>
      <c r="AA306">
        <f>IF(Tabela1[[#This Row],[2]]&lt;&gt;"",IF(ISNUMBER(FIND(",",Tabela1[[#This Row],[2]])),LEN(Tabela1[[#This Row],[2]])-LEN(SUBSTITUTE(Tabela1[[#This Row],[2]],",",""))+1,1),"")</f>
        <v>1</v>
      </c>
      <c r="AB306" t="str">
        <f>IF(Tabela1[[#This Row],[3]]&lt;&gt;"",IF(ISNUMBER(FIND(",",Tabela1[[#This Row],[3]])),LEN(Tabela1[[#This Row],[3]])-LEN(SUBSTITUTE(Tabela1[[#This Row],[3]],",",""))+1,1),"")</f>
        <v/>
      </c>
      <c r="AC306">
        <f>IF(Tabela1[[#This Row],[4]]&lt;&gt;"",IF(ISNUMBER(FIND(",",Tabela1[[#This Row],[4]])),LEN(Tabela1[[#This Row],[4]])-LEN(SUBSTITUTE(Tabela1[[#This Row],[4]],",",""))+1,1),"")</f>
        <v>2</v>
      </c>
      <c r="AD306" t="str">
        <f>IF(Tabela1[[#This Row],[5]]&lt;&gt;"",IF(ISNUMBER(FIND(",",Tabela1[[#This Row],[5]])),LEN(Tabela1[[#This Row],[5]])-LEN(SUBSTITUTE(Tabela1[[#This Row],[5]],",",""))+1,1),"")</f>
        <v/>
      </c>
      <c r="AE306" t="str">
        <f>IF(Tabela1[[#This Row],[6]]&lt;&gt;"",IF(ISNUMBER(FIND(",",Tabela1[[#This Row],[6]])),LEN(Tabela1[[#This Row],[6]])-LEN(SUBSTITUTE(Tabela1[[#This Row],[6]],",",""))+1,1),"")</f>
        <v/>
      </c>
      <c r="AF306" t="str">
        <f>IF(Tabela1[[#This Row],[7]]&lt;&gt;"",IF(ISNUMBER(FIND(",",Tabela1[[#This Row],[7]])),LEN(Tabela1[[#This Row],[7]])-LEN(SUBSTITUTE(Tabela1[[#This Row],[7]],",",""))+1,1),"")</f>
        <v/>
      </c>
      <c r="AG306">
        <f>IF(Tabela1[[#This Row],[8]]&lt;&gt;"",IF(ISNUMBER(FIND(",",Tabela1[[#This Row],[8]])),LEN(Tabela1[[#This Row],[8]])-LEN(SUBSTITUTE(Tabela1[[#This Row],[8]],",",""))+1,1),"")</f>
        <v>1</v>
      </c>
      <c r="AH306" t="str">
        <f>IF(Tabela1[[#This Row],[9]]&lt;&gt;"",IF(ISNUMBER(FIND(",",Tabela1[[#This Row],[9]])),LEN(Tabela1[[#This Row],[9]])-LEN(SUBSTITUTE(Tabela1[[#This Row],[9]],",",""))+1,1),"")</f>
        <v/>
      </c>
      <c r="AI306" t="str">
        <f>IF(Tabela1[[#This Row],[10]]&lt;&gt;"",IF(ISNUMBER(FIND(",",Tabela1[[#This Row],[10]])),LEN(Tabela1[[#This Row],[10]])-LEN(SUBSTITUTE(Tabela1[[#This Row],[10]],",",""))+1,1),"")</f>
        <v/>
      </c>
      <c r="AJ306" t="str">
        <f>IF(Tabela1[[#This Row],[11]]&lt;&gt;"",IF(ISNUMBER(FIND(",",Tabela1[[#This Row],[11]])),LEN(Tabela1[[#This Row],[11]])-LEN(SUBSTITUTE(Tabela1[[#This Row],[11]],",",""))+1,1),"")</f>
        <v/>
      </c>
      <c r="AK306" t="str">
        <f>IF(Tabela1[[#This Row],[12]]&lt;&gt;"",IF(ISNUMBER(FIND(",",Tabela1[[#This Row],[12]])),LEN(Tabela1[[#This Row],[12]])-LEN(SUBSTITUTE(Tabela1[[#This Row],[12]],",",""))+1,1),"")</f>
        <v/>
      </c>
      <c r="AL306" t="str">
        <f>IF(Tabela1[[#This Row],[13]]&lt;&gt;"",IF(ISNUMBER(FIND(",",Tabela1[[#This Row],[13]])),LEN(Tabela1[[#This Row],[13]])-LEN(SUBSTITUTE(Tabela1[[#This Row],[13]],",",""))+1,1),"")</f>
        <v/>
      </c>
      <c r="AM306" t="str">
        <f>IF(Tabela1[[#This Row],[14]]&lt;&gt;"",IF(ISNUMBER(FIND(",",Tabela1[[#This Row],[14]])),LEN(Tabela1[[#This Row],[14]])-LEN(SUBSTITUTE(Tabela1[[#This Row],[14]],",",""))+1,1),"")</f>
        <v/>
      </c>
      <c r="AN306" t="str">
        <f>IF(Tabela1[[#This Row],[15]]&lt;&gt;"",IF(ISNUMBER(FIND(",",Tabela1[[#This Row],[15]])),LEN(Tabela1[[#This Row],[15]])-LEN(SUBSTITUTE(Tabela1[[#This Row],[15]],",",""))+1,1),"")</f>
        <v/>
      </c>
      <c r="AO306" t="str">
        <f>IF(Tabela1[[#This Row],[16]]&lt;&gt;"",IF(ISNUMBER(FIND(",",Tabela1[[#This Row],[16]])),LEN(Tabela1[[#This Row],[16]])-LEN(SUBSTITUTE(Tabela1[[#This Row],[16]],",",""))+1,1),"")</f>
        <v/>
      </c>
      <c r="AP306" t="str">
        <f>IF(Tabela1[[#This Row],[17]]&lt;&gt;"",IF(ISNUMBER(FIND(",",Tabela1[[#This Row],[17]])),LEN(Tabela1[[#This Row],[17]])-LEN(SUBSTITUTE(Tabela1[[#This Row],[17]],",",""))+1,1),"")</f>
        <v/>
      </c>
      <c r="AQ306" t="str">
        <f>IF(Tabela1[[#This Row],[18]]&lt;&gt;"",IF(ISNUMBER(FIND(",",Tabela1[[#This Row],[18]])),LEN(Tabela1[[#This Row],[18]])-LEN(SUBSTITUTE(Tabela1[[#This Row],[18]],",",""))+1,1),"")</f>
        <v/>
      </c>
      <c r="AR306" s="13" t="str">
        <f>IF(Tabela1[[#This Row],[19_LENGTH]]&lt;&gt;"",IF(ISNUMBER(FIND(",",Tabela1[[#This Row],[19_LENGTH]])),LEN(Tabela1[[#This Row],[19_LENGTH]])-LEN(SUBSTITUTE(Tabela1[[#This Row],[19_LENGTH]],",",""))+1,1),"")</f>
        <v/>
      </c>
      <c r="AS306" s="21">
        <f>SUM(Tabela1[[#This Row],[1_]:[19_]])</f>
        <v>4</v>
      </c>
    </row>
    <row r="307" spans="1:45" x14ac:dyDescent="0.25">
      <c r="A307" s="27" t="s">
        <v>1323</v>
      </c>
      <c r="B307" s="19" t="s">
        <v>459</v>
      </c>
      <c r="C307" s="19">
        <v>202</v>
      </c>
      <c r="D307" s="19" t="s">
        <v>1297</v>
      </c>
      <c r="E307" s="20">
        <v>43500</v>
      </c>
      <c r="F307" s="19"/>
      <c r="G307" s="19"/>
      <c r="H307" s="19"/>
      <c r="I307" s="19">
        <v>156</v>
      </c>
      <c r="J307" s="19"/>
      <c r="K307" s="19"/>
      <c r="L307" s="19"/>
      <c r="M307" s="19"/>
      <c r="N307" s="19"/>
      <c r="O307" s="19"/>
      <c r="P307" s="19"/>
      <c r="Q307" s="19"/>
      <c r="R307" s="19"/>
      <c r="S307" s="19"/>
      <c r="T307" s="19"/>
      <c r="U307" s="19"/>
      <c r="V307" s="19"/>
      <c r="W307" s="19"/>
      <c r="X307" s="19"/>
      <c r="Y307" s="19"/>
      <c r="Z307" t="str">
        <f>IF(Tabela1[[#This Row],[1]]&lt;&gt;"",IF(ISNUMBER(FIND(",",Tabela1[[#This Row],[1]])),LEN(Tabela1[[#This Row],[1]])-LEN(SUBSTITUTE(Tabela1[[#This Row],[1]],",",""))+1,1),"")</f>
        <v/>
      </c>
      <c r="AA307" t="str">
        <f>IF(Tabela1[[#This Row],[2]]&lt;&gt;"",IF(ISNUMBER(FIND(",",Tabela1[[#This Row],[2]])),LEN(Tabela1[[#This Row],[2]])-LEN(SUBSTITUTE(Tabela1[[#This Row],[2]],",",""))+1,1),"")</f>
        <v/>
      </c>
      <c r="AB307" t="str">
        <f>IF(Tabela1[[#This Row],[3]]&lt;&gt;"",IF(ISNUMBER(FIND(",",Tabela1[[#This Row],[3]])),LEN(Tabela1[[#This Row],[3]])-LEN(SUBSTITUTE(Tabela1[[#This Row],[3]],",",""))+1,1),"")</f>
        <v/>
      </c>
      <c r="AC307">
        <f>IF(Tabela1[[#This Row],[4]]&lt;&gt;"",IF(ISNUMBER(FIND(",",Tabela1[[#This Row],[4]])),LEN(Tabela1[[#This Row],[4]])-LEN(SUBSTITUTE(Tabela1[[#This Row],[4]],",",""))+1,1),"")</f>
        <v>1</v>
      </c>
      <c r="AD307" t="str">
        <f>IF(Tabela1[[#This Row],[5]]&lt;&gt;"",IF(ISNUMBER(FIND(",",Tabela1[[#This Row],[5]])),LEN(Tabela1[[#This Row],[5]])-LEN(SUBSTITUTE(Tabela1[[#This Row],[5]],",",""))+1,1),"")</f>
        <v/>
      </c>
      <c r="AE307" t="str">
        <f>IF(Tabela1[[#This Row],[6]]&lt;&gt;"",IF(ISNUMBER(FIND(",",Tabela1[[#This Row],[6]])),LEN(Tabela1[[#This Row],[6]])-LEN(SUBSTITUTE(Tabela1[[#This Row],[6]],",",""))+1,1),"")</f>
        <v/>
      </c>
      <c r="AF307" t="str">
        <f>IF(Tabela1[[#This Row],[7]]&lt;&gt;"",IF(ISNUMBER(FIND(",",Tabela1[[#This Row],[7]])),LEN(Tabela1[[#This Row],[7]])-LEN(SUBSTITUTE(Tabela1[[#This Row],[7]],",",""))+1,1),"")</f>
        <v/>
      </c>
      <c r="AG307" t="str">
        <f>IF(Tabela1[[#This Row],[8]]&lt;&gt;"",IF(ISNUMBER(FIND(",",Tabela1[[#This Row],[8]])),LEN(Tabela1[[#This Row],[8]])-LEN(SUBSTITUTE(Tabela1[[#This Row],[8]],",",""))+1,1),"")</f>
        <v/>
      </c>
      <c r="AH307" t="str">
        <f>IF(Tabela1[[#This Row],[9]]&lt;&gt;"",IF(ISNUMBER(FIND(",",Tabela1[[#This Row],[9]])),LEN(Tabela1[[#This Row],[9]])-LEN(SUBSTITUTE(Tabela1[[#This Row],[9]],",",""))+1,1),"")</f>
        <v/>
      </c>
      <c r="AI307" t="str">
        <f>IF(Tabela1[[#This Row],[10]]&lt;&gt;"",IF(ISNUMBER(FIND(",",Tabela1[[#This Row],[10]])),LEN(Tabela1[[#This Row],[10]])-LEN(SUBSTITUTE(Tabela1[[#This Row],[10]],",",""))+1,1),"")</f>
        <v/>
      </c>
      <c r="AJ307" t="str">
        <f>IF(Tabela1[[#This Row],[11]]&lt;&gt;"",IF(ISNUMBER(FIND(",",Tabela1[[#This Row],[11]])),LEN(Tabela1[[#This Row],[11]])-LEN(SUBSTITUTE(Tabela1[[#This Row],[11]],",",""))+1,1),"")</f>
        <v/>
      </c>
      <c r="AK307" t="str">
        <f>IF(Tabela1[[#This Row],[12]]&lt;&gt;"",IF(ISNUMBER(FIND(",",Tabela1[[#This Row],[12]])),LEN(Tabela1[[#This Row],[12]])-LEN(SUBSTITUTE(Tabela1[[#This Row],[12]],",",""))+1,1),"")</f>
        <v/>
      </c>
      <c r="AL307" t="str">
        <f>IF(Tabela1[[#This Row],[13]]&lt;&gt;"",IF(ISNUMBER(FIND(",",Tabela1[[#This Row],[13]])),LEN(Tabela1[[#This Row],[13]])-LEN(SUBSTITUTE(Tabela1[[#This Row],[13]],",",""))+1,1),"")</f>
        <v/>
      </c>
      <c r="AM307" t="str">
        <f>IF(Tabela1[[#This Row],[14]]&lt;&gt;"",IF(ISNUMBER(FIND(",",Tabela1[[#This Row],[14]])),LEN(Tabela1[[#This Row],[14]])-LEN(SUBSTITUTE(Tabela1[[#This Row],[14]],",",""))+1,1),"")</f>
        <v/>
      </c>
      <c r="AN307" t="str">
        <f>IF(Tabela1[[#This Row],[15]]&lt;&gt;"",IF(ISNUMBER(FIND(",",Tabela1[[#This Row],[15]])),LEN(Tabela1[[#This Row],[15]])-LEN(SUBSTITUTE(Tabela1[[#This Row],[15]],",",""))+1,1),"")</f>
        <v/>
      </c>
      <c r="AO307" t="str">
        <f>IF(Tabela1[[#This Row],[16]]&lt;&gt;"",IF(ISNUMBER(FIND(",",Tabela1[[#This Row],[16]])),LEN(Tabela1[[#This Row],[16]])-LEN(SUBSTITUTE(Tabela1[[#This Row],[16]],",",""))+1,1),"")</f>
        <v/>
      </c>
      <c r="AP307" t="str">
        <f>IF(Tabela1[[#This Row],[17]]&lt;&gt;"",IF(ISNUMBER(FIND(",",Tabela1[[#This Row],[17]])),LEN(Tabela1[[#This Row],[17]])-LEN(SUBSTITUTE(Tabela1[[#This Row],[17]],",",""))+1,1),"")</f>
        <v/>
      </c>
      <c r="AQ307" t="str">
        <f>IF(Tabela1[[#This Row],[18]]&lt;&gt;"",IF(ISNUMBER(FIND(",",Tabela1[[#This Row],[18]])),LEN(Tabela1[[#This Row],[18]])-LEN(SUBSTITUTE(Tabela1[[#This Row],[18]],",",""))+1,1),"")</f>
        <v/>
      </c>
      <c r="AR307" s="13" t="str">
        <f>IF(Tabela1[[#This Row],[19_LENGTH]]&lt;&gt;"",IF(ISNUMBER(FIND(",",Tabela1[[#This Row],[19_LENGTH]])),LEN(Tabela1[[#This Row],[19_LENGTH]])-LEN(SUBSTITUTE(Tabela1[[#This Row],[19_LENGTH]],",",""))+1,1),"")</f>
        <v/>
      </c>
      <c r="AS307" s="21">
        <f>SUM(Tabela1[[#This Row],[1_]:[19_]])</f>
        <v>1</v>
      </c>
    </row>
    <row r="308" spans="1:45" x14ac:dyDescent="0.25">
      <c r="A308" s="27" t="s">
        <v>1323</v>
      </c>
      <c r="B308" s="19" t="s">
        <v>785</v>
      </c>
      <c r="C308" s="19">
        <v>202</v>
      </c>
      <c r="D308" s="19" t="s">
        <v>1297</v>
      </c>
      <c r="E308" s="20">
        <v>43500</v>
      </c>
      <c r="F308" s="19"/>
      <c r="G308" s="19"/>
      <c r="H308" s="19"/>
      <c r="I308" s="19">
        <v>123</v>
      </c>
      <c r="J308" s="19"/>
      <c r="K308" s="19"/>
      <c r="L308" s="19"/>
      <c r="M308" s="19"/>
      <c r="N308" s="19"/>
      <c r="O308" s="19"/>
      <c r="P308" s="19"/>
      <c r="Q308" s="19"/>
      <c r="R308" s="19"/>
      <c r="S308" s="19"/>
      <c r="T308" s="19"/>
      <c r="U308" s="19"/>
      <c r="V308" s="19"/>
      <c r="W308" s="19"/>
      <c r="X308" s="19"/>
      <c r="Y308" s="19"/>
      <c r="Z308" t="str">
        <f>IF(Tabela1[[#This Row],[1]]&lt;&gt;"",IF(ISNUMBER(FIND(",",Tabela1[[#This Row],[1]])),LEN(Tabela1[[#This Row],[1]])-LEN(SUBSTITUTE(Tabela1[[#This Row],[1]],",",""))+1,1),"")</f>
        <v/>
      </c>
      <c r="AA308" t="str">
        <f>IF(Tabela1[[#This Row],[2]]&lt;&gt;"",IF(ISNUMBER(FIND(",",Tabela1[[#This Row],[2]])),LEN(Tabela1[[#This Row],[2]])-LEN(SUBSTITUTE(Tabela1[[#This Row],[2]],",",""))+1,1),"")</f>
        <v/>
      </c>
      <c r="AB308" t="str">
        <f>IF(Tabela1[[#This Row],[3]]&lt;&gt;"",IF(ISNUMBER(FIND(",",Tabela1[[#This Row],[3]])),LEN(Tabela1[[#This Row],[3]])-LEN(SUBSTITUTE(Tabela1[[#This Row],[3]],",",""))+1,1),"")</f>
        <v/>
      </c>
      <c r="AC308">
        <f>IF(Tabela1[[#This Row],[4]]&lt;&gt;"",IF(ISNUMBER(FIND(",",Tabela1[[#This Row],[4]])),LEN(Tabela1[[#This Row],[4]])-LEN(SUBSTITUTE(Tabela1[[#This Row],[4]],",",""))+1,1),"")</f>
        <v>1</v>
      </c>
      <c r="AD308" t="str">
        <f>IF(Tabela1[[#This Row],[5]]&lt;&gt;"",IF(ISNUMBER(FIND(",",Tabela1[[#This Row],[5]])),LEN(Tabela1[[#This Row],[5]])-LEN(SUBSTITUTE(Tabela1[[#This Row],[5]],",",""))+1,1),"")</f>
        <v/>
      </c>
      <c r="AE308" t="str">
        <f>IF(Tabela1[[#This Row],[6]]&lt;&gt;"",IF(ISNUMBER(FIND(",",Tabela1[[#This Row],[6]])),LEN(Tabela1[[#This Row],[6]])-LEN(SUBSTITUTE(Tabela1[[#This Row],[6]],",",""))+1,1),"")</f>
        <v/>
      </c>
      <c r="AF308" t="str">
        <f>IF(Tabela1[[#This Row],[7]]&lt;&gt;"",IF(ISNUMBER(FIND(",",Tabela1[[#This Row],[7]])),LEN(Tabela1[[#This Row],[7]])-LEN(SUBSTITUTE(Tabela1[[#This Row],[7]],",",""))+1,1),"")</f>
        <v/>
      </c>
      <c r="AG308" t="str">
        <f>IF(Tabela1[[#This Row],[8]]&lt;&gt;"",IF(ISNUMBER(FIND(",",Tabela1[[#This Row],[8]])),LEN(Tabela1[[#This Row],[8]])-LEN(SUBSTITUTE(Tabela1[[#This Row],[8]],",",""))+1,1),"")</f>
        <v/>
      </c>
      <c r="AH308" t="str">
        <f>IF(Tabela1[[#This Row],[9]]&lt;&gt;"",IF(ISNUMBER(FIND(",",Tabela1[[#This Row],[9]])),LEN(Tabela1[[#This Row],[9]])-LEN(SUBSTITUTE(Tabela1[[#This Row],[9]],",",""))+1,1),"")</f>
        <v/>
      </c>
      <c r="AI308" t="str">
        <f>IF(Tabela1[[#This Row],[10]]&lt;&gt;"",IF(ISNUMBER(FIND(",",Tabela1[[#This Row],[10]])),LEN(Tabela1[[#This Row],[10]])-LEN(SUBSTITUTE(Tabela1[[#This Row],[10]],",",""))+1,1),"")</f>
        <v/>
      </c>
      <c r="AJ308" t="str">
        <f>IF(Tabela1[[#This Row],[11]]&lt;&gt;"",IF(ISNUMBER(FIND(",",Tabela1[[#This Row],[11]])),LEN(Tabela1[[#This Row],[11]])-LEN(SUBSTITUTE(Tabela1[[#This Row],[11]],",",""))+1,1),"")</f>
        <v/>
      </c>
      <c r="AK308" t="str">
        <f>IF(Tabela1[[#This Row],[12]]&lt;&gt;"",IF(ISNUMBER(FIND(",",Tabela1[[#This Row],[12]])),LEN(Tabela1[[#This Row],[12]])-LEN(SUBSTITUTE(Tabela1[[#This Row],[12]],",",""))+1,1),"")</f>
        <v/>
      </c>
      <c r="AL308" t="str">
        <f>IF(Tabela1[[#This Row],[13]]&lt;&gt;"",IF(ISNUMBER(FIND(",",Tabela1[[#This Row],[13]])),LEN(Tabela1[[#This Row],[13]])-LEN(SUBSTITUTE(Tabela1[[#This Row],[13]],",",""))+1,1),"")</f>
        <v/>
      </c>
      <c r="AM308" t="str">
        <f>IF(Tabela1[[#This Row],[14]]&lt;&gt;"",IF(ISNUMBER(FIND(",",Tabela1[[#This Row],[14]])),LEN(Tabela1[[#This Row],[14]])-LEN(SUBSTITUTE(Tabela1[[#This Row],[14]],",",""))+1,1),"")</f>
        <v/>
      </c>
      <c r="AN308" t="str">
        <f>IF(Tabela1[[#This Row],[15]]&lt;&gt;"",IF(ISNUMBER(FIND(",",Tabela1[[#This Row],[15]])),LEN(Tabela1[[#This Row],[15]])-LEN(SUBSTITUTE(Tabela1[[#This Row],[15]],",",""))+1,1),"")</f>
        <v/>
      </c>
      <c r="AO308" t="str">
        <f>IF(Tabela1[[#This Row],[16]]&lt;&gt;"",IF(ISNUMBER(FIND(",",Tabela1[[#This Row],[16]])),LEN(Tabela1[[#This Row],[16]])-LEN(SUBSTITUTE(Tabela1[[#This Row],[16]],",",""))+1,1),"")</f>
        <v/>
      </c>
      <c r="AP308" t="str">
        <f>IF(Tabela1[[#This Row],[17]]&lt;&gt;"",IF(ISNUMBER(FIND(",",Tabela1[[#This Row],[17]])),LEN(Tabela1[[#This Row],[17]])-LEN(SUBSTITUTE(Tabela1[[#This Row],[17]],",",""))+1,1),"")</f>
        <v/>
      </c>
      <c r="AQ308" t="str">
        <f>IF(Tabela1[[#This Row],[18]]&lt;&gt;"",IF(ISNUMBER(FIND(",",Tabela1[[#This Row],[18]])),LEN(Tabela1[[#This Row],[18]])-LEN(SUBSTITUTE(Tabela1[[#This Row],[18]],",",""))+1,1),"")</f>
        <v/>
      </c>
      <c r="AR308" s="13" t="str">
        <f>IF(Tabela1[[#This Row],[19_LENGTH]]&lt;&gt;"",IF(ISNUMBER(FIND(",",Tabela1[[#This Row],[19_LENGTH]])),LEN(Tabela1[[#This Row],[19_LENGTH]])-LEN(SUBSTITUTE(Tabela1[[#This Row],[19_LENGTH]],",",""))+1,1),"")</f>
        <v/>
      </c>
      <c r="AS308" s="21">
        <f>SUM(Tabela1[[#This Row],[1_]:[19_]])</f>
        <v>1</v>
      </c>
    </row>
    <row r="309" spans="1:45" x14ac:dyDescent="0.25">
      <c r="A309" s="27" t="s">
        <v>1323</v>
      </c>
      <c r="B309" s="19" t="s">
        <v>460</v>
      </c>
      <c r="C309" s="19">
        <v>202</v>
      </c>
      <c r="D309" s="19" t="s">
        <v>1314</v>
      </c>
      <c r="E309" s="20">
        <v>43500</v>
      </c>
      <c r="F309" s="19"/>
      <c r="G309" s="19">
        <v>50</v>
      </c>
      <c r="H309" s="19"/>
      <c r="I309" s="19">
        <v>60</v>
      </c>
      <c r="J309" s="19"/>
      <c r="K309" s="19"/>
      <c r="L309" s="19"/>
      <c r="M309" s="19"/>
      <c r="N309" s="19"/>
      <c r="O309" s="19"/>
      <c r="P309" s="19"/>
      <c r="Q309" s="19"/>
      <c r="R309" s="19"/>
      <c r="S309" s="19"/>
      <c r="T309" s="19"/>
      <c r="U309" s="19"/>
      <c r="V309" s="19"/>
      <c r="W309" s="19"/>
      <c r="X309" s="19"/>
      <c r="Y309" s="19"/>
      <c r="Z309" t="str">
        <f>IF(Tabela1[[#This Row],[1]]&lt;&gt;"",IF(ISNUMBER(FIND(",",Tabela1[[#This Row],[1]])),LEN(Tabela1[[#This Row],[1]])-LEN(SUBSTITUTE(Tabela1[[#This Row],[1]],",",""))+1,1),"")</f>
        <v/>
      </c>
      <c r="AA309">
        <f>IF(Tabela1[[#This Row],[2]]&lt;&gt;"",IF(ISNUMBER(FIND(",",Tabela1[[#This Row],[2]])),LEN(Tabela1[[#This Row],[2]])-LEN(SUBSTITUTE(Tabela1[[#This Row],[2]],",",""))+1,1),"")</f>
        <v>1</v>
      </c>
      <c r="AB309" t="str">
        <f>IF(Tabela1[[#This Row],[3]]&lt;&gt;"",IF(ISNUMBER(FIND(",",Tabela1[[#This Row],[3]])),LEN(Tabela1[[#This Row],[3]])-LEN(SUBSTITUTE(Tabela1[[#This Row],[3]],",",""))+1,1),"")</f>
        <v/>
      </c>
      <c r="AC309">
        <f>IF(Tabela1[[#This Row],[4]]&lt;&gt;"",IF(ISNUMBER(FIND(",",Tabela1[[#This Row],[4]])),LEN(Tabela1[[#This Row],[4]])-LEN(SUBSTITUTE(Tabela1[[#This Row],[4]],",",""))+1,1),"")</f>
        <v>1</v>
      </c>
      <c r="AD309" t="str">
        <f>IF(Tabela1[[#This Row],[5]]&lt;&gt;"",IF(ISNUMBER(FIND(",",Tabela1[[#This Row],[5]])),LEN(Tabela1[[#This Row],[5]])-LEN(SUBSTITUTE(Tabela1[[#This Row],[5]],",",""))+1,1),"")</f>
        <v/>
      </c>
      <c r="AE309" t="str">
        <f>IF(Tabela1[[#This Row],[6]]&lt;&gt;"",IF(ISNUMBER(FIND(",",Tabela1[[#This Row],[6]])),LEN(Tabela1[[#This Row],[6]])-LEN(SUBSTITUTE(Tabela1[[#This Row],[6]],",",""))+1,1),"")</f>
        <v/>
      </c>
      <c r="AF309" t="str">
        <f>IF(Tabela1[[#This Row],[7]]&lt;&gt;"",IF(ISNUMBER(FIND(",",Tabela1[[#This Row],[7]])),LEN(Tabela1[[#This Row],[7]])-LEN(SUBSTITUTE(Tabela1[[#This Row],[7]],",",""))+1,1),"")</f>
        <v/>
      </c>
      <c r="AG309" t="str">
        <f>IF(Tabela1[[#This Row],[8]]&lt;&gt;"",IF(ISNUMBER(FIND(",",Tabela1[[#This Row],[8]])),LEN(Tabela1[[#This Row],[8]])-LEN(SUBSTITUTE(Tabela1[[#This Row],[8]],",",""))+1,1),"")</f>
        <v/>
      </c>
      <c r="AH309" t="str">
        <f>IF(Tabela1[[#This Row],[9]]&lt;&gt;"",IF(ISNUMBER(FIND(",",Tabela1[[#This Row],[9]])),LEN(Tabela1[[#This Row],[9]])-LEN(SUBSTITUTE(Tabela1[[#This Row],[9]],",",""))+1,1),"")</f>
        <v/>
      </c>
      <c r="AI309" t="str">
        <f>IF(Tabela1[[#This Row],[10]]&lt;&gt;"",IF(ISNUMBER(FIND(",",Tabela1[[#This Row],[10]])),LEN(Tabela1[[#This Row],[10]])-LEN(SUBSTITUTE(Tabela1[[#This Row],[10]],",",""))+1,1),"")</f>
        <v/>
      </c>
      <c r="AJ309" t="str">
        <f>IF(Tabela1[[#This Row],[11]]&lt;&gt;"",IF(ISNUMBER(FIND(",",Tabela1[[#This Row],[11]])),LEN(Tabela1[[#This Row],[11]])-LEN(SUBSTITUTE(Tabela1[[#This Row],[11]],",",""))+1,1),"")</f>
        <v/>
      </c>
      <c r="AK309" t="str">
        <f>IF(Tabela1[[#This Row],[12]]&lt;&gt;"",IF(ISNUMBER(FIND(",",Tabela1[[#This Row],[12]])),LEN(Tabela1[[#This Row],[12]])-LEN(SUBSTITUTE(Tabela1[[#This Row],[12]],",",""))+1,1),"")</f>
        <v/>
      </c>
      <c r="AL309" t="str">
        <f>IF(Tabela1[[#This Row],[13]]&lt;&gt;"",IF(ISNUMBER(FIND(",",Tabela1[[#This Row],[13]])),LEN(Tabela1[[#This Row],[13]])-LEN(SUBSTITUTE(Tabela1[[#This Row],[13]],",",""))+1,1),"")</f>
        <v/>
      </c>
      <c r="AM309" t="str">
        <f>IF(Tabela1[[#This Row],[14]]&lt;&gt;"",IF(ISNUMBER(FIND(",",Tabela1[[#This Row],[14]])),LEN(Tabela1[[#This Row],[14]])-LEN(SUBSTITUTE(Tabela1[[#This Row],[14]],",",""))+1,1),"")</f>
        <v/>
      </c>
      <c r="AN309" t="str">
        <f>IF(Tabela1[[#This Row],[15]]&lt;&gt;"",IF(ISNUMBER(FIND(",",Tabela1[[#This Row],[15]])),LEN(Tabela1[[#This Row],[15]])-LEN(SUBSTITUTE(Tabela1[[#This Row],[15]],",",""))+1,1),"")</f>
        <v/>
      </c>
      <c r="AO309" t="str">
        <f>IF(Tabela1[[#This Row],[16]]&lt;&gt;"",IF(ISNUMBER(FIND(",",Tabela1[[#This Row],[16]])),LEN(Tabela1[[#This Row],[16]])-LEN(SUBSTITUTE(Tabela1[[#This Row],[16]],",",""))+1,1),"")</f>
        <v/>
      </c>
      <c r="AP309" t="str">
        <f>IF(Tabela1[[#This Row],[17]]&lt;&gt;"",IF(ISNUMBER(FIND(",",Tabela1[[#This Row],[17]])),LEN(Tabela1[[#This Row],[17]])-LEN(SUBSTITUTE(Tabela1[[#This Row],[17]],",",""))+1,1),"")</f>
        <v/>
      </c>
      <c r="AQ309" t="str">
        <f>IF(Tabela1[[#This Row],[18]]&lt;&gt;"",IF(ISNUMBER(FIND(",",Tabela1[[#This Row],[18]])),LEN(Tabela1[[#This Row],[18]])-LEN(SUBSTITUTE(Tabela1[[#This Row],[18]],",",""))+1,1),"")</f>
        <v/>
      </c>
      <c r="AR309" s="13" t="str">
        <f>IF(Tabela1[[#This Row],[19_LENGTH]]&lt;&gt;"",IF(ISNUMBER(FIND(",",Tabela1[[#This Row],[19_LENGTH]])),LEN(Tabela1[[#This Row],[19_LENGTH]])-LEN(SUBSTITUTE(Tabela1[[#This Row],[19_LENGTH]],",",""))+1,1),"")</f>
        <v/>
      </c>
      <c r="AS309" s="21">
        <f>SUM(Tabela1[[#This Row],[1_]:[19_]])</f>
        <v>2</v>
      </c>
    </row>
    <row r="310" spans="1:45" x14ac:dyDescent="0.25">
      <c r="A310" s="27" t="s">
        <v>1323</v>
      </c>
      <c r="B310" s="19" t="s">
        <v>786</v>
      </c>
      <c r="C310" s="19">
        <v>202</v>
      </c>
      <c r="D310" s="19" t="s">
        <v>1315</v>
      </c>
      <c r="E310" s="20">
        <v>43498</v>
      </c>
      <c r="F310" s="19"/>
      <c r="G310" s="19"/>
      <c r="H310" s="19"/>
      <c r="I310" s="19"/>
      <c r="J310" s="19"/>
      <c r="K310" s="19">
        <v>186</v>
      </c>
      <c r="L310" s="19"/>
      <c r="M310" s="19"/>
      <c r="N310" s="19"/>
      <c r="O310" s="19"/>
      <c r="P310" s="19"/>
      <c r="Q310" s="19"/>
      <c r="R310" s="19"/>
      <c r="S310" s="19"/>
      <c r="T310" s="19"/>
      <c r="U310" s="19"/>
      <c r="V310" s="19"/>
      <c r="W310" s="19"/>
      <c r="X310" s="19"/>
      <c r="Y310" s="19"/>
      <c r="Z310" t="str">
        <f>IF(Tabela1[[#This Row],[1]]&lt;&gt;"",IF(ISNUMBER(FIND(",",Tabela1[[#This Row],[1]])),LEN(Tabela1[[#This Row],[1]])-LEN(SUBSTITUTE(Tabela1[[#This Row],[1]],",",""))+1,1),"")</f>
        <v/>
      </c>
      <c r="AA310" t="str">
        <f>IF(Tabela1[[#This Row],[2]]&lt;&gt;"",IF(ISNUMBER(FIND(",",Tabela1[[#This Row],[2]])),LEN(Tabela1[[#This Row],[2]])-LEN(SUBSTITUTE(Tabela1[[#This Row],[2]],",",""))+1,1),"")</f>
        <v/>
      </c>
      <c r="AB310" t="str">
        <f>IF(Tabela1[[#This Row],[3]]&lt;&gt;"",IF(ISNUMBER(FIND(",",Tabela1[[#This Row],[3]])),LEN(Tabela1[[#This Row],[3]])-LEN(SUBSTITUTE(Tabela1[[#This Row],[3]],",",""))+1,1),"")</f>
        <v/>
      </c>
      <c r="AC310" t="str">
        <f>IF(Tabela1[[#This Row],[4]]&lt;&gt;"",IF(ISNUMBER(FIND(",",Tabela1[[#This Row],[4]])),LEN(Tabela1[[#This Row],[4]])-LEN(SUBSTITUTE(Tabela1[[#This Row],[4]],",",""))+1,1),"")</f>
        <v/>
      </c>
      <c r="AD310" t="str">
        <f>IF(Tabela1[[#This Row],[5]]&lt;&gt;"",IF(ISNUMBER(FIND(",",Tabela1[[#This Row],[5]])),LEN(Tabela1[[#This Row],[5]])-LEN(SUBSTITUTE(Tabela1[[#This Row],[5]],",",""))+1,1),"")</f>
        <v/>
      </c>
      <c r="AE310">
        <f>IF(Tabela1[[#This Row],[6]]&lt;&gt;"",IF(ISNUMBER(FIND(",",Tabela1[[#This Row],[6]])),LEN(Tabela1[[#This Row],[6]])-LEN(SUBSTITUTE(Tabela1[[#This Row],[6]],",",""))+1,1),"")</f>
        <v>1</v>
      </c>
      <c r="AF310" t="str">
        <f>IF(Tabela1[[#This Row],[7]]&lt;&gt;"",IF(ISNUMBER(FIND(",",Tabela1[[#This Row],[7]])),LEN(Tabela1[[#This Row],[7]])-LEN(SUBSTITUTE(Tabela1[[#This Row],[7]],",",""))+1,1),"")</f>
        <v/>
      </c>
      <c r="AG310" t="str">
        <f>IF(Tabela1[[#This Row],[8]]&lt;&gt;"",IF(ISNUMBER(FIND(",",Tabela1[[#This Row],[8]])),LEN(Tabela1[[#This Row],[8]])-LEN(SUBSTITUTE(Tabela1[[#This Row],[8]],",",""))+1,1),"")</f>
        <v/>
      </c>
      <c r="AH310" t="str">
        <f>IF(Tabela1[[#This Row],[9]]&lt;&gt;"",IF(ISNUMBER(FIND(",",Tabela1[[#This Row],[9]])),LEN(Tabela1[[#This Row],[9]])-LEN(SUBSTITUTE(Tabela1[[#This Row],[9]],",",""))+1,1),"")</f>
        <v/>
      </c>
      <c r="AI310" t="str">
        <f>IF(Tabela1[[#This Row],[10]]&lt;&gt;"",IF(ISNUMBER(FIND(",",Tabela1[[#This Row],[10]])),LEN(Tabela1[[#This Row],[10]])-LEN(SUBSTITUTE(Tabela1[[#This Row],[10]],",",""))+1,1),"")</f>
        <v/>
      </c>
      <c r="AJ310" t="str">
        <f>IF(Tabela1[[#This Row],[11]]&lt;&gt;"",IF(ISNUMBER(FIND(",",Tabela1[[#This Row],[11]])),LEN(Tabela1[[#This Row],[11]])-LEN(SUBSTITUTE(Tabela1[[#This Row],[11]],",",""))+1,1),"")</f>
        <v/>
      </c>
      <c r="AK310" t="str">
        <f>IF(Tabela1[[#This Row],[12]]&lt;&gt;"",IF(ISNUMBER(FIND(",",Tabela1[[#This Row],[12]])),LEN(Tabela1[[#This Row],[12]])-LEN(SUBSTITUTE(Tabela1[[#This Row],[12]],",",""))+1,1),"")</f>
        <v/>
      </c>
      <c r="AL310" t="str">
        <f>IF(Tabela1[[#This Row],[13]]&lt;&gt;"",IF(ISNUMBER(FIND(",",Tabela1[[#This Row],[13]])),LEN(Tabela1[[#This Row],[13]])-LEN(SUBSTITUTE(Tabela1[[#This Row],[13]],",",""))+1,1),"")</f>
        <v/>
      </c>
      <c r="AM310" t="str">
        <f>IF(Tabela1[[#This Row],[14]]&lt;&gt;"",IF(ISNUMBER(FIND(",",Tabela1[[#This Row],[14]])),LEN(Tabela1[[#This Row],[14]])-LEN(SUBSTITUTE(Tabela1[[#This Row],[14]],",",""))+1,1),"")</f>
        <v/>
      </c>
      <c r="AN310" t="str">
        <f>IF(Tabela1[[#This Row],[15]]&lt;&gt;"",IF(ISNUMBER(FIND(",",Tabela1[[#This Row],[15]])),LEN(Tabela1[[#This Row],[15]])-LEN(SUBSTITUTE(Tabela1[[#This Row],[15]],",",""))+1,1),"")</f>
        <v/>
      </c>
      <c r="AO310" t="str">
        <f>IF(Tabela1[[#This Row],[16]]&lt;&gt;"",IF(ISNUMBER(FIND(",",Tabela1[[#This Row],[16]])),LEN(Tabela1[[#This Row],[16]])-LEN(SUBSTITUTE(Tabela1[[#This Row],[16]],",",""))+1,1),"")</f>
        <v/>
      </c>
      <c r="AP310" t="str">
        <f>IF(Tabela1[[#This Row],[17]]&lt;&gt;"",IF(ISNUMBER(FIND(",",Tabela1[[#This Row],[17]])),LEN(Tabela1[[#This Row],[17]])-LEN(SUBSTITUTE(Tabela1[[#This Row],[17]],",",""))+1,1),"")</f>
        <v/>
      </c>
      <c r="AQ310" t="str">
        <f>IF(Tabela1[[#This Row],[18]]&lt;&gt;"",IF(ISNUMBER(FIND(",",Tabela1[[#This Row],[18]])),LEN(Tabela1[[#This Row],[18]])-LEN(SUBSTITUTE(Tabela1[[#This Row],[18]],",",""))+1,1),"")</f>
        <v/>
      </c>
      <c r="AR310" s="13" t="str">
        <f>IF(Tabela1[[#This Row],[19_LENGTH]]&lt;&gt;"",IF(ISNUMBER(FIND(",",Tabela1[[#This Row],[19_LENGTH]])),LEN(Tabela1[[#This Row],[19_LENGTH]])-LEN(SUBSTITUTE(Tabela1[[#This Row],[19_LENGTH]],",",""))+1,1),"")</f>
        <v/>
      </c>
      <c r="AS310" s="21">
        <f>SUM(Tabela1[[#This Row],[1_]:[19_]])</f>
        <v>1</v>
      </c>
    </row>
    <row r="311" spans="1:45" x14ac:dyDescent="0.25">
      <c r="A311" s="27" t="s">
        <v>1323</v>
      </c>
      <c r="B311" s="19" t="s">
        <v>787</v>
      </c>
      <c r="C311" s="19">
        <v>202</v>
      </c>
      <c r="D311" s="19" t="s">
        <v>1315</v>
      </c>
      <c r="E311" s="20">
        <v>43498</v>
      </c>
      <c r="F311" s="19"/>
      <c r="G311" s="19"/>
      <c r="H311" s="19"/>
      <c r="I311" s="19">
        <v>110</v>
      </c>
      <c r="J311" s="19"/>
      <c r="K311" s="19"/>
      <c r="L311" s="19"/>
      <c r="M311" s="19">
        <v>33</v>
      </c>
      <c r="N311" s="19"/>
      <c r="O311" s="19"/>
      <c r="P311" s="19"/>
      <c r="Q311" s="19"/>
      <c r="R311" s="19"/>
      <c r="S311" s="19"/>
      <c r="T311" s="19"/>
      <c r="U311" s="19"/>
      <c r="V311" s="19"/>
      <c r="W311" s="19"/>
      <c r="X311" s="19"/>
      <c r="Y311" s="19"/>
      <c r="Z311" t="str">
        <f>IF(Tabela1[[#This Row],[1]]&lt;&gt;"",IF(ISNUMBER(FIND(",",Tabela1[[#This Row],[1]])),LEN(Tabela1[[#This Row],[1]])-LEN(SUBSTITUTE(Tabela1[[#This Row],[1]],",",""))+1,1),"")</f>
        <v/>
      </c>
      <c r="AA311" t="str">
        <f>IF(Tabela1[[#This Row],[2]]&lt;&gt;"",IF(ISNUMBER(FIND(",",Tabela1[[#This Row],[2]])),LEN(Tabela1[[#This Row],[2]])-LEN(SUBSTITUTE(Tabela1[[#This Row],[2]],",",""))+1,1),"")</f>
        <v/>
      </c>
      <c r="AB311" t="str">
        <f>IF(Tabela1[[#This Row],[3]]&lt;&gt;"",IF(ISNUMBER(FIND(",",Tabela1[[#This Row],[3]])),LEN(Tabela1[[#This Row],[3]])-LEN(SUBSTITUTE(Tabela1[[#This Row],[3]],",",""))+1,1),"")</f>
        <v/>
      </c>
      <c r="AC311">
        <f>IF(Tabela1[[#This Row],[4]]&lt;&gt;"",IF(ISNUMBER(FIND(",",Tabela1[[#This Row],[4]])),LEN(Tabela1[[#This Row],[4]])-LEN(SUBSTITUTE(Tabela1[[#This Row],[4]],",",""))+1,1),"")</f>
        <v>1</v>
      </c>
      <c r="AD311" t="str">
        <f>IF(Tabela1[[#This Row],[5]]&lt;&gt;"",IF(ISNUMBER(FIND(",",Tabela1[[#This Row],[5]])),LEN(Tabela1[[#This Row],[5]])-LEN(SUBSTITUTE(Tabela1[[#This Row],[5]],",",""))+1,1),"")</f>
        <v/>
      </c>
      <c r="AE311" t="str">
        <f>IF(Tabela1[[#This Row],[6]]&lt;&gt;"",IF(ISNUMBER(FIND(",",Tabela1[[#This Row],[6]])),LEN(Tabela1[[#This Row],[6]])-LEN(SUBSTITUTE(Tabela1[[#This Row],[6]],",",""))+1,1),"")</f>
        <v/>
      </c>
      <c r="AF311" t="str">
        <f>IF(Tabela1[[#This Row],[7]]&lt;&gt;"",IF(ISNUMBER(FIND(",",Tabela1[[#This Row],[7]])),LEN(Tabela1[[#This Row],[7]])-LEN(SUBSTITUTE(Tabela1[[#This Row],[7]],",",""))+1,1),"")</f>
        <v/>
      </c>
      <c r="AG311">
        <f>IF(Tabela1[[#This Row],[8]]&lt;&gt;"",IF(ISNUMBER(FIND(",",Tabela1[[#This Row],[8]])),LEN(Tabela1[[#This Row],[8]])-LEN(SUBSTITUTE(Tabela1[[#This Row],[8]],",",""))+1,1),"")</f>
        <v>1</v>
      </c>
      <c r="AH311" t="str">
        <f>IF(Tabela1[[#This Row],[9]]&lt;&gt;"",IF(ISNUMBER(FIND(",",Tabela1[[#This Row],[9]])),LEN(Tabela1[[#This Row],[9]])-LEN(SUBSTITUTE(Tabela1[[#This Row],[9]],",",""))+1,1),"")</f>
        <v/>
      </c>
      <c r="AI311" t="str">
        <f>IF(Tabela1[[#This Row],[10]]&lt;&gt;"",IF(ISNUMBER(FIND(",",Tabela1[[#This Row],[10]])),LEN(Tabela1[[#This Row],[10]])-LEN(SUBSTITUTE(Tabela1[[#This Row],[10]],",",""))+1,1),"")</f>
        <v/>
      </c>
      <c r="AJ311" t="str">
        <f>IF(Tabela1[[#This Row],[11]]&lt;&gt;"",IF(ISNUMBER(FIND(",",Tabela1[[#This Row],[11]])),LEN(Tabela1[[#This Row],[11]])-LEN(SUBSTITUTE(Tabela1[[#This Row],[11]],",",""))+1,1),"")</f>
        <v/>
      </c>
      <c r="AK311" t="str">
        <f>IF(Tabela1[[#This Row],[12]]&lt;&gt;"",IF(ISNUMBER(FIND(",",Tabela1[[#This Row],[12]])),LEN(Tabela1[[#This Row],[12]])-LEN(SUBSTITUTE(Tabela1[[#This Row],[12]],",",""))+1,1),"")</f>
        <v/>
      </c>
      <c r="AL311" t="str">
        <f>IF(Tabela1[[#This Row],[13]]&lt;&gt;"",IF(ISNUMBER(FIND(",",Tabela1[[#This Row],[13]])),LEN(Tabela1[[#This Row],[13]])-LEN(SUBSTITUTE(Tabela1[[#This Row],[13]],",",""))+1,1),"")</f>
        <v/>
      </c>
      <c r="AM311" t="str">
        <f>IF(Tabela1[[#This Row],[14]]&lt;&gt;"",IF(ISNUMBER(FIND(",",Tabela1[[#This Row],[14]])),LEN(Tabela1[[#This Row],[14]])-LEN(SUBSTITUTE(Tabela1[[#This Row],[14]],",",""))+1,1),"")</f>
        <v/>
      </c>
      <c r="AN311" t="str">
        <f>IF(Tabela1[[#This Row],[15]]&lt;&gt;"",IF(ISNUMBER(FIND(",",Tabela1[[#This Row],[15]])),LEN(Tabela1[[#This Row],[15]])-LEN(SUBSTITUTE(Tabela1[[#This Row],[15]],",",""))+1,1),"")</f>
        <v/>
      </c>
      <c r="AO311" t="str">
        <f>IF(Tabela1[[#This Row],[16]]&lt;&gt;"",IF(ISNUMBER(FIND(",",Tabela1[[#This Row],[16]])),LEN(Tabela1[[#This Row],[16]])-LEN(SUBSTITUTE(Tabela1[[#This Row],[16]],",",""))+1,1),"")</f>
        <v/>
      </c>
      <c r="AP311" t="str">
        <f>IF(Tabela1[[#This Row],[17]]&lt;&gt;"",IF(ISNUMBER(FIND(",",Tabela1[[#This Row],[17]])),LEN(Tabela1[[#This Row],[17]])-LEN(SUBSTITUTE(Tabela1[[#This Row],[17]],",",""))+1,1),"")</f>
        <v/>
      </c>
      <c r="AQ311" t="str">
        <f>IF(Tabela1[[#This Row],[18]]&lt;&gt;"",IF(ISNUMBER(FIND(",",Tabela1[[#This Row],[18]])),LEN(Tabela1[[#This Row],[18]])-LEN(SUBSTITUTE(Tabela1[[#This Row],[18]],",",""))+1,1),"")</f>
        <v/>
      </c>
      <c r="AR311" s="13" t="str">
        <f>IF(Tabela1[[#This Row],[19_LENGTH]]&lt;&gt;"",IF(ISNUMBER(FIND(",",Tabela1[[#This Row],[19_LENGTH]])),LEN(Tabela1[[#This Row],[19_LENGTH]])-LEN(SUBSTITUTE(Tabela1[[#This Row],[19_LENGTH]],",",""))+1,1),"")</f>
        <v/>
      </c>
      <c r="AS311" s="21">
        <f>SUM(Tabela1[[#This Row],[1_]:[19_]])</f>
        <v>2</v>
      </c>
    </row>
    <row r="312" spans="1:45" x14ac:dyDescent="0.25">
      <c r="A312" s="27" t="s">
        <v>1323</v>
      </c>
      <c r="B312" s="19" t="s">
        <v>788</v>
      </c>
      <c r="C312" s="19">
        <v>202</v>
      </c>
      <c r="D312" s="19" t="s">
        <v>1315</v>
      </c>
      <c r="E312" s="20">
        <v>43498</v>
      </c>
      <c r="F312" s="19"/>
      <c r="G312" s="19"/>
      <c r="H312" s="19"/>
      <c r="I312" s="19">
        <v>88</v>
      </c>
      <c r="J312" s="19">
        <v>60</v>
      </c>
      <c r="K312" s="19"/>
      <c r="L312" s="19"/>
      <c r="M312" s="19"/>
      <c r="N312" s="19"/>
      <c r="O312" s="19"/>
      <c r="P312" s="19"/>
      <c r="Q312" s="19"/>
      <c r="R312" s="19"/>
      <c r="S312" s="19"/>
      <c r="T312" s="19"/>
      <c r="U312" s="19"/>
      <c r="V312" s="19"/>
      <c r="W312" s="19"/>
      <c r="X312" s="19"/>
      <c r="Y312" s="19"/>
      <c r="Z312" t="str">
        <f>IF(Tabela1[[#This Row],[1]]&lt;&gt;"",IF(ISNUMBER(FIND(",",Tabela1[[#This Row],[1]])),LEN(Tabela1[[#This Row],[1]])-LEN(SUBSTITUTE(Tabela1[[#This Row],[1]],",",""))+1,1),"")</f>
        <v/>
      </c>
      <c r="AA312" t="str">
        <f>IF(Tabela1[[#This Row],[2]]&lt;&gt;"",IF(ISNUMBER(FIND(",",Tabela1[[#This Row],[2]])),LEN(Tabela1[[#This Row],[2]])-LEN(SUBSTITUTE(Tabela1[[#This Row],[2]],",",""))+1,1),"")</f>
        <v/>
      </c>
      <c r="AB312" t="str">
        <f>IF(Tabela1[[#This Row],[3]]&lt;&gt;"",IF(ISNUMBER(FIND(",",Tabela1[[#This Row],[3]])),LEN(Tabela1[[#This Row],[3]])-LEN(SUBSTITUTE(Tabela1[[#This Row],[3]],",",""))+1,1),"")</f>
        <v/>
      </c>
      <c r="AC312">
        <f>IF(Tabela1[[#This Row],[4]]&lt;&gt;"",IF(ISNUMBER(FIND(",",Tabela1[[#This Row],[4]])),LEN(Tabela1[[#This Row],[4]])-LEN(SUBSTITUTE(Tabela1[[#This Row],[4]],",",""))+1,1),"")</f>
        <v>1</v>
      </c>
      <c r="AD312">
        <f>IF(Tabela1[[#This Row],[5]]&lt;&gt;"",IF(ISNUMBER(FIND(",",Tabela1[[#This Row],[5]])),LEN(Tabela1[[#This Row],[5]])-LEN(SUBSTITUTE(Tabela1[[#This Row],[5]],",",""))+1,1),"")</f>
        <v>1</v>
      </c>
      <c r="AE312" t="str">
        <f>IF(Tabela1[[#This Row],[6]]&lt;&gt;"",IF(ISNUMBER(FIND(",",Tabela1[[#This Row],[6]])),LEN(Tabela1[[#This Row],[6]])-LEN(SUBSTITUTE(Tabela1[[#This Row],[6]],",",""))+1,1),"")</f>
        <v/>
      </c>
      <c r="AF312" t="str">
        <f>IF(Tabela1[[#This Row],[7]]&lt;&gt;"",IF(ISNUMBER(FIND(",",Tabela1[[#This Row],[7]])),LEN(Tabela1[[#This Row],[7]])-LEN(SUBSTITUTE(Tabela1[[#This Row],[7]],",",""))+1,1),"")</f>
        <v/>
      </c>
      <c r="AG312" t="str">
        <f>IF(Tabela1[[#This Row],[8]]&lt;&gt;"",IF(ISNUMBER(FIND(",",Tabela1[[#This Row],[8]])),LEN(Tabela1[[#This Row],[8]])-LEN(SUBSTITUTE(Tabela1[[#This Row],[8]],",",""))+1,1),"")</f>
        <v/>
      </c>
      <c r="AH312" t="str">
        <f>IF(Tabela1[[#This Row],[9]]&lt;&gt;"",IF(ISNUMBER(FIND(",",Tabela1[[#This Row],[9]])),LEN(Tabela1[[#This Row],[9]])-LEN(SUBSTITUTE(Tabela1[[#This Row],[9]],",",""))+1,1),"")</f>
        <v/>
      </c>
      <c r="AI312" t="str">
        <f>IF(Tabela1[[#This Row],[10]]&lt;&gt;"",IF(ISNUMBER(FIND(",",Tabela1[[#This Row],[10]])),LEN(Tabela1[[#This Row],[10]])-LEN(SUBSTITUTE(Tabela1[[#This Row],[10]],",",""))+1,1),"")</f>
        <v/>
      </c>
      <c r="AJ312" t="str">
        <f>IF(Tabela1[[#This Row],[11]]&lt;&gt;"",IF(ISNUMBER(FIND(",",Tabela1[[#This Row],[11]])),LEN(Tabela1[[#This Row],[11]])-LEN(SUBSTITUTE(Tabela1[[#This Row],[11]],",",""))+1,1),"")</f>
        <v/>
      </c>
      <c r="AK312" t="str">
        <f>IF(Tabela1[[#This Row],[12]]&lt;&gt;"",IF(ISNUMBER(FIND(",",Tabela1[[#This Row],[12]])),LEN(Tabela1[[#This Row],[12]])-LEN(SUBSTITUTE(Tabela1[[#This Row],[12]],",",""))+1,1),"")</f>
        <v/>
      </c>
      <c r="AL312" t="str">
        <f>IF(Tabela1[[#This Row],[13]]&lt;&gt;"",IF(ISNUMBER(FIND(",",Tabela1[[#This Row],[13]])),LEN(Tabela1[[#This Row],[13]])-LEN(SUBSTITUTE(Tabela1[[#This Row],[13]],",",""))+1,1),"")</f>
        <v/>
      </c>
      <c r="AM312" t="str">
        <f>IF(Tabela1[[#This Row],[14]]&lt;&gt;"",IF(ISNUMBER(FIND(",",Tabela1[[#This Row],[14]])),LEN(Tabela1[[#This Row],[14]])-LEN(SUBSTITUTE(Tabela1[[#This Row],[14]],",",""))+1,1),"")</f>
        <v/>
      </c>
      <c r="AN312" t="str">
        <f>IF(Tabela1[[#This Row],[15]]&lt;&gt;"",IF(ISNUMBER(FIND(",",Tabela1[[#This Row],[15]])),LEN(Tabela1[[#This Row],[15]])-LEN(SUBSTITUTE(Tabela1[[#This Row],[15]],",",""))+1,1),"")</f>
        <v/>
      </c>
      <c r="AO312" t="str">
        <f>IF(Tabela1[[#This Row],[16]]&lt;&gt;"",IF(ISNUMBER(FIND(",",Tabela1[[#This Row],[16]])),LEN(Tabela1[[#This Row],[16]])-LEN(SUBSTITUTE(Tabela1[[#This Row],[16]],",",""))+1,1),"")</f>
        <v/>
      </c>
      <c r="AP312" t="str">
        <f>IF(Tabela1[[#This Row],[17]]&lt;&gt;"",IF(ISNUMBER(FIND(",",Tabela1[[#This Row],[17]])),LEN(Tabela1[[#This Row],[17]])-LEN(SUBSTITUTE(Tabela1[[#This Row],[17]],",",""))+1,1),"")</f>
        <v/>
      </c>
      <c r="AQ312" t="str">
        <f>IF(Tabela1[[#This Row],[18]]&lt;&gt;"",IF(ISNUMBER(FIND(",",Tabela1[[#This Row],[18]])),LEN(Tabela1[[#This Row],[18]])-LEN(SUBSTITUTE(Tabela1[[#This Row],[18]],",",""))+1,1),"")</f>
        <v/>
      </c>
      <c r="AR312" s="13" t="str">
        <f>IF(Tabela1[[#This Row],[19_LENGTH]]&lt;&gt;"",IF(ISNUMBER(FIND(",",Tabela1[[#This Row],[19_LENGTH]])),LEN(Tabela1[[#This Row],[19_LENGTH]])-LEN(SUBSTITUTE(Tabela1[[#This Row],[19_LENGTH]],",",""))+1,1),"")</f>
        <v/>
      </c>
      <c r="AS312" s="21">
        <f>SUM(Tabela1[[#This Row],[1_]:[19_]])</f>
        <v>2</v>
      </c>
    </row>
    <row r="313" spans="1:45" x14ac:dyDescent="0.25">
      <c r="A313" s="27" t="s">
        <v>1323</v>
      </c>
      <c r="B313" s="19" t="s">
        <v>461</v>
      </c>
      <c r="C313" s="19">
        <v>202</v>
      </c>
      <c r="D313" s="19" t="s">
        <v>1315</v>
      </c>
      <c r="E313" s="20">
        <v>43500</v>
      </c>
      <c r="F313" s="19"/>
      <c r="G313" s="19">
        <v>74</v>
      </c>
      <c r="H313" s="19"/>
      <c r="I313" s="19"/>
      <c r="J313" s="19"/>
      <c r="K313" s="19"/>
      <c r="L313" s="19"/>
      <c r="M313" s="19"/>
      <c r="N313" s="19"/>
      <c r="O313" s="19"/>
      <c r="P313" s="19"/>
      <c r="Q313" s="19"/>
      <c r="R313" s="19"/>
      <c r="S313" s="19"/>
      <c r="T313" s="19"/>
      <c r="U313" s="19"/>
      <c r="V313" s="19"/>
      <c r="W313" s="19"/>
      <c r="X313" s="19"/>
      <c r="Y313" s="19"/>
      <c r="Z313" t="str">
        <f>IF(Tabela1[[#This Row],[1]]&lt;&gt;"",IF(ISNUMBER(FIND(",",Tabela1[[#This Row],[1]])),LEN(Tabela1[[#This Row],[1]])-LEN(SUBSTITUTE(Tabela1[[#This Row],[1]],",",""))+1,1),"")</f>
        <v/>
      </c>
      <c r="AA313">
        <f>IF(Tabela1[[#This Row],[2]]&lt;&gt;"",IF(ISNUMBER(FIND(",",Tabela1[[#This Row],[2]])),LEN(Tabela1[[#This Row],[2]])-LEN(SUBSTITUTE(Tabela1[[#This Row],[2]],",",""))+1,1),"")</f>
        <v>1</v>
      </c>
      <c r="AB313" t="str">
        <f>IF(Tabela1[[#This Row],[3]]&lt;&gt;"",IF(ISNUMBER(FIND(",",Tabela1[[#This Row],[3]])),LEN(Tabela1[[#This Row],[3]])-LEN(SUBSTITUTE(Tabela1[[#This Row],[3]],",",""))+1,1),"")</f>
        <v/>
      </c>
      <c r="AC313" t="str">
        <f>IF(Tabela1[[#This Row],[4]]&lt;&gt;"",IF(ISNUMBER(FIND(",",Tabela1[[#This Row],[4]])),LEN(Tabela1[[#This Row],[4]])-LEN(SUBSTITUTE(Tabela1[[#This Row],[4]],",",""))+1,1),"")</f>
        <v/>
      </c>
      <c r="AD313" t="str">
        <f>IF(Tabela1[[#This Row],[5]]&lt;&gt;"",IF(ISNUMBER(FIND(",",Tabela1[[#This Row],[5]])),LEN(Tabela1[[#This Row],[5]])-LEN(SUBSTITUTE(Tabela1[[#This Row],[5]],",",""))+1,1),"")</f>
        <v/>
      </c>
      <c r="AE313" t="str">
        <f>IF(Tabela1[[#This Row],[6]]&lt;&gt;"",IF(ISNUMBER(FIND(",",Tabela1[[#This Row],[6]])),LEN(Tabela1[[#This Row],[6]])-LEN(SUBSTITUTE(Tabela1[[#This Row],[6]],",",""))+1,1),"")</f>
        <v/>
      </c>
      <c r="AF313" t="str">
        <f>IF(Tabela1[[#This Row],[7]]&lt;&gt;"",IF(ISNUMBER(FIND(",",Tabela1[[#This Row],[7]])),LEN(Tabela1[[#This Row],[7]])-LEN(SUBSTITUTE(Tabela1[[#This Row],[7]],",",""))+1,1),"")</f>
        <v/>
      </c>
      <c r="AG313" t="str">
        <f>IF(Tabela1[[#This Row],[8]]&lt;&gt;"",IF(ISNUMBER(FIND(",",Tabela1[[#This Row],[8]])),LEN(Tabela1[[#This Row],[8]])-LEN(SUBSTITUTE(Tabela1[[#This Row],[8]],",",""))+1,1),"")</f>
        <v/>
      </c>
      <c r="AH313" t="str">
        <f>IF(Tabela1[[#This Row],[9]]&lt;&gt;"",IF(ISNUMBER(FIND(",",Tabela1[[#This Row],[9]])),LEN(Tabela1[[#This Row],[9]])-LEN(SUBSTITUTE(Tabela1[[#This Row],[9]],",",""))+1,1),"")</f>
        <v/>
      </c>
      <c r="AI313" t="str">
        <f>IF(Tabela1[[#This Row],[10]]&lt;&gt;"",IF(ISNUMBER(FIND(",",Tabela1[[#This Row],[10]])),LEN(Tabela1[[#This Row],[10]])-LEN(SUBSTITUTE(Tabela1[[#This Row],[10]],",",""))+1,1),"")</f>
        <v/>
      </c>
      <c r="AJ313" t="str">
        <f>IF(Tabela1[[#This Row],[11]]&lt;&gt;"",IF(ISNUMBER(FIND(",",Tabela1[[#This Row],[11]])),LEN(Tabela1[[#This Row],[11]])-LEN(SUBSTITUTE(Tabela1[[#This Row],[11]],",",""))+1,1),"")</f>
        <v/>
      </c>
      <c r="AK313" t="str">
        <f>IF(Tabela1[[#This Row],[12]]&lt;&gt;"",IF(ISNUMBER(FIND(",",Tabela1[[#This Row],[12]])),LEN(Tabela1[[#This Row],[12]])-LEN(SUBSTITUTE(Tabela1[[#This Row],[12]],",",""))+1,1),"")</f>
        <v/>
      </c>
      <c r="AL313" t="str">
        <f>IF(Tabela1[[#This Row],[13]]&lt;&gt;"",IF(ISNUMBER(FIND(",",Tabela1[[#This Row],[13]])),LEN(Tabela1[[#This Row],[13]])-LEN(SUBSTITUTE(Tabela1[[#This Row],[13]],",",""))+1,1),"")</f>
        <v/>
      </c>
      <c r="AM313" t="str">
        <f>IF(Tabela1[[#This Row],[14]]&lt;&gt;"",IF(ISNUMBER(FIND(",",Tabela1[[#This Row],[14]])),LEN(Tabela1[[#This Row],[14]])-LEN(SUBSTITUTE(Tabela1[[#This Row],[14]],",",""))+1,1),"")</f>
        <v/>
      </c>
      <c r="AN313" t="str">
        <f>IF(Tabela1[[#This Row],[15]]&lt;&gt;"",IF(ISNUMBER(FIND(",",Tabela1[[#This Row],[15]])),LEN(Tabela1[[#This Row],[15]])-LEN(SUBSTITUTE(Tabela1[[#This Row],[15]],",",""))+1,1),"")</f>
        <v/>
      </c>
      <c r="AO313" t="str">
        <f>IF(Tabela1[[#This Row],[16]]&lt;&gt;"",IF(ISNUMBER(FIND(",",Tabela1[[#This Row],[16]])),LEN(Tabela1[[#This Row],[16]])-LEN(SUBSTITUTE(Tabela1[[#This Row],[16]],",",""))+1,1),"")</f>
        <v/>
      </c>
      <c r="AP313" t="str">
        <f>IF(Tabela1[[#This Row],[17]]&lt;&gt;"",IF(ISNUMBER(FIND(",",Tabela1[[#This Row],[17]])),LEN(Tabela1[[#This Row],[17]])-LEN(SUBSTITUTE(Tabela1[[#This Row],[17]],",",""))+1,1),"")</f>
        <v/>
      </c>
      <c r="AQ313" t="str">
        <f>IF(Tabela1[[#This Row],[18]]&lt;&gt;"",IF(ISNUMBER(FIND(",",Tabela1[[#This Row],[18]])),LEN(Tabela1[[#This Row],[18]])-LEN(SUBSTITUTE(Tabela1[[#This Row],[18]],",",""))+1,1),"")</f>
        <v/>
      </c>
      <c r="AR313" s="13" t="str">
        <f>IF(Tabela1[[#This Row],[19_LENGTH]]&lt;&gt;"",IF(ISNUMBER(FIND(",",Tabela1[[#This Row],[19_LENGTH]])),LEN(Tabela1[[#This Row],[19_LENGTH]])-LEN(SUBSTITUTE(Tabela1[[#This Row],[19_LENGTH]],",",""))+1,1),"")</f>
        <v/>
      </c>
      <c r="AS313" s="21">
        <f>SUM(Tabela1[[#This Row],[1_]:[19_]])</f>
        <v>1</v>
      </c>
    </row>
    <row r="314" spans="1:45" x14ac:dyDescent="0.25">
      <c r="A314" s="27" t="s">
        <v>1323</v>
      </c>
      <c r="B314" s="19" t="s">
        <v>462</v>
      </c>
      <c r="C314" s="19">
        <v>202</v>
      </c>
      <c r="D314" s="19" t="s">
        <v>1315</v>
      </c>
      <c r="E314" s="20">
        <v>43500</v>
      </c>
      <c r="F314" s="19"/>
      <c r="G314" s="19"/>
      <c r="H314" s="19"/>
      <c r="I314" s="19">
        <v>101</v>
      </c>
      <c r="J314" s="19">
        <v>48</v>
      </c>
      <c r="K314" s="19"/>
      <c r="L314" s="19"/>
      <c r="M314" s="19"/>
      <c r="N314" s="19"/>
      <c r="O314" s="19"/>
      <c r="P314" s="19"/>
      <c r="Q314" s="19"/>
      <c r="R314" s="19"/>
      <c r="S314" s="19"/>
      <c r="T314" s="19"/>
      <c r="U314" s="19"/>
      <c r="V314" s="19"/>
      <c r="W314" s="19"/>
      <c r="X314" s="19"/>
      <c r="Y314" s="19"/>
      <c r="Z314" t="str">
        <f>IF(Tabela1[[#This Row],[1]]&lt;&gt;"",IF(ISNUMBER(FIND(",",Tabela1[[#This Row],[1]])),LEN(Tabela1[[#This Row],[1]])-LEN(SUBSTITUTE(Tabela1[[#This Row],[1]],",",""))+1,1),"")</f>
        <v/>
      </c>
      <c r="AA314" t="str">
        <f>IF(Tabela1[[#This Row],[2]]&lt;&gt;"",IF(ISNUMBER(FIND(",",Tabela1[[#This Row],[2]])),LEN(Tabela1[[#This Row],[2]])-LEN(SUBSTITUTE(Tabela1[[#This Row],[2]],",",""))+1,1),"")</f>
        <v/>
      </c>
      <c r="AB314" t="str">
        <f>IF(Tabela1[[#This Row],[3]]&lt;&gt;"",IF(ISNUMBER(FIND(",",Tabela1[[#This Row],[3]])),LEN(Tabela1[[#This Row],[3]])-LEN(SUBSTITUTE(Tabela1[[#This Row],[3]],",",""))+1,1),"")</f>
        <v/>
      </c>
      <c r="AC314">
        <f>IF(Tabela1[[#This Row],[4]]&lt;&gt;"",IF(ISNUMBER(FIND(",",Tabela1[[#This Row],[4]])),LEN(Tabela1[[#This Row],[4]])-LEN(SUBSTITUTE(Tabela1[[#This Row],[4]],",",""))+1,1),"")</f>
        <v>1</v>
      </c>
      <c r="AD314">
        <f>IF(Tabela1[[#This Row],[5]]&lt;&gt;"",IF(ISNUMBER(FIND(",",Tabela1[[#This Row],[5]])),LEN(Tabela1[[#This Row],[5]])-LEN(SUBSTITUTE(Tabela1[[#This Row],[5]],",",""))+1,1),"")</f>
        <v>1</v>
      </c>
      <c r="AE314" t="str">
        <f>IF(Tabela1[[#This Row],[6]]&lt;&gt;"",IF(ISNUMBER(FIND(",",Tabela1[[#This Row],[6]])),LEN(Tabela1[[#This Row],[6]])-LEN(SUBSTITUTE(Tabela1[[#This Row],[6]],",",""))+1,1),"")</f>
        <v/>
      </c>
      <c r="AF314" t="str">
        <f>IF(Tabela1[[#This Row],[7]]&lt;&gt;"",IF(ISNUMBER(FIND(",",Tabela1[[#This Row],[7]])),LEN(Tabela1[[#This Row],[7]])-LEN(SUBSTITUTE(Tabela1[[#This Row],[7]],",",""))+1,1),"")</f>
        <v/>
      </c>
      <c r="AG314" t="str">
        <f>IF(Tabela1[[#This Row],[8]]&lt;&gt;"",IF(ISNUMBER(FIND(",",Tabela1[[#This Row],[8]])),LEN(Tabela1[[#This Row],[8]])-LEN(SUBSTITUTE(Tabela1[[#This Row],[8]],",",""))+1,1),"")</f>
        <v/>
      </c>
      <c r="AH314" t="str">
        <f>IF(Tabela1[[#This Row],[9]]&lt;&gt;"",IF(ISNUMBER(FIND(",",Tabela1[[#This Row],[9]])),LEN(Tabela1[[#This Row],[9]])-LEN(SUBSTITUTE(Tabela1[[#This Row],[9]],",",""))+1,1),"")</f>
        <v/>
      </c>
      <c r="AI314" t="str">
        <f>IF(Tabela1[[#This Row],[10]]&lt;&gt;"",IF(ISNUMBER(FIND(",",Tabela1[[#This Row],[10]])),LEN(Tabela1[[#This Row],[10]])-LEN(SUBSTITUTE(Tabela1[[#This Row],[10]],",",""))+1,1),"")</f>
        <v/>
      </c>
      <c r="AJ314" t="str">
        <f>IF(Tabela1[[#This Row],[11]]&lt;&gt;"",IF(ISNUMBER(FIND(",",Tabela1[[#This Row],[11]])),LEN(Tabela1[[#This Row],[11]])-LEN(SUBSTITUTE(Tabela1[[#This Row],[11]],",",""))+1,1),"")</f>
        <v/>
      </c>
      <c r="AK314" t="str">
        <f>IF(Tabela1[[#This Row],[12]]&lt;&gt;"",IF(ISNUMBER(FIND(",",Tabela1[[#This Row],[12]])),LEN(Tabela1[[#This Row],[12]])-LEN(SUBSTITUTE(Tabela1[[#This Row],[12]],",",""))+1,1),"")</f>
        <v/>
      </c>
      <c r="AL314" t="str">
        <f>IF(Tabela1[[#This Row],[13]]&lt;&gt;"",IF(ISNUMBER(FIND(",",Tabela1[[#This Row],[13]])),LEN(Tabela1[[#This Row],[13]])-LEN(SUBSTITUTE(Tabela1[[#This Row],[13]],",",""))+1,1),"")</f>
        <v/>
      </c>
      <c r="AM314" t="str">
        <f>IF(Tabela1[[#This Row],[14]]&lt;&gt;"",IF(ISNUMBER(FIND(",",Tabela1[[#This Row],[14]])),LEN(Tabela1[[#This Row],[14]])-LEN(SUBSTITUTE(Tabela1[[#This Row],[14]],",",""))+1,1),"")</f>
        <v/>
      </c>
      <c r="AN314" t="str">
        <f>IF(Tabela1[[#This Row],[15]]&lt;&gt;"",IF(ISNUMBER(FIND(",",Tabela1[[#This Row],[15]])),LEN(Tabela1[[#This Row],[15]])-LEN(SUBSTITUTE(Tabela1[[#This Row],[15]],",",""))+1,1),"")</f>
        <v/>
      </c>
      <c r="AO314" t="str">
        <f>IF(Tabela1[[#This Row],[16]]&lt;&gt;"",IF(ISNUMBER(FIND(",",Tabela1[[#This Row],[16]])),LEN(Tabela1[[#This Row],[16]])-LEN(SUBSTITUTE(Tabela1[[#This Row],[16]],",",""))+1,1),"")</f>
        <v/>
      </c>
      <c r="AP314" t="str">
        <f>IF(Tabela1[[#This Row],[17]]&lt;&gt;"",IF(ISNUMBER(FIND(",",Tabela1[[#This Row],[17]])),LEN(Tabela1[[#This Row],[17]])-LEN(SUBSTITUTE(Tabela1[[#This Row],[17]],",",""))+1,1),"")</f>
        <v/>
      </c>
      <c r="AQ314" t="str">
        <f>IF(Tabela1[[#This Row],[18]]&lt;&gt;"",IF(ISNUMBER(FIND(",",Tabela1[[#This Row],[18]])),LEN(Tabela1[[#This Row],[18]])-LEN(SUBSTITUTE(Tabela1[[#This Row],[18]],",",""))+1,1),"")</f>
        <v/>
      </c>
      <c r="AR314" s="13" t="str">
        <f>IF(Tabela1[[#This Row],[19_LENGTH]]&lt;&gt;"",IF(ISNUMBER(FIND(",",Tabela1[[#This Row],[19_LENGTH]])),LEN(Tabela1[[#This Row],[19_LENGTH]])-LEN(SUBSTITUTE(Tabela1[[#This Row],[19_LENGTH]],",",""))+1,1),"")</f>
        <v/>
      </c>
      <c r="AS314" s="21">
        <f>SUM(Tabela1[[#This Row],[1_]:[19_]])</f>
        <v>2</v>
      </c>
    </row>
    <row r="315" spans="1:45" x14ac:dyDescent="0.25">
      <c r="A315" s="27" t="s">
        <v>1323</v>
      </c>
      <c r="B315" s="19" t="s">
        <v>463</v>
      </c>
      <c r="C315" s="19">
        <v>202</v>
      </c>
      <c r="D315" s="19" t="s">
        <v>1315</v>
      </c>
      <c r="E315" s="20">
        <v>43500</v>
      </c>
      <c r="F315" s="19"/>
      <c r="G315" s="19">
        <v>87</v>
      </c>
      <c r="H315" s="19"/>
      <c r="I315" s="19"/>
      <c r="J315" s="19"/>
      <c r="K315" s="19"/>
      <c r="L315" s="19"/>
      <c r="M315" s="19"/>
      <c r="N315" s="19"/>
      <c r="O315" s="19"/>
      <c r="P315" s="19"/>
      <c r="Q315" s="19"/>
      <c r="R315" s="19"/>
      <c r="S315" s="19"/>
      <c r="T315" s="19"/>
      <c r="U315" s="19"/>
      <c r="V315" s="19"/>
      <c r="W315" s="19"/>
      <c r="X315" s="19"/>
      <c r="Y315" s="19"/>
      <c r="Z315" t="str">
        <f>IF(Tabela1[[#This Row],[1]]&lt;&gt;"",IF(ISNUMBER(FIND(",",Tabela1[[#This Row],[1]])),LEN(Tabela1[[#This Row],[1]])-LEN(SUBSTITUTE(Tabela1[[#This Row],[1]],",",""))+1,1),"")</f>
        <v/>
      </c>
      <c r="AA315">
        <f>IF(Tabela1[[#This Row],[2]]&lt;&gt;"",IF(ISNUMBER(FIND(",",Tabela1[[#This Row],[2]])),LEN(Tabela1[[#This Row],[2]])-LEN(SUBSTITUTE(Tabela1[[#This Row],[2]],",",""))+1,1),"")</f>
        <v>1</v>
      </c>
      <c r="AB315" t="str">
        <f>IF(Tabela1[[#This Row],[3]]&lt;&gt;"",IF(ISNUMBER(FIND(",",Tabela1[[#This Row],[3]])),LEN(Tabela1[[#This Row],[3]])-LEN(SUBSTITUTE(Tabela1[[#This Row],[3]],",",""))+1,1),"")</f>
        <v/>
      </c>
      <c r="AC315" t="str">
        <f>IF(Tabela1[[#This Row],[4]]&lt;&gt;"",IF(ISNUMBER(FIND(",",Tabela1[[#This Row],[4]])),LEN(Tabela1[[#This Row],[4]])-LEN(SUBSTITUTE(Tabela1[[#This Row],[4]],",",""))+1,1),"")</f>
        <v/>
      </c>
      <c r="AD315" t="str">
        <f>IF(Tabela1[[#This Row],[5]]&lt;&gt;"",IF(ISNUMBER(FIND(",",Tabela1[[#This Row],[5]])),LEN(Tabela1[[#This Row],[5]])-LEN(SUBSTITUTE(Tabela1[[#This Row],[5]],",",""))+1,1),"")</f>
        <v/>
      </c>
      <c r="AE315" t="str">
        <f>IF(Tabela1[[#This Row],[6]]&lt;&gt;"",IF(ISNUMBER(FIND(",",Tabela1[[#This Row],[6]])),LEN(Tabela1[[#This Row],[6]])-LEN(SUBSTITUTE(Tabela1[[#This Row],[6]],",",""))+1,1),"")</f>
        <v/>
      </c>
      <c r="AF315" t="str">
        <f>IF(Tabela1[[#This Row],[7]]&lt;&gt;"",IF(ISNUMBER(FIND(",",Tabela1[[#This Row],[7]])),LEN(Tabela1[[#This Row],[7]])-LEN(SUBSTITUTE(Tabela1[[#This Row],[7]],",",""))+1,1),"")</f>
        <v/>
      </c>
      <c r="AG315" t="str">
        <f>IF(Tabela1[[#This Row],[8]]&lt;&gt;"",IF(ISNUMBER(FIND(",",Tabela1[[#This Row],[8]])),LEN(Tabela1[[#This Row],[8]])-LEN(SUBSTITUTE(Tabela1[[#This Row],[8]],",",""))+1,1),"")</f>
        <v/>
      </c>
      <c r="AH315" t="str">
        <f>IF(Tabela1[[#This Row],[9]]&lt;&gt;"",IF(ISNUMBER(FIND(",",Tabela1[[#This Row],[9]])),LEN(Tabela1[[#This Row],[9]])-LEN(SUBSTITUTE(Tabela1[[#This Row],[9]],",",""))+1,1),"")</f>
        <v/>
      </c>
      <c r="AI315" t="str">
        <f>IF(Tabela1[[#This Row],[10]]&lt;&gt;"",IF(ISNUMBER(FIND(",",Tabela1[[#This Row],[10]])),LEN(Tabela1[[#This Row],[10]])-LEN(SUBSTITUTE(Tabela1[[#This Row],[10]],",",""))+1,1),"")</f>
        <v/>
      </c>
      <c r="AJ315" t="str">
        <f>IF(Tabela1[[#This Row],[11]]&lt;&gt;"",IF(ISNUMBER(FIND(",",Tabela1[[#This Row],[11]])),LEN(Tabela1[[#This Row],[11]])-LEN(SUBSTITUTE(Tabela1[[#This Row],[11]],",",""))+1,1),"")</f>
        <v/>
      </c>
      <c r="AK315" t="str">
        <f>IF(Tabela1[[#This Row],[12]]&lt;&gt;"",IF(ISNUMBER(FIND(",",Tabela1[[#This Row],[12]])),LEN(Tabela1[[#This Row],[12]])-LEN(SUBSTITUTE(Tabela1[[#This Row],[12]],",",""))+1,1),"")</f>
        <v/>
      </c>
      <c r="AL315" t="str">
        <f>IF(Tabela1[[#This Row],[13]]&lt;&gt;"",IF(ISNUMBER(FIND(",",Tabela1[[#This Row],[13]])),LEN(Tabela1[[#This Row],[13]])-LEN(SUBSTITUTE(Tabela1[[#This Row],[13]],",",""))+1,1),"")</f>
        <v/>
      </c>
      <c r="AM315" t="str">
        <f>IF(Tabela1[[#This Row],[14]]&lt;&gt;"",IF(ISNUMBER(FIND(",",Tabela1[[#This Row],[14]])),LEN(Tabela1[[#This Row],[14]])-LEN(SUBSTITUTE(Tabela1[[#This Row],[14]],",",""))+1,1),"")</f>
        <v/>
      </c>
      <c r="AN315" t="str">
        <f>IF(Tabela1[[#This Row],[15]]&lt;&gt;"",IF(ISNUMBER(FIND(",",Tabela1[[#This Row],[15]])),LEN(Tabela1[[#This Row],[15]])-LEN(SUBSTITUTE(Tabela1[[#This Row],[15]],",",""))+1,1),"")</f>
        <v/>
      </c>
      <c r="AO315" t="str">
        <f>IF(Tabela1[[#This Row],[16]]&lt;&gt;"",IF(ISNUMBER(FIND(",",Tabela1[[#This Row],[16]])),LEN(Tabela1[[#This Row],[16]])-LEN(SUBSTITUTE(Tabela1[[#This Row],[16]],",",""))+1,1),"")</f>
        <v/>
      </c>
      <c r="AP315" t="str">
        <f>IF(Tabela1[[#This Row],[17]]&lt;&gt;"",IF(ISNUMBER(FIND(",",Tabela1[[#This Row],[17]])),LEN(Tabela1[[#This Row],[17]])-LEN(SUBSTITUTE(Tabela1[[#This Row],[17]],",",""))+1,1),"")</f>
        <v/>
      </c>
      <c r="AQ315" t="str">
        <f>IF(Tabela1[[#This Row],[18]]&lt;&gt;"",IF(ISNUMBER(FIND(",",Tabela1[[#This Row],[18]])),LEN(Tabela1[[#This Row],[18]])-LEN(SUBSTITUTE(Tabela1[[#This Row],[18]],",",""))+1,1),"")</f>
        <v/>
      </c>
      <c r="AR315" s="13" t="str">
        <f>IF(Tabela1[[#This Row],[19_LENGTH]]&lt;&gt;"",IF(ISNUMBER(FIND(",",Tabela1[[#This Row],[19_LENGTH]])),LEN(Tabela1[[#This Row],[19_LENGTH]])-LEN(SUBSTITUTE(Tabela1[[#This Row],[19_LENGTH]],",",""))+1,1),"")</f>
        <v/>
      </c>
      <c r="AS315" s="21">
        <f>SUM(Tabela1[[#This Row],[1_]:[19_]])</f>
        <v>1</v>
      </c>
    </row>
    <row r="316" spans="1:45" x14ac:dyDescent="0.25">
      <c r="A316" s="27" t="s">
        <v>1323</v>
      </c>
      <c r="B316" s="19" t="s">
        <v>464</v>
      </c>
      <c r="C316" s="19">
        <v>202</v>
      </c>
      <c r="D316" s="19" t="s">
        <v>1315</v>
      </c>
      <c r="E316" s="20">
        <v>43498</v>
      </c>
      <c r="F316" s="19"/>
      <c r="G316" s="19"/>
      <c r="H316" s="19"/>
      <c r="I316" s="19">
        <v>22</v>
      </c>
      <c r="J316" s="19"/>
      <c r="K316" s="19"/>
      <c r="L316" s="19"/>
      <c r="M316" s="19"/>
      <c r="N316" s="19"/>
      <c r="O316" s="19"/>
      <c r="P316" s="19"/>
      <c r="Q316" s="19"/>
      <c r="R316" s="19"/>
      <c r="S316" s="19"/>
      <c r="T316" s="19"/>
      <c r="U316" s="19"/>
      <c r="V316" s="19"/>
      <c r="W316" s="19"/>
      <c r="X316" s="19"/>
      <c r="Y316" s="19"/>
      <c r="Z316" t="str">
        <f>IF(Tabela1[[#This Row],[1]]&lt;&gt;"",IF(ISNUMBER(FIND(",",Tabela1[[#This Row],[1]])),LEN(Tabela1[[#This Row],[1]])-LEN(SUBSTITUTE(Tabela1[[#This Row],[1]],",",""))+1,1),"")</f>
        <v/>
      </c>
      <c r="AA316" t="str">
        <f>IF(Tabela1[[#This Row],[2]]&lt;&gt;"",IF(ISNUMBER(FIND(",",Tabela1[[#This Row],[2]])),LEN(Tabela1[[#This Row],[2]])-LEN(SUBSTITUTE(Tabela1[[#This Row],[2]],",",""))+1,1),"")</f>
        <v/>
      </c>
      <c r="AB316" t="str">
        <f>IF(Tabela1[[#This Row],[3]]&lt;&gt;"",IF(ISNUMBER(FIND(",",Tabela1[[#This Row],[3]])),LEN(Tabela1[[#This Row],[3]])-LEN(SUBSTITUTE(Tabela1[[#This Row],[3]],",",""))+1,1),"")</f>
        <v/>
      </c>
      <c r="AC316">
        <f>IF(Tabela1[[#This Row],[4]]&lt;&gt;"",IF(ISNUMBER(FIND(",",Tabela1[[#This Row],[4]])),LEN(Tabela1[[#This Row],[4]])-LEN(SUBSTITUTE(Tabela1[[#This Row],[4]],",",""))+1,1),"")</f>
        <v>1</v>
      </c>
      <c r="AD316" t="str">
        <f>IF(Tabela1[[#This Row],[5]]&lt;&gt;"",IF(ISNUMBER(FIND(",",Tabela1[[#This Row],[5]])),LEN(Tabela1[[#This Row],[5]])-LEN(SUBSTITUTE(Tabela1[[#This Row],[5]],",",""))+1,1),"")</f>
        <v/>
      </c>
      <c r="AE316" t="str">
        <f>IF(Tabela1[[#This Row],[6]]&lt;&gt;"",IF(ISNUMBER(FIND(",",Tabela1[[#This Row],[6]])),LEN(Tabela1[[#This Row],[6]])-LEN(SUBSTITUTE(Tabela1[[#This Row],[6]],",",""))+1,1),"")</f>
        <v/>
      </c>
      <c r="AF316" t="str">
        <f>IF(Tabela1[[#This Row],[7]]&lt;&gt;"",IF(ISNUMBER(FIND(",",Tabela1[[#This Row],[7]])),LEN(Tabela1[[#This Row],[7]])-LEN(SUBSTITUTE(Tabela1[[#This Row],[7]],",",""))+1,1),"")</f>
        <v/>
      </c>
      <c r="AG316" t="str">
        <f>IF(Tabela1[[#This Row],[8]]&lt;&gt;"",IF(ISNUMBER(FIND(",",Tabela1[[#This Row],[8]])),LEN(Tabela1[[#This Row],[8]])-LEN(SUBSTITUTE(Tabela1[[#This Row],[8]],",",""))+1,1),"")</f>
        <v/>
      </c>
      <c r="AH316" t="str">
        <f>IF(Tabela1[[#This Row],[9]]&lt;&gt;"",IF(ISNUMBER(FIND(",",Tabela1[[#This Row],[9]])),LEN(Tabela1[[#This Row],[9]])-LEN(SUBSTITUTE(Tabela1[[#This Row],[9]],",",""))+1,1),"")</f>
        <v/>
      </c>
      <c r="AI316" t="str">
        <f>IF(Tabela1[[#This Row],[10]]&lt;&gt;"",IF(ISNUMBER(FIND(",",Tabela1[[#This Row],[10]])),LEN(Tabela1[[#This Row],[10]])-LEN(SUBSTITUTE(Tabela1[[#This Row],[10]],",",""))+1,1),"")</f>
        <v/>
      </c>
      <c r="AJ316" t="str">
        <f>IF(Tabela1[[#This Row],[11]]&lt;&gt;"",IF(ISNUMBER(FIND(",",Tabela1[[#This Row],[11]])),LEN(Tabela1[[#This Row],[11]])-LEN(SUBSTITUTE(Tabela1[[#This Row],[11]],",",""))+1,1),"")</f>
        <v/>
      </c>
      <c r="AK316" t="str">
        <f>IF(Tabela1[[#This Row],[12]]&lt;&gt;"",IF(ISNUMBER(FIND(",",Tabela1[[#This Row],[12]])),LEN(Tabela1[[#This Row],[12]])-LEN(SUBSTITUTE(Tabela1[[#This Row],[12]],",",""))+1,1),"")</f>
        <v/>
      </c>
      <c r="AL316" t="str">
        <f>IF(Tabela1[[#This Row],[13]]&lt;&gt;"",IF(ISNUMBER(FIND(",",Tabela1[[#This Row],[13]])),LEN(Tabela1[[#This Row],[13]])-LEN(SUBSTITUTE(Tabela1[[#This Row],[13]],",",""))+1,1),"")</f>
        <v/>
      </c>
      <c r="AM316" t="str">
        <f>IF(Tabela1[[#This Row],[14]]&lt;&gt;"",IF(ISNUMBER(FIND(",",Tabela1[[#This Row],[14]])),LEN(Tabela1[[#This Row],[14]])-LEN(SUBSTITUTE(Tabela1[[#This Row],[14]],",",""))+1,1),"")</f>
        <v/>
      </c>
      <c r="AN316" t="str">
        <f>IF(Tabela1[[#This Row],[15]]&lt;&gt;"",IF(ISNUMBER(FIND(",",Tabela1[[#This Row],[15]])),LEN(Tabela1[[#This Row],[15]])-LEN(SUBSTITUTE(Tabela1[[#This Row],[15]],",",""))+1,1),"")</f>
        <v/>
      </c>
      <c r="AO316" t="str">
        <f>IF(Tabela1[[#This Row],[16]]&lt;&gt;"",IF(ISNUMBER(FIND(",",Tabela1[[#This Row],[16]])),LEN(Tabela1[[#This Row],[16]])-LEN(SUBSTITUTE(Tabela1[[#This Row],[16]],",",""))+1,1),"")</f>
        <v/>
      </c>
      <c r="AP316" t="str">
        <f>IF(Tabela1[[#This Row],[17]]&lt;&gt;"",IF(ISNUMBER(FIND(",",Tabela1[[#This Row],[17]])),LEN(Tabela1[[#This Row],[17]])-LEN(SUBSTITUTE(Tabela1[[#This Row],[17]],",",""))+1,1),"")</f>
        <v/>
      </c>
      <c r="AQ316" t="str">
        <f>IF(Tabela1[[#This Row],[18]]&lt;&gt;"",IF(ISNUMBER(FIND(",",Tabela1[[#This Row],[18]])),LEN(Tabela1[[#This Row],[18]])-LEN(SUBSTITUTE(Tabela1[[#This Row],[18]],",",""))+1,1),"")</f>
        <v/>
      </c>
      <c r="AR316" s="13" t="str">
        <f>IF(Tabela1[[#This Row],[19_LENGTH]]&lt;&gt;"",IF(ISNUMBER(FIND(",",Tabela1[[#This Row],[19_LENGTH]])),LEN(Tabela1[[#This Row],[19_LENGTH]])-LEN(SUBSTITUTE(Tabela1[[#This Row],[19_LENGTH]],",",""))+1,1),"")</f>
        <v/>
      </c>
      <c r="AS316" s="21">
        <f>SUM(Tabela1[[#This Row],[1_]:[19_]])</f>
        <v>1</v>
      </c>
    </row>
    <row r="317" spans="1:45" x14ac:dyDescent="0.25">
      <c r="A317" s="27" t="s">
        <v>1323</v>
      </c>
      <c r="B317" s="19" t="s">
        <v>789</v>
      </c>
      <c r="C317" s="19">
        <v>202</v>
      </c>
      <c r="D317" s="19" t="s">
        <v>1315</v>
      </c>
      <c r="E317" s="20">
        <v>43498</v>
      </c>
      <c r="F317" s="19"/>
      <c r="G317" s="19"/>
      <c r="H317" s="19"/>
      <c r="I317" s="19">
        <v>50</v>
      </c>
      <c r="J317" s="19"/>
      <c r="K317" s="19"/>
      <c r="L317" s="19"/>
      <c r="M317" s="19"/>
      <c r="N317" s="19"/>
      <c r="O317" s="19"/>
      <c r="P317" s="19"/>
      <c r="Q317" s="19"/>
      <c r="R317" s="19"/>
      <c r="S317" s="19"/>
      <c r="T317" s="19"/>
      <c r="U317" s="19"/>
      <c r="V317" s="19"/>
      <c r="W317" s="19"/>
      <c r="X317" s="19"/>
      <c r="Y317" s="19"/>
      <c r="Z317" t="str">
        <f>IF(Tabela1[[#This Row],[1]]&lt;&gt;"",IF(ISNUMBER(FIND(",",Tabela1[[#This Row],[1]])),LEN(Tabela1[[#This Row],[1]])-LEN(SUBSTITUTE(Tabela1[[#This Row],[1]],",",""))+1,1),"")</f>
        <v/>
      </c>
      <c r="AA317" t="str">
        <f>IF(Tabela1[[#This Row],[2]]&lt;&gt;"",IF(ISNUMBER(FIND(",",Tabela1[[#This Row],[2]])),LEN(Tabela1[[#This Row],[2]])-LEN(SUBSTITUTE(Tabela1[[#This Row],[2]],",",""))+1,1),"")</f>
        <v/>
      </c>
      <c r="AB317" t="str">
        <f>IF(Tabela1[[#This Row],[3]]&lt;&gt;"",IF(ISNUMBER(FIND(",",Tabela1[[#This Row],[3]])),LEN(Tabela1[[#This Row],[3]])-LEN(SUBSTITUTE(Tabela1[[#This Row],[3]],",",""))+1,1),"")</f>
        <v/>
      </c>
      <c r="AC317">
        <f>IF(Tabela1[[#This Row],[4]]&lt;&gt;"",IF(ISNUMBER(FIND(",",Tabela1[[#This Row],[4]])),LEN(Tabela1[[#This Row],[4]])-LEN(SUBSTITUTE(Tabela1[[#This Row],[4]],",",""))+1,1),"")</f>
        <v>1</v>
      </c>
      <c r="AD317" t="str">
        <f>IF(Tabela1[[#This Row],[5]]&lt;&gt;"",IF(ISNUMBER(FIND(",",Tabela1[[#This Row],[5]])),LEN(Tabela1[[#This Row],[5]])-LEN(SUBSTITUTE(Tabela1[[#This Row],[5]],",",""))+1,1),"")</f>
        <v/>
      </c>
      <c r="AE317" t="str">
        <f>IF(Tabela1[[#This Row],[6]]&lt;&gt;"",IF(ISNUMBER(FIND(",",Tabela1[[#This Row],[6]])),LEN(Tabela1[[#This Row],[6]])-LEN(SUBSTITUTE(Tabela1[[#This Row],[6]],",",""))+1,1),"")</f>
        <v/>
      </c>
      <c r="AF317" t="str">
        <f>IF(Tabela1[[#This Row],[7]]&lt;&gt;"",IF(ISNUMBER(FIND(",",Tabela1[[#This Row],[7]])),LEN(Tabela1[[#This Row],[7]])-LEN(SUBSTITUTE(Tabela1[[#This Row],[7]],",",""))+1,1),"")</f>
        <v/>
      </c>
      <c r="AG317" t="str">
        <f>IF(Tabela1[[#This Row],[8]]&lt;&gt;"",IF(ISNUMBER(FIND(",",Tabela1[[#This Row],[8]])),LEN(Tabela1[[#This Row],[8]])-LEN(SUBSTITUTE(Tabela1[[#This Row],[8]],",",""))+1,1),"")</f>
        <v/>
      </c>
      <c r="AH317" t="str">
        <f>IF(Tabela1[[#This Row],[9]]&lt;&gt;"",IF(ISNUMBER(FIND(",",Tabela1[[#This Row],[9]])),LEN(Tabela1[[#This Row],[9]])-LEN(SUBSTITUTE(Tabela1[[#This Row],[9]],",",""))+1,1),"")</f>
        <v/>
      </c>
      <c r="AI317" t="str">
        <f>IF(Tabela1[[#This Row],[10]]&lt;&gt;"",IF(ISNUMBER(FIND(",",Tabela1[[#This Row],[10]])),LEN(Tabela1[[#This Row],[10]])-LEN(SUBSTITUTE(Tabela1[[#This Row],[10]],",",""))+1,1),"")</f>
        <v/>
      </c>
      <c r="AJ317" t="str">
        <f>IF(Tabela1[[#This Row],[11]]&lt;&gt;"",IF(ISNUMBER(FIND(",",Tabela1[[#This Row],[11]])),LEN(Tabela1[[#This Row],[11]])-LEN(SUBSTITUTE(Tabela1[[#This Row],[11]],",",""))+1,1),"")</f>
        <v/>
      </c>
      <c r="AK317" t="str">
        <f>IF(Tabela1[[#This Row],[12]]&lt;&gt;"",IF(ISNUMBER(FIND(",",Tabela1[[#This Row],[12]])),LEN(Tabela1[[#This Row],[12]])-LEN(SUBSTITUTE(Tabela1[[#This Row],[12]],",",""))+1,1),"")</f>
        <v/>
      </c>
      <c r="AL317" t="str">
        <f>IF(Tabela1[[#This Row],[13]]&lt;&gt;"",IF(ISNUMBER(FIND(",",Tabela1[[#This Row],[13]])),LEN(Tabela1[[#This Row],[13]])-LEN(SUBSTITUTE(Tabela1[[#This Row],[13]],",",""))+1,1),"")</f>
        <v/>
      </c>
      <c r="AM317" t="str">
        <f>IF(Tabela1[[#This Row],[14]]&lt;&gt;"",IF(ISNUMBER(FIND(",",Tabela1[[#This Row],[14]])),LEN(Tabela1[[#This Row],[14]])-LEN(SUBSTITUTE(Tabela1[[#This Row],[14]],",",""))+1,1),"")</f>
        <v/>
      </c>
      <c r="AN317" t="str">
        <f>IF(Tabela1[[#This Row],[15]]&lt;&gt;"",IF(ISNUMBER(FIND(",",Tabela1[[#This Row],[15]])),LEN(Tabela1[[#This Row],[15]])-LEN(SUBSTITUTE(Tabela1[[#This Row],[15]],",",""))+1,1),"")</f>
        <v/>
      </c>
      <c r="AO317" t="str">
        <f>IF(Tabela1[[#This Row],[16]]&lt;&gt;"",IF(ISNUMBER(FIND(",",Tabela1[[#This Row],[16]])),LEN(Tabela1[[#This Row],[16]])-LEN(SUBSTITUTE(Tabela1[[#This Row],[16]],",",""))+1,1),"")</f>
        <v/>
      </c>
      <c r="AP317" t="str">
        <f>IF(Tabela1[[#This Row],[17]]&lt;&gt;"",IF(ISNUMBER(FIND(",",Tabela1[[#This Row],[17]])),LEN(Tabela1[[#This Row],[17]])-LEN(SUBSTITUTE(Tabela1[[#This Row],[17]],",",""))+1,1),"")</f>
        <v/>
      </c>
      <c r="AQ317" t="str">
        <f>IF(Tabela1[[#This Row],[18]]&lt;&gt;"",IF(ISNUMBER(FIND(",",Tabela1[[#This Row],[18]])),LEN(Tabela1[[#This Row],[18]])-LEN(SUBSTITUTE(Tabela1[[#This Row],[18]],",",""))+1,1),"")</f>
        <v/>
      </c>
      <c r="AR317" s="13" t="str">
        <f>IF(Tabela1[[#This Row],[19_LENGTH]]&lt;&gt;"",IF(ISNUMBER(FIND(",",Tabela1[[#This Row],[19_LENGTH]])),LEN(Tabela1[[#This Row],[19_LENGTH]])-LEN(SUBSTITUTE(Tabela1[[#This Row],[19_LENGTH]],",",""))+1,1),"")</f>
        <v/>
      </c>
      <c r="AS317" s="21">
        <f>SUM(Tabela1[[#This Row],[1_]:[19_]])</f>
        <v>1</v>
      </c>
    </row>
    <row r="318" spans="1:45" x14ac:dyDescent="0.25">
      <c r="A318" s="27" t="s">
        <v>1323</v>
      </c>
      <c r="B318" s="19" t="s">
        <v>465</v>
      </c>
      <c r="C318" s="19">
        <v>202</v>
      </c>
      <c r="D318" s="19" t="s">
        <v>1298</v>
      </c>
      <c r="E318" s="20">
        <v>43500</v>
      </c>
      <c r="F318" s="19"/>
      <c r="G318" s="19"/>
      <c r="H318" s="19"/>
      <c r="I318" s="19" t="s">
        <v>134</v>
      </c>
      <c r="J318" s="19"/>
      <c r="K318" s="19"/>
      <c r="L318" s="19"/>
      <c r="M318" s="19"/>
      <c r="N318" s="19"/>
      <c r="O318" s="19"/>
      <c r="P318" s="19"/>
      <c r="Q318" s="19"/>
      <c r="R318" s="19"/>
      <c r="S318" s="19"/>
      <c r="T318" s="19"/>
      <c r="U318" s="19"/>
      <c r="V318" s="19"/>
      <c r="W318" s="19">
        <v>127</v>
      </c>
      <c r="X318" s="19"/>
      <c r="Y318" s="19"/>
      <c r="Z318" t="str">
        <f>IF(Tabela1[[#This Row],[1]]&lt;&gt;"",IF(ISNUMBER(FIND(",",Tabela1[[#This Row],[1]])),LEN(Tabela1[[#This Row],[1]])-LEN(SUBSTITUTE(Tabela1[[#This Row],[1]],",",""))+1,1),"")</f>
        <v/>
      </c>
      <c r="AA318" t="str">
        <f>IF(Tabela1[[#This Row],[2]]&lt;&gt;"",IF(ISNUMBER(FIND(",",Tabela1[[#This Row],[2]])),LEN(Tabela1[[#This Row],[2]])-LEN(SUBSTITUTE(Tabela1[[#This Row],[2]],",",""))+1,1),"")</f>
        <v/>
      </c>
      <c r="AB318" t="str">
        <f>IF(Tabela1[[#This Row],[3]]&lt;&gt;"",IF(ISNUMBER(FIND(",",Tabela1[[#This Row],[3]])),LEN(Tabela1[[#This Row],[3]])-LEN(SUBSTITUTE(Tabela1[[#This Row],[3]],",",""))+1,1),"")</f>
        <v/>
      </c>
      <c r="AC318">
        <f>IF(Tabela1[[#This Row],[4]]&lt;&gt;"",IF(ISNUMBER(FIND(",",Tabela1[[#This Row],[4]])),LEN(Tabela1[[#This Row],[4]])-LEN(SUBSTITUTE(Tabela1[[#This Row],[4]],",",""))+1,1),"")</f>
        <v>2</v>
      </c>
      <c r="AD318" t="str">
        <f>IF(Tabela1[[#This Row],[5]]&lt;&gt;"",IF(ISNUMBER(FIND(",",Tabela1[[#This Row],[5]])),LEN(Tabela1[[#This Row],[5]])-LEN(SUBSTITUTE(Tabela1[[#This Row],[5]],",",""))+1,1),"")</f>
        <v/>
      </c>
      <c r="AE318" t="str">
        <f>IF(Tabela1[[#This Row],[6]]&lt;&gt;"",IF(ISNUMBER(FIND(",",Tabela1[[#This Row],[6]])),LEN(Tabela1[[#This Row],[6]])-LEN(SUBSTITUTE(Tabela1[[#This Row],[6]],",",""))+1,1),"")</f>
        <v/>
      </c>
      <c r="AF318" t="str">
        <f>IF(Tabela1[[#This Row],[7]]&lt;&gt;"",IF(ISNUMBER(FIND(",",Tabela1[[#This Row],[7]])),LEN(Tabela1[[#This Row],[7]])-LEN(SUBSTITUTE(Tabela1[[#This Row],[7]],",",""))+1,1),"")</f>
        <v/>
      </c>
      <c r="AG318" t="str">
        <f>IF(Tabela1[[#This Row],[8]]&lt;&gt;"",IF(ISNUMBER(FIND(",",Tabela1[[#This Row],[8]])),LEN(Tabela1[[#This Row],[8]])-LEN(SUBSTITUTE(Tabela1[[#This Row],[8]],",",""))+1,1),"")</f>
        <v/>
      </c>
      <c r="AH318" t="str">
        <f>IF(Tabela1[[#This Row],[9]]&lt;&gt;"",IF(ISNUMBER(FIND(",",Tabela1[[#This Row],[9]])),LEN(Tabela1[[#This Row],[9]])-LEN(SUBSTITUTE(Tabela1[[#This Row],[9]],",",""))+1,1),"")</f>
        <v/>
      </c>
      <c r="AI318" t="str">
        <f>IF(Tabela1[[#This Row],[10]]&lt;&gt;"",IF(ISNUMBER(FIND(",",Tabela1[[#This Row],[10]])),LEN(Tabela1[[#This Row],[10]])-LEN(SUBSTITUTE(Tabela1[[#This Row],[10]],",",""))+1,1),"")</f>
        <v/>
      </c>
      <c r="AJ318" t="str">
        <f>IF(Tabela1[[#This Row],[11]]&lt;&gt;"",IF(ISNUMBER(FIND(",",Tabela1[[#This Row],[11]])),LEN(Tabela1[[#This Row],[11]])-LEN(SUBSTITUTE(Tabela1[[#This Row],[11]],",",""))+1,1),"")</f>
        <v/>
      </c>
      <c r="AK318" t="str">
        <f>IF(Tabela1[[#This Row],[12]]&lt;&gt;"",IF(ISNUMBER(FIND(",",Tabela1[[#This Row],[12]])),LEN(Tabela1[[#This Row],[12]])-LEN(SUBSTITUTE(Tabela1[[#This Row],[12]],",",""))+1,1),"")</f>
        <v/>
      </c>
      <c r="AL318" t="str">
        <f>IF(Tabela1[[#This Row],[13]]&lt;&gt;"",IF(ISNUMBER(FIND(",",Tabela1[[#This Row],[13]])),LEN(Tabela1[[#This Row],[13]])-LEN(SUBSTITUTE(Tabela1[[#This Row],[13]],",",""))+1,1),"")</f>
        <v/>
      </c>
      <c r="AM318" t="str">
        <f>IF(Tabela1[[#This Row],[14]]&lt;&gt;"",IF(ISNUMBER(FIND(",",Tabela1[[#This Row],[14]])),LEN(Tabela1[[#This Row],[14]])-LEN(SUBSTITUTE(Tabela1[[#This Row],[14]],",",""))+1,1),"")</f>
        <v/>
      </c>
      <c r="AN318" t="str">
        <f>IF(Tabela1[[#This Row],[15]]&lt;&gt;"",IF(ISNUMBER(FIND(",",Tabela1[[#This Row],[15]])),LEN(Tabela1[[#This Row],[15]])-LEN(SUBSTITUTE(Tabela1[[#This Row],[15]],",",""))+1,1),"")</f>
        <v/>
      </c>
      <c r="AO318" t="str">
        <f>IF(Tabela1[[#This Row],[16]]&lt;&gt;"",IF(ISNUMBER(FIND(",",Tabela1[[#This Row],[16]])),LEN(Tabela1[[#This Row],[16]])-LEN(SUBSTITUTE(Tabela1[[#This Row],[16]],",",""))+1,1),"")</f>
        <v/>
      </c>
      <c r="AP318" t="str">
        <f>IF(Tabela1[[#This Row],[17]]&lt;&gt;"",IF(ISNUMBER(FIND(",",Tabela1[[#This Row],[17]])),LEN(Tabela1[[#This Row],[17]])-LEN(SUBSTITUTE(Tabela1[[#This Row],[17]],",",""))+1,1),"")</f>
        <v/>
      </c>
      <c r="AQ318">
        <f>IF(Tabela1[[#This Row],[18]]&lt;&gt;"",IF(ISNUMBER(FIND(",",Tabela1[[#This Row],[18]])),LEN(Tabela1[[#This Row],[18]])-LEN(SUBSTITUTE(Tabela1[[#This Row],[18]],",",""))+1,1),"")</f>
        <v>1</v>
      </c>
      <c r="AR318" s="13" t="str">
        <f>IF(Tabela1[[#This Row],[19_LENGTH]]&lt;&gt;"",IF(ISNUMBER(FIND(",",Tabela1[[#This Row],[19_LENGTH]])),LEN(Tabela1[[#This Row],[19_LENGTH]])-LEN(SUBSTITUTE(Tabela1[[#This Row],[19_LENGTH]],",",""))+1,1),"")</f>
        <v/>
      </c>
      <c r="AS318" s="21">
        <f>SUM(Tabela1[[#This Row],[1_]:[19_]])</f>
        <v>3</v>
      </c>
    </row>
    <row r="319" spans="1:45" x14ac:dyDescent="0.25">
      <c r="A319" s="27" t="s">
        <v>1323</v>
      </c>
      <c r="B319" s="19" t="s">
        <v>790</v>
      </c>
      <c r="C319" s="19">
        <v>204</v>
      </c>
      <c r="D319" s="19" t="s">
        <v>1298</v>
      </c>
      <c r="E319" s="20">
        <v>43500</v>
      </c>
      <c r="F319" s="19"/>
      <c r="G319" s="19"/>
      <c r="H319" s="19"/>
      <c r="I319" s="19"/>
      <c r="J319" s="19"/>
      <c r="K319" s="19"/>
      <c r="L319" s="19"/>
      <c r="M319" s="19"/>
      <c r="N319" s="19"/>
      <c r="O319" s="19"/>
      <c r="P319" s="19"/>
      <c r="Q319" s="19"/>
      <c r="R319" s="19"/>
      <c r="S319" s="19"/>
      <c r="T319" s="19"/>
      <c r="U319" s="19"/>
      <c r="V319" s="19"/>
      <c r="W319" s="19"/>
      <c r="X319" s="19" t="s">
        <v>131</v>
      </c>
      <c r="Y319" s="19" t="s">
        <v>135</v>
      </c>
      <c r="Z319" t="str">
        <f>IF(Tabela1[[#This Row],[1]]&lt;&gt;"",IF(ISNUMBER(FIND(",",Tabela1[[#This Row],[1]])),LEN(Tabela1[[#This Row],[1]])-LEN(SUBSTITUTE(Tabela1[[#This Row],[1]],",",""))+1,1),"")</f>
        <v/>
      </c>
      <c r="AA319" t="str">
        <f>IF(Tabela1[[#This Row],[2]]&lt;&gt;"",IF(ISNUMBER(FIND(",",Tabela1[[#This Row],[2]])),LEN(Tabela1[[#This Row],[2]])-LEN(SUBSTITUTE(Tabela1[[#This Row],[2]],",",""))+1,1),"")</f>
        <v/>
      </c>
      <c r="AB319" t="str">
        <f>IF(Tabela1[[#This Row],[3]]&lt;&gt;"",IF(ISNUMBER(FIND(",",Tabela1[[#This Row],[3]])),LEN(Tabela1[[#This Row],[3]])-LEN(SUBSTITUTE(Tabela1[[#This Row],[3]],",",""))+1,1),"")</f>
        <v/>
      </c>
      <c r="AC319" t="str">
        <f>IF(Tabela1[[#This Row],[4]]&lt;&gt;"",IF(ISNUMBER(FIND(",",Tabela1[[#This Row],[4]])),LEN(Tabela1[[#This Row],[4]])-LEN(SUBSTITUTE(Tabela1[[#This Row],[4]],",",""))+1,1),"")</f>
        <v/>
      </c>
      <c r="AD319" t="str">
        <f>IF(Tabela1[[#This Row],[5]]&lt;&gt;"",IF(ISNUMBER(FIND(",",Tabela1[[#This Row],[5]])),LEN(Tabela1[[#This Row],[5]])-LEN(SUBSTITUTE(Tabela1[[#This Row],[5]],",",""))+1,1),"")</f>
        <v/>
      </c>
      <c r="AE319" t="str">
        <f>IF(Tabela1[[#This Row],[6]]&lt;&gt;"",IF(ISNUMBER(FIND(",",Tabela1[[#This Row],[6]])),LEN(Tabela1[[#This Row],[6]])-LEN(SUBSTITUTE(Tabela1[[#This Row],[6]],",",""))+1,1),"")</f>
        <v/>
      </c>
      <c r="AF319" t="str">
        <f>IF(Tabela1[[#This Row],[7]]&lt;&gt;"",IF(ISNUMBER(FIND(",",Tabela1[[#This Row],[7]])),LEN(Tabela1[[#This Row],[7]])-LEN(SUBSTITUTE(Tabela1[[#This Row],[7]],",",""))+1,1),"")</f>
        <v/>
      </c>
      <c r="AG319" t="str">
        <f>IF(Tabela1[[#This Row],[8]]&lt;&gt;"",IF(ISNUMBER(FIND(",",Tabela1[[#This Row],[8]])),LEN(Tabela1[[#This Row],[8]])-LEN(SUBSTITUTE(Tabela1[[#This Row],[8]],",",""))+1,1),"")</f>
        <v/>
      </c>
      <c r="AH319" t="str">
        <f>IF(Tabela1[[#This Row],[9]]&lt;&gt;"",IF(ISNUMBER(FIND(",",Tabela1[[#This Row],[9]])),LEN(Tabela1[[#This Row],[9]])-LEN(SUBSTITUTE(Tabela1[[#This Row],[9]],",",""))+1,1),"")</f>
        <v/>
      </c>
      <c r="AI319" t="str">
        <f>IF(Tabela1[[#This Row],[10]]&lt;&gt;"",IF(ISNUMBER(FIND(",",Tabela1[[#This Row],[10]])),LEN(Tabela1[[#This Row],[10]])-LEN(SUBSTITUTE(Tabela1[[#This Row],[10]],",",""))+1,1),"")</f>
        <v/>
      </c>
      <c r="AJ319" t="str">
        <f>IF(Tabela1[[#This Row],[11]]&lt;&gt;"",IF(ISNUMBER(FIND(",",Tabela1[[#This Row],[11]])),LEN(Tabela1[[#This Row],[11]])-LEN(SUBSTITUTE(Tabela1[[#This Row],[11]],",",""))+1,1),"")</f>
        <v/>
      </c>
      <c r="AK319" t="str">
        <f>IF(Tabela1[[#This Row],[12]]&lt;&gt;"",IF(ISNUMBER(FIND(",",Tabela1[[#This Row],[12]])),LEN(Tabela1[[#This Row],[12]])-LEN(SUBSTITUTE(Tabela1[[#This Row],[12]],",",""))+1,1),"")</f>
        <v/>
      </c>
      <c r="AL319" t="str">
        <f>IF(Tabela1[[#This Row],[13]]&lt;&gt;"",IF(ISNUMBER(FIND(",",Tabela1[[#This Row],[13]])),LEN(Tabela1[[#This Row],[13]])-LEN(SUBSTITUTE(Tabela1[[#This Row],[13]],",",""))+1,1),"")</f>
        <v/>
      </c>
      <c r="AM319" t="str">
        <f>IF(Tabela1[[#This Row],[14]]&lt;&gt;"",IF(ISNUMBER(FIND(",",Tabela1[[#This Row],[14]])),LEN(Tabela1[[#This Row],[14]])-LEN(SUBSTITUTE(Tabela1[[#This Row],[14]],",",""))+1,1),"")</f>
        <v/>
      </c>
      <c r="AN319" t="str">
        <f>IF(Tabela1[[#This Row],[15]]&lt;&gt;"",IF(ISNUMBER(FIND(",",Tabela1[[#This Row],[15]])),LEN(Tabela1[[#This Row],[15]])-LEN(SUBSTITUTE(Tabela1[[#This Row],[15]],",",""))+1,1),"")</f>
        <v/>
      </c>
      <c r="AO319" t="str">
        <f>IF(Tabela1[[#This Row],[16]]&lt;&gt;"",IF(ISNUMBER(FIND(",",Tabela1[[#This Row],[16]])),LEN(Tabela1[[#This Row],[16]])-LEN(SUBSTITUTE(Tabela1[[#This Row],[16]],",",""))+1,1),"")</f>
        <v/>
      </c>
      <c r="AP319" t="str">
        <f>IF(Tabela1[[#This Row],[17]]&lt;&gt;"",IF(ISNUMBER(FIND(",",Tabela1[[#This Row],[17]])),LEN(Tabela1[[#This Row],[17]])-LEN(SUBSTITUTE(Tabela1[[#This Row],[17]],",",""))+1,1),"")</f>
        <v/>
      </c>
      <c r="AQ319" t="str">
        <f>IF(Tabela1[[#This Row],[18]]&lt;&gt;"",IF(ISNUMBER(FIND(",",Tabela1[[#This Row],[18]])),LEN(Tabela1[[#This Row],[18]])-LEN(SUBSTITUTE(Tabela1[[#This Row],[18]],",",""))+1,1),"")</f>
        <v/>
      </c>
      <c r="AR319" s="13">
        <f>IF(Tabela1[[#This Row],[19_LENGTH]]&lt;&gt;"",IF(ISNUMBER(FIND(",",Tabela1[[#This Row],[19_LENGTH]])),LEN(Tabela1[[#This Row],[19_LENGTH]])-LEN(SUBSTITUTE(Tabela1[[#This Row],[19_LENGTH]],",",""))+1,1),"")</f>
        <v>1</v>
      </c>
      <c r="AS319" s="21">
        <f>SUM(Tabela1[[#This Row],[1_]:[19_]])</f>
        <v>1</v>
      </c>
    </row>
    <row r="320" spans="1:45" x14ac:dyDescent="0.25">
      <c r="A320" s="27" t="s">
        <v>1323</v>
      </c>
      <c r="B320" s="19" t="s">
        <v>466</v>
      </c>
      <c r="C320" s="19">
        <v>186</v>
      </c>
      <c r="D320" s="19" t="s">
        <v>1315</v>
      </c>
      <c r="E320" s="20">
        <v>43502</v>
      </c>
      <c r="F320" s="19"/>
      <c r="G320" s="19"/>
      <c r="H320" s="19"/>
      <c r="I320" s="19">
        <v>69</v>
      </c>
      <c r="J320" s="19"/>
      <c r="K320" s="19"/>
      <c r="L320" s="19"/>
      <c r="M320" s="19"/>
      <c r="N320" s="19"/>
      <c r="O320" s="19"/>
      <c r="P320" s="19"/>
      <c r="Q320" s="19"/>
      <c r="R320" s="19"/>
      <c r="S320" s="19"/>
      <c r="T320" s="19"/>
      <c r="U320" s="19"/>
      <c r="V320" s="19"/>
      <c r="W320" s="19"/>
      <c r="X320" s="19"/>
      <c r="Y320" s="19"/>
      <c r="Z320" t="str">
        <f>IF(Tabela1[[#This Row],[1]]&lt;&gt;"",IF(ISNUMBER(FIND(",",Tabela1[[#This Row],[1]])),LEN(Tabela1[[#This Row],[1]])-LEN(SUBSTITUTE(Tabela1[[#This Row],[1]],",",""))+1,1),"")</f>
        <v/>
      </c>
      <c r="AA320" t="str">
        <f>IF(Tabela1[[#This Row],[2]]&lt;&gt;"",IF(ISNUMBER(FIND(",",Tabela1[[#This Row],[2]])),LEN(Tabela1[[#This Row],[2]])-LEN(SUBSTITUTE(Tabela1[[#This Row],[2]],",",""))+1,1),"")</f>
        <v/>
      </c>
      <c r="AB320" t="str">
        <f>IF(Tabela1[[#This Row],[3]]&lt;&gt;"",IF(ISNUMBER(FIND(",",Tabela1[[#This Row],[3]])),LEN(Tabela1[[#This Row],[3]])-LEN(SUBSTITUTE(Tabela1[[#This Row],[3]],",",""))+1,1),"")</f>
        <v/>
      </c>
      <c r="AC320">
        <f>IF(Tabela1[[#This Row],[4]]&lt;&gt;"",IF(ISNUMBER(FIND(",",Tabela1[[#This Row],[4]])),LEN(Tabela1[[#This Row],[4]])-LEN(SUBSTITUTE(Tabela1[[#This Row],[4]],",",""))+1,1),"")</f>
        <v>1</v>
      </c>
      <c r="AD320" t="str">
        <f>IF(Tabela1[[#This Row],[5]]&lt;&gt;"",IF(ISNUMBER(FIND(",",Tabela1[[#This Row],[5]])),LEN(Tabela1[[#This Row],[5]])-LEN(SUBSTITUTE(Tabela1[[#This Row],[5]],",",""))+1,1),"")</f>
        <v/>
      </c>
      <c r="AE320" t="str">
        <f>IF(Tabela1[[#This Row],[6]]&lt;&gt;"",IF(ISNUMBER(FIND(",",Tabela1[[#This Row],[6]])),LEN(Tabela1[[#This Row],[6]])-LEN(SUBSTITUTE(Tabela1[[#This Row],[6]],",",""))+1,1),"")</f>
        <v/>
      </c>
      <c r="AF320" t="str">
        <f>IF(Tabela1[[#This Row],[7]]&lt;&gt;"",IF(ISNUMBER(FIND(",",Tabela1[[#This Row],[7]])),LEN(Tabela1[[#This Row],[7]])-LEN(SUBSTITUTE(Tabela1[[#This Row],[7]],",",""))+1,1),"")</f>
        <v/>
      </c>
      <c r="AG320" t="str">
        <f>IF(Tabela1[[#This Row],[8]]&lt;&gt;"",IF(ISNUMBER(FIND(",",Tabela1[[#This Row],[8]])),LEN(Tabela1[[#This Row],[8]])-LEN(SUBSTITUTE(Tabela1[[#This Row],[8]],",",""))+1,1),"")</f>
        <v/>
      </c>
      <c r="AH320" t="str">
        <f>IF(Tabela1[[#This Row],[9]]&lt;&gt;"",IF(ISNUMBER(FIND(",",Tabela1[[#This Row],[9]])),LEN(Tabela1[[#This Row],[9]])-LEN(SUBSTITUTE(Tabela1[[#This Row],[9]],",",""))+1,1),"")</f>
        <v/>
      </c>
      <c r="AI320" t="str">
        <f>IF(Tabela1[[#This Row],[10]]&lt;&gt;"",IF(ISNUMBER(FIND(",",Tabela1[[#This Row],[10]])),LEN(Tabela1[[#This Row],[10]])-LEN(SUBSTITUTE(Tabela1[[#This Row],[10]],",",""))+1,1),"")</f>
        <v/>
      </c>
      <c r="AJ320" t="str">
        <f>IF(Tabela1[[#This Row],[11]]&lt;&gt;"",IF(ISNUMBER(FIND(",",Tabela1[[#This Row],[11]])),LEN(Tabela1[[#This Row],[11]])-LEN(SUBSTITUTE(Tabela1[[#This Row],[11]],",",""))+1,1),"")</f>
        <v/>
      </c>
      <c r="AK320" t="str">
        <f>IF(Tabela1[[#This Row],[12]]&lt;&gt;"",IF(ISNUMBER(FIND(",",Tabela1[[#This Row],[12]])),LEN(Tabela1[[#This Row],[12]])-LEN(SUBSTITUTE(Tabela1[[#This Row],[12]],",",""))+1,1),"")</f>
        <v/>
      </c>
      <c r="AL320" t="str">
        <f>IF(Tabela1[[#This Row],[13]]&lt;&gt;"",IF(ISNUMBER(FIND(",",Tabela1[[#This Row],[13]])),LEN(Tabela1[[#This Row],[13]])-LEN(SUBSTITUTE(Tabela1[[#This Row],[13]],",",""))+1,1),"")</f>
        <v/>
      </c>
      <c r="AM320" t="str">
        <f>IF(Tabela1[[#This Row],[14]]&lt;&gt;"",IF(ISNUMBER(FIND(",",Tabela1[[#This Row],[14]])),LEN(Tabela1[[#This Row],[14]])-LEN(SUBSTITUTE(Tabela1[[#This Row],[14]],",",""))+1,1),"")</f>
        <v/>
      </c>
      <c r="AN320" t="str">
        <f>IF(Tabela1[[#This Row],[15]]&lt;&gt;"",IF(ISNUMBER(FIND(",",Tabela1[[#This Row],[15]])),LEN(Tabela1[[#This Row],[15]])-LEN(SUBSTITUTE(Tabela1[[#This Row],[15]],",",""))+1,1),"")</f>
        <v/>
      </c>
      <c r="AO320" t="str">
        <f>IF(Tabela1[[#This Row],[16]]&lt;&gt;"",IF(ISNUMBER(FIND(",",Tabela1[[#This Row],[16]])),LEN(Tabela1[[#This Row],[16]])-LEN(SUBSTITUTE(Tabela1[[#This Row],[16]],",",""))+1,1),"")</f>
        <v/>
      </c>
      <c r="AP320" t="str">
        <f>IF(Tabela1[[#This Row],[17]]&lt;&gt;"",IF(ISNUMBER(FIND(",",Tabela1[[#This Row],[17]])),LEN(Tabela1[[#This Row],[17]])-LEN(SUBSTITUTE(Tabela1[[#This Row],[17]],",",""))+1,1),"")</f>
        <v/>
      </c>
      <c r="AQ320" t="str">
        <f>IF(Tabela1[[#This Row],[18]]&lt;&gt;"",IF(ISNUMBER(FIND(",",Tabela1[[#This Row],[18]])),LEN(Tabela1[[#This Row],[18]])-LEN(SUBSTITUTE(Tabela1[[#This Row],[18]],",",""))+1,1),"")</f>
        <v/>
      </c>
      <c r="AR320" s="13" t="str">
        <f>IF(Tabela1[[#This Row],[19_LENGTH]]&lt;&gt;"",IF(ISNUMBER(FIND(",",Tabela1[[#This Row],[19_LENGTH]])),LEN(Tabela1[[#This Row],[19_LENGTH]])-LEN(SUBSTITUTE(Tabela1[[#This Row],[19_LENGTH]],",",""))+1,1),"")</f>
        <v/>
      </c>
      <c r="AS320" s="21">
        <f>SUM(Tabela1[[#This Row],[1_]:[19_]])</f>
        <v>1</v>
      </c>
    </row>
    <row r="321" spans="1:45" x14ac:dyDescent="0.25">
      <c r="A321" s="27" t="s">
        <v>1323</v>
      </c>
      <c r="B321" s="19" t="s">
        <v>467</v>
      </c>
      <c r="C321" s="19">
        <v>200</v>
      </c>
      <c r="D321" s="19" t="s">
        <v>1314</v>
      </c>
      <c r="E321" s="20">
        <v>43502</v>
      </c>
      <c r="F321" s="19"/>
      <c r="G321" s="19"/>
      <c r="H321" s="19">
        <v>194</v>
      </c>
      <c r="I321" s="19"/>
      <c r="J321" s="19">
        <v>192</v>
      </c>
      <c r="K321" s="19"/>
      <c r="L321" s="19"/>
      <c r="M321" s="19"/>
      <c r="N321" s="19"/>
      <c r="O321" s="19"/>
      <c r="P321" s="19"/>
      <c r="Q321" s="19"/>
      <c r="R321" s="19"/>
      <c r="S321" s="19"/>
      <c r="T321" s="19"/>
      <c r="U321" s="19"/>
      <c r="V321" s="19"/>
      <c r="W321" s="19"/>
      <c r="X321" s="19"/>
      <c r="Y321" s="19"/>
      <c r="Z321" t="str">
        <f>IF(Tabela1[[#This Row],[1]]&lt;&gt;"",IF(ISNUMBER(FIND(",",Tabela1[[#This Row],[1]])),LEN(Tabela1[[#This Row],[1]])-LEN(SUBSTITUTE(Tabela1[[#This Row],[1]],",",""))+1,1),"")</f>
        <v/>
      </c>
      <c r="AA321" t="str">
        <f>IF(Tabela1[[#This Row],[2]]&lt;&gt;"",IF(ISNUMBER(FIND(",",Tabela1[[#This Row],[2]])),LEN(Tabela1[[#This Row],[2]])-LEN(SUBSTITUTE(Tabela1[[#This Row],[2]],",",""))+1,1),"")</f>
        <v/>
      </c>
      <c r="AB321">
        <f>IF(Tabela1[[#This Row],[3]]&lt;&gt;"",IF(ISNUMBER(FIND(",",Tabela1[[#This Row],[3]])),LEN(Tabela1[[#This Row],[3]])-LEN(SUBSTITUTE(Tabela1[[#This Row],[3]],",",""))+1,1),"")</f>
        <v>1</v>
      </c>
      <c r="AC321" t="str">
        <f>IF(Tabela1[[#This Row],[4]]&lt;&gt;"",IF(ISNUMBER(FIND(",",Tabela1[[#This Row],[4]])),LEN(Tabela1[[#This Row],[4]])-LEN(SUBSTITUTE(Tabela1[[#This Row],[4]],",",""))+1,1),"")</f>
        <v/>
      </c>
      <c r="AD321">
        <f>IF(Tabela1[[#This Row],[5]]&lt;&gt;"",IF(ISNUMBER(FIND(",",Tabela1[[#This Row],[5]])),LEN(Tabela1[[#This Row],[5]])-LEN(SUBSTITUTE(Tabela1[[#This Row],[5]],",",""))+1,1),"")</f>
        <v>1</v>
      </c>
      <c r="AE321" t="str">
        <f>IF(Tabela1[[#This Row],[6]]&lt;&gt;"",IF(ISNUMBER(FIND(",",Tabela1[[#This Row],[6]])),LEN(Tabela1[[#This Row],[6]])-LEN(SUBSTITUTE(Tabela1[[#This Row],[6]],",",""))+1,1),"")</f>
        <v/>
      </c>
      <c r="AF321" t="str">
        <f>IF(Tabela1[[#This Row],[7]]&lt;&gt;"",IF(ISNUMBER(FIND(",",Tabela1[[#This Row],[7]])),LEN(Tabela1[[#This Row],[7]])-LEN(SUBSTITUTE(Tabela1[[#This Row],[7]],",",""))+1,1),"")</f>
        <v/>
      </c>
      <c r="AG321" t="str">
        <f>IF(Tabela1[[#This Row],[8]]&lt;&gt;"",IF(ISNUMBER(FIND(",",Tabela1[[#This Row],[8]])),LEN(Tabela1[[#This Row],[8]])-LEN(SUBSTITUTE(Tabela1[[#This Row],[8]],",",""))+1,1),"")</f>
        <v/>
      </c>
      <c r="AH321" t="str">
        <f>IF(Tabela1[[#This Row],[9]]&lt;&gt;"",IF(ISNUMBER(FIND(",",Tabela1[[#This Row],[9]])),LEN(Tabela1[[#This Row],[9]])-LEN(SUBSTITUTE(Tabela1[[#This Row],[9]],",",""))+1,1),"")</f>
        <v/>
      </c>
      <c r="AI321" t="str">
        <f>IF(Tabela1[[#This Row],[10]]&lt;&gt;"",IF(ISNUMBER(FIND(",",Tabela1[[#This Row],[10]])),LEN(Tabela1[[#This Row],[10]])-LEN(SUBSTITUTE(Tabela1[[#This Row],[10]],",",""))+1,1),"")</f>
        <v/>
      </c>
      <c r="AJ321" t="str">
        <f>IF(Tabela1[[#This Row],[11]]&lt;&gt;"",IF(ISNUMBER(FIND(",",Tabela1[[#This Row],[11]])),LEN(Tabela1[[#This Row],[11]])-LEN(SUBSTITUTE(Tabela1[[#This Row],[11]],",",""))+1,1),"")</f>
        <v/>
      </c>
      <c r="AK321" t="str">
        <f>IF(Tabela1[[#This Row],[12]]&lt;&gt;"",IF(ISNUMBER(FIND(",",Tabela1[[#This Row],[12]])),LEN(Tabela1[[#This Row],[12]])-LEN(SUBSTITUTE(Tabela1[[#This Row],[12]],",",""))+1,1),"")</f>
        <v/>
      </c>
      <c r="AL321" t="str">
        <f>IF(Tabela1[[#This Row],[13]]&lt;&gt;"",IF(ISNUMBER(FIND(",",Tabela1[[#This Row],[13]])),LEN(Tabela1[[#This Row],[13]])-LEN(SUBSTITUTE(Tabela1[[#This Row],[13]],",",""))+1,1),"")</f>
        <v/>
      </c>
      <c r="AM321" t="str">
        <f>IF(Tabela1[[#This Row],[14]]&lt;&gt;"",IF(ISNUMBER(FIND(",",Tabela1[[#This Row],[14]])),LEN(Tabela1[[#This Row],[14]])-LEN(SUBSTITUTE(Tabela1[[#This Row],[14]],",",""))+1,1),"")</f>
        <v/>
      </c>
      <c r="AN321" t="str">
        <f>IF(Tabela1[[#This Row],[15]]&lt;&gt;"",IF(ISNUMBER(FIND(",",Tabela1[[#This Row],[15]])),LEN(Tabela1[[#This Row],[15]])-LEN(SUBSTITUTE(Tabela1[[#This Row],[15]],",",""))+1,1),"")</f>
        <v/>
      </c>
      <c r="AO321" t="str">
        <f>IF(Tabela1[[#This Row],[16]]&lt;&gt;"",IF(ISNUMBER(FIND(",",Tabela1[[#This Row],[16]])),LEN(Tabela1[[#This Row],[16]])-LEN(SUBSTITUTE(Tabela1[[#This Row],[16]],",",""))+1,1),"")</f>
        <v/>
      </c>
      <c r="AP321" t="str">
        <f>IF(Tabela1[[#This Row],[17]]&lt;&gt;"",IF(ISNUMBER(FIND(",",Tabela1[[#This Row],[17]])),LEN(Tabela1[[#This Row],[17]])-LEN(SUBSTITUTE(Tabela1[[#This Row],[17]],",",""))+1,1),"")</f>
        <v/>
      </c>
      <c r="AQ321" t="str">
        <f>IF(Tabela1[[#This Row],[18]]&lt;&gt;"",IF(ISNUMBER(FIND(",",Tabela1[[#This Row],[18]])),LEN(Tabela1[[#This Row],[18]])-LEN(SUBSTITUTE(Tabela1[[#This Row],[18]],",",""))+1,1),"")</f>
        <v/>
      </c>
      <c r="AR321" s="13" t="str">
        <f>IF(Tabela1[[#This Row],[19_LENGTH]]&lt;&gt;"",IF(ISNUMBER(FIND(",",Tabela1[[#This Row],[19_LENGTH]])),LEN(Tabela1[[#This Row],[19_LENGTH]])-LEN(SUBSTITUTE(Tabela1[[#This Row],[19_LENGTH]],",",""))+1,1),"")</f>
        <v/>
      </c>
      <c r="AS321" s="21">
        <f>SUM(Tabela1[[#This Row],[1_]:[19_]])</f>
        <v>2</v>
      </c>
    </row>
    <row r="322" spans="1:45" x14ac:dyDescent="0.25">
      <c r="A322" s="27" t="s">
        <v>1323</v>
      </c>
      <c r="B322" s="19" t="s">
        <v>791</v>
      </c>
      <c r="C322" s="19">
        <v>202</v>
      </c>
      <c r="D322" s="19" t="s">
        <v>1314</v>
      </c>
      <c r="E322" s="20">
        <v>43501</v>
      </c>
      <c r="F322" s="19"/>
      <c r="G322" s="19"/>
      <c r="H322" s="19"/>
      <c r="I322" s="19" t="s">
        <v>136</v>
      </c>
      <c r="J322" s="19"/>
      <c r="K322" s="19"/>
      <c r="L322" s="19"/>
      <c r="M322" s="19">
        <v>21</v>
      </c>
      <c r="N322" s="19"/>
      <c r="O322" s="19"/>
      <c r="P322" s="19"/>
      <c r="Q322" s="19"/>
      <c r="R322" s="19"/>
      <c r="S322" s="19"/>
      <c r="T322" s="19"/>
      <c r="U322" s="19"/>
      <c r="V322" s="19"/>
      <c r="W322" s="19"/>
      <c r="X322" s="19"/>
      <c r="Y322" s="19"/>
      <c r="Z322" t="str">
        <f>IF(Tabela1[[#This Row],[1]]&lt;&gt;"",IF(ISNUMBER(FIND(",",Tabela1[[#This Row],[1]])),LEN(Tabela1[[#This Row],[1]])-LEN(SUBSTITUTE(Tabela1[[#This Row],[1]],",",""))+1,1),"")</f>
        <v/>
      </c>
      <c r="AA322" t="str">
        <f>IF(Tabela1[[#This Row],[2]]&lt;&gt;"",IF(ISNUMBER(FIND(",",Tabela1[[#This Row],[2]])),LEN(Tabela1[[#This Row],[2]])-LEN(SUBSTITUTE(Tabela1[[#This Row],[2]],",",""))+1,1),"")</f>
        <v/>
      </c>
      <c r="AB322" t="str">
        <f>IF(Tabela1[[#This Row],[3]]&lt;&gt;"",IF(ISNUMBER(FIND(",",Tabela1[[#This Row],[3]])),LEN(Tabela1[[#This Row],[3]])-LEN(SUBSTITUTE(Tabela1[[#This Row],[3]],",",""))+1,1),"")</f>
        <v/>
      </c>
      <c r="AC322">
        <f>IF(Tabela1[[#This Row],[4]]&lt;&gt;"",IF(ISNUMBER(FIND(",",Tabela1[[#This Row],[4]])),LEN(Tabela1[[#This Row],[4]])-LEN(SUBSTITUTE(Tabela1[[#This Row],[4]],",",""))+1,1),"")</f>
        <v>1</v>
      </c>
      <c r="AD322" t="str">
        <f>IF(Tabela1[[#This Row],[5]]&lt;&gt;"",IF(ISNUMBER(FIND(",",Tabela1[[#This Row],[5]])),LEN(Tabela1[[#This Row],[5]])-LEN(SUBSTITUTE(Tabela1[[#This Row],[5]],",",""))+1,1),"")</f>
        <v/>
      </c>
      <c r="AE322" t="str">
        <f>IF(Tabela1[[#This Row],[6]]&lt;&gt;"",IF(ISNUMBER(FIND(",",Tabela1[[#This Row],[6]])),LEN(Tabela1[[#This Row],[6]])-LEN(SUBSTITUTE(Tabela1[[#This Row],[6]],",",""))+1,1),"")</f>
        <v/>
      </c>
      <c r="AF322" t="str">
        <f>IF(Tabela1[[#This Row],[7]]&lt;&gt;"",IF(ISNUMBER(FIND(",",Tabela1[[#This Row],[7]])),LEN(Tabela1[[#This Row],[7]])-LEN(SUBSTITUTE(Tabela1[[#This Row],[7]],",",""))+1,1),"")</f>
        <v/>
      </c>
      <c r="AG322">
        <f>IF(Tabela1[[#This Row],[8]]&lt;&gt;"",IF(ISNUMBER(FIND(",",Tabela1[[#This Row],[8]])),LEN(Tabela1[[#This Row],[8]])-LEN(SUBSTITUTE(Tabela1[[#This Row],[8]],",",""))+1,1),"")</f>
        <v>1</v>
      </c>
      <c r="AH322" t="str">
        <f>IF(Tabela1[[#This Row],[9]]&lt;&gt;"",IF(ISNUMBER(FIND(",",Tabela1[[#This Row],[9]])),LEN(Tabela1[[#This Row],[9]])-LEN(SUBSTITUTE(Tabela1[[#This Row],[9]],",",""))+1,1),"")</f>
        <v/>
      </c>
      <c r="AI322" t="str">
        <f>IF(Tabela1[[#This Row],[10]]&lt;&gt;"",IF(ISNUMBER(FIND(",",Tabela1[[#This Row],[10]])),LEN(Tabela1[[#This Row],[10]])-LEN(SUBSTITUTE(Tabela1[[#This Row],[10]],",",""))+1,1),"")</f>
        <v/>
      </c>
      <c r="AJ322" t="str">
        <f>IF(Tabela1[[#This Row],[11]]&lt;&gt;"",IF(ISNUMBER(FIND(",",Tabela1[[#This Row],[11]])),LEN(Tabela1[[#This Row],[11]])-LEN(SUBSTITUTE(Tabela1[[#This Row],[11]],",",""))+1,1),"")</f>
        <v/>
      </c>
      <c r="AK322" t="str">
        <f>IF(Tabela1[[#This Row],[12]]&lt;&gt;"",IF(ISNUMBER(FIND(",",Tabela1[[#This Row],[12]])),LEN(Tabela1[[#This Row],[12]])-LEN(SUBSTITUTE(Tabela1[[#This Row],[12]],",",""))+1,1),"")</f>
        <v/>
      </c>
      <c r="AL322" t="str">
        <f>IF(Tabela1[[#This Row],[13]]&lt;&gt;"",IF(ISNUMBER(FIND(",",Tabela1[[#This Row],[13]])),LEN(Tabela1[[#This Row],[13]])-LEN(SUBSTITUTE(Tabela1[[#This Row],[13]],",",""))+1,1),"")</f>
        <v/>
      </c>
      <c r="AM322" t="str">
        <f>IF(Tabela1[[#This Row],[14]]&lt;&gt;"",IF(ISNUMBER(FIND(",",Tabela1[[#This Row],[14]])),LEN(Tabela1[[#This Row],[14]])-LEN(SUBSTITUTE(Tabela1[[#This Row],[14]],",",""))+1,1),"")</f>
        <v/>
      </c>
      <c r="AN322" t="str">
        <f>IF(Tabela1[[#This Row],[15]]&lt;&gt;"",IF(ISNUMBER(FIND(",",Tabela1[[#This Row],[15]])),LEN(Tabela1[[#This Row],[15]])-LEN(SUBSTITUTE(Tabela1[[#This Row],[15]],",",""))+1,1),"")</f>
        <v/>
      </c>
      <c r="AO322" t="str">
        <f>IF(Tabela1[[#This Row],[16]]&lt;&gt;"",IF(ISNUMBER(FIND(",",Tabela1[[#This Row],[16]])),LEN(Tabela1[[#This Row],[16]])-LEN(SUBSTITUTE(Tabela1[[#This Row],[16]],",",""))+1,1),"")</f>
        <v/>
      </c>
      <c r="AP322" t="str">
        <f>IF(Tabela1[[#This Row],[17]]&lt;&gt;"",IF(ISNUMBER(FIND(",",Tabela1[[#This Row],[17]])),LEN(Tabela1[[#This Row],[17]])-LEN(SUBSTITUTE(Tabela1[[#This Row],[17]],",",""))+1,1),"")</f>
        <v/>
      </c>
      <c r="AQ322" t="str">
        <f>IF(Tabela1[[#This Row],[18]]&lt;&gt;"",IF(ISNUMBER(FIND(",",Tabela1[[#This Row],[18]])),LEN(Tabela1[[#This Row],[18]])-LEN(SUBSTITUTE(Tabela1[[#This Row],[18]],",",""))+1,1),"")</f>
        <v/>
      </c>
      <c r="AR322" s="13" t="str">
        <f>IF(Tabela1[[#This Row],[19_LENGTH]]&lt;&gt;"",IF(ISNUMBER(FIND(",",Tabela1[[#This Row],[19_LENGTH]])),LEN(Tabela1[[#This Row],[19_LENGTH]])-LEN(SUBSTITUTE(Tabela1[[#This Row],[19_LENGTH]],",",""))+1,1),"")</f>
        <v/>
      </c>
      <c r="AS322" s="21">
        <f>SUM(Tabela1[[#This Row],[1_]:[19_]])</f>
        <v>2</v>
      </c>
    </row>
    <row r="323" spans="1:45" x14ac:dyDescent="0.25">
      <c r="A323" s="27" t="s">
        <v>1324</v>
      </c>
      <c r="B323" s="19" t="s">
        <v>468</v>
      </c>
      <c r="C323" s="19">
        <v>102</v>
      </c>
      <c r="D323" s="19" t="s">
        <v>1306</v>
      </c>
      <c r="E323" s="20">
        <v>43502</v>
      </c>
      <c r="F323" s="19"/>
      <c r="G323" s="19"/>
      <c r="H323" s="19"/>
      <c r="I323" s="19"/>
      <c r="J323" s="19">
        <v>27</v>
      </c>
      <c r="K323" s="19"/>
      <c r="L323" s="19"/>
      <c r="M323" s="19"/>
      <c r="N323" s="19"/>
      <c r="O323" s="19"/>
      <c r="P323" s="19"/>
      <c r="Q323" s="19"/>
      <c r="R323" s="19"/>
      <c r="S323" s="19"/>
      <c r="T323" s="19"/>
      <c r="U323" s="19"/>
      <c r="V323" s="19"/>
      <c r="W323" s="19"/>
      <c r="X323" s="19"/>
      <c r="Y323" s="19"/>
      <c r="Z323" t="str">
        <f>IF(Tabela1[[#This Row],[1]]&lt;&gt;"",IF(ISNUMBER(FIND(",",Tabela1[[#This Row],[1]])),LEN(Tabela1[[#This Row],[1]])-LEN(SUBSTITUTE(Tabela1[[#This Row],[1]],",",""))+1,1),"")</f>
        <v/>
      </c>
      <c r="AA323" t="str">
        <f>IF(Tabela1[[#This Row],[2]]&lt;&gt;"",IF(ISNUMBER(FIND(",",Tabela1[[#This Row],[2]])),LEN(Tabela1[[#This Row],[2]])-LEN(SUBSTITUTE(Tabela1[[#This Row],[2]],",",""))+1,1),"")</f>
        <v/>
      </c>
      <c r="AB323" t="str">
        <f>IF(Tabela1[[#This Row],[3]]&lt;&gt;"",IF(ISNUMBER(FIND(",",Tabela1[[#This Row],[3]])),LEN(Tabela1[[#This Row],[3]])-LEN(SUBSTITUTE(Tabela1[[#This Row],[3]],",",""))+1,1),"")</f>
        <v/>
      </c>
      <c r="AC323" t="str">
        <f>IF(Tabela1[[#This Row],[4]]&lt;&gt;"",IF(ISNUMBER(FIND(",",Tabela1[[#This Row],[4]])),LEN(Tabela1[[#This Row],[4]])-LEN(SUBSTITUTE(Tabela1[[#This Row],[4]],",",""))+1,1),"")</f>
        <v/>
      </c>
      <c r="AD323">
        <f>IF(Tabela1[[#This Row],[5]]&lt;&gt;"",IF(ISNUMBER(FIND(",",Tabela1[[#This Row],[5]])),LEN(Tabela1[[#This Row],[5]])-LEN(SUBSTITUTE(Tabela1[[#This Row],[5]],",",""))+1,1),"")</f>
        <v>1</v>
      </c>
      <c r="AE323" t="str">
        <f>IF(Tabela1[[#This Row],[6]]&lt;&gt;"",IF(ISNUMBER(FIND(",",Tabela1[[#This Row],[6]])),LEN(Tabela1[[#This Row],[6]])-LEN(SUBSTITUTE(Tabela1[[#This Row],[6]],",",""))+1,1),"")</f>
        <v/>
      </c>
      <c r="AF323" t="str">
        <f>IF(Tabela1[[#This Row],[7]]&lt;&gt;"",IF(ISNUMBER(FIND(",",Tabela1[[#This Row],[7]])),LEN(Tabela1[[#This Row],[7]])-LEN(SUBSTITUTE(Tabela1[[#This Row],[7]],",",""))+1,1),"")</f>
        <v/>
      </c>
      <c r="AG323" t="str">
        <f>IF(Tabela1[[#This Row],[8]]&lt;&gt;"",IF(ISNUMBER(FIND(",",Tabela1[[#This Row],[8]])),LEN(Tabela1[[#This Row],[8]])-LEN(SUBSTITUTE(Tabela1[[#This Row],[8]],",",""))+1,1),"")</f>
        <v/>
      </c>
      <c r="AH323" t="str">
        <f>IF(Tabela1[[#This Row],[9]]&lt;&gt;"",IF(ISNUMBER(FIND(",",Tabela1[[#This Row],[9]])),LEN(Tabela1[[#This Row],[9]])-LEN(SUBSTITUTE(Tabela1[[#This Row],[9]],",",""))+1,1),"")</f>
        <v/>
      </c>
      <c r="AI323" t="str">
        <f>IF(Tabela1[[#This Row],[10]]&lt;&gt;"",IF(ISNUMBER(FIND(",",Tabela1[[#This Row],[10]])),LEN(Tabela1[[#This Row],[10]])-LEN(SUBSTITUTE(Tabela1[[#This Row],[10]],",",""))+1,1),"")</f>
        <v/>
      </c>
      <c r="AJ323" t="str">
        <f>IF(Tabela1[[#This Row],[11]]&lt;&gt;"",IF(ISNUMBER(FIND(",",Tabela1[[#This Row],[11]])),LEN(Tabela1[[#This Row],[11]])-LEN(SUBSTITUTE(Tabela1[[#This Row],[11]],",",""))+1,1),"")</f>
        <v/>
      </c>
      <c r="AK323" t="str">
        <f>IF(Tabela1[[#This Row],[12]]&lt;&gt;"",IF(ISNUMBER(FIND(",",Tabela1[[#This Row],[12]])),LEN(Tabela1[[#This Row],[12]])-LEN(SUBSTITUTE(Tabela1[[#This Row],[12]],",",""))+1,1),"")</f>
        <v/>
      </c>
      <c r="AL323" t="str">
        <f>IF(Tabela1[[#This Row],[13]]&lt;&gt;"",IF(ISNUMBER(FIND(",",Tabela1[[#This Row],[13]])),LEN(Tabela1[[#This Row],[13]])-LEN(SUBSTITUTE(Tabela1[[#This Row],[13]],",",""))+1,1),"")</f>
        <v/>
      </c>
      <c r="AM323" t="str">
        <f>IF(Tabela1[[#This Row],[14]]&lt;&gt;"",IF(ISNUMBER(FIND(",",Tabela1[[#This Row],[14]])),LEN(Tabela1[[#This Row],[14]])-LEN(SUBSTITUTE(Tabela1[[#This Row],[14]],",",""))+1,1),"")</f>
        <v/>
      </c>
      <c r="AN323" t="str">
        <f>IF(Tabela1[[#This Row],[15]]&lt;&gt;"",IF(ISNUMBER(FIND(",",Tabela1[[#This Row],[15]])),LEN(Tabela1[[#This Row],[15]])-LEN(SUBSTITUTE(Tabela1[[#This Row],[15]],",",""))+1,1),"")</f>
        <v/>
      </c>
      <c r="AO323" t="str">
        <f>IF(Tabela1[[#This Row],[16]]&lt;&gt;"",IF(ISNUMBER(FIND(",",Tabela1[[#This Row],[16]])),LEN(Tabela1[[#This Row],[16]])-LEN(SUBSTITUTE(Tabela1[[#This Row],[16]],",",""))+1,1),"")</f>
        <v/>
      </c>
      <c r="AP323" t="str">
        <f>IF(Tabela1[[#This Row],[17]]&lt;&gt;"",IF(ISNUMBER(FIND(",",Tabela1[[#This Row],[17]])),LEN(Tabela1[[#This Row],[17]])-LEN(SUBSTITUTE(Tabela1[[#This Row],[17]],",",""))+1,1),"")</f>
        <v/>
      </c>
      <c r="AQ323" t="str">
        <f>IF(Tabela1[[#This Row],[18]]&lt;&gt;"",IF(ISNUMBER(FIND(",",Tabela1[[#This Row],[18]])),LEN(Tabela1[[#This Row],[18]])-LEN(SUBSTITUTE(Tabela1[[#This Row],[18]],",",""))+1,1),"")</f>
        <v/>
      </c>
      <c r="AR323" s="13" t="str">
        <f>IF(Tabela1[[#This Row],[19_LENGTH]]&lt;&gt;"",IF(ISNUMBER(FIND(",",Tabela1[[#This Row],[19_LENGTH]])),LEN(Tabela1[[#This Row],[19_LENGTH]])-LEN(SUBSTITUTE(Tabela1[[#This Row],[19_LENGTH]],",",""))+1,1),"")</f>
        <v/>
      </c>
      <c r="AS323" s="21">
        <f>SUM(Tabela1[[#This Row],[1_]:[19_]])</f>
        <v>1</v>
      </c>
    </row>
    <row r="324" spans="1:45" x14ac:dyDescent="0.25">
      <c r="A324" s="27" t="s">
        <v>1323</v>
      </c>
      <c r="B324" s="19" t="s">
        <v>792</v>
      </c>
      <c r="C324" s="19">
        <v>212</v>
      </c>
      <c r="D324" s="19" t="s">
        <v>1298</v>
      </c>
      <c r="E324" s="20">
        <v>43505</v>
      </c>
      <c r="F324" s="19"/>
      <c r="G324" s="19"/>
      <c r="H324" s="19"/>
      <c r="I324" s="19"/>
      <c r="J324" s="19">
        <v>55</v>
      </c>
      <c r="K324" s="19"/>
      <c r="L324" s="19"/>
      <c r="M324" s="19"/>
      <c r="N324" s="19"/>
      <c r="O324" s="19"/>
      <c r="P324" s="19"/>
      <c r="Q324" s="19"/>
      <c r="R324" s="19"/>
      <c r="S324" s="19"/>
      <c r="T324" s="19"/>
      <c r="U324" s="19"/>
      <c r="V324" s="19"/>
      <c r="W324" s="19">
        <v>80</v>
      </c>
      <c r="X324" s="19"/>
      <c r="Y324" s="19"/>
      <c r="Z324" t="str">
        <f>IF(Tabela1[[#This Row],[1]]&lt;&gt;"",IF(ISNUMBER(FIND(",",Tabela1[[#This Row],[1]])),LEN(Tabela1[[#This Row],[1]])-LEN(SUBSTITUTE(Tabela1[[#This Row],[1]],",",""))+1,1),"")</f>
        <v/>
      </c>
      <c r="AA324" t="str">
        <f>IF(Tabela1[[#This Row],[2]]&lt;&gt;"",IF(ISNUMBER(FIND(",",Tabela1[[#This Row],[2]])),LEN(Tabela1[[#This Row],[2]])-LEN(SUBSTITUTE(Tabela1[[#This Row],[2]],",",""))+1,1),"")</f>
        <v/>
      </c>
      <c r="AB324" t="str">
        <f>IF(Tabela1[[#This Row],[3]]&lt;&gt;"",IF(ISNUMBER(FIND(",",Tabela1[[#This Row],[3]])),LEN(Tabela1[[#This Row],[3]])-LEN(SUBSTITUTE(Tabela1[[#This Row],[3]],",",""))+1,1),"")</f>
        <v/>
      </c>
      <c r="AC324" t="str">
        <f>IF(Tabela1[[#This Row],[4]]&lt;&gt;"",IF(ISNUMBER(FIND(",",Tabela1[[#This Row],[4]])),LEN(Tabela1[[#This Row],[4]])-LEN(SUBSTITUTE(Tabela1[[#This Row],[4]],",",""))+1,1),"")</f>
        <v/>
      </c>
      <c r="AD324">
        <f>IF(Tabela1[[#This Row],[5]]&lt;&gt;"",IF(ISNUMBER(FIND(",",Tabela1[[#This Row],[5]])),LEN(Tabela1[[#This Row],[5]])-LEN(SUBSTITUTE(Tabela1[[#This Row],[5]],",",""))+1,1),"")</f>
        <v>1</v>
      </c>
      <c r="AE324" t="str">
        <f>IF(Tabela1[[#This Row],[6]]&lt;&gt;"",IF(ISNUMBER(FIND(",",Tabela1[[#This Row],[6]])),LEN(Tabela1[[#This Row],[6]])-LEN(SUBSTITUTE(Tabela1[[#This Row],[6]],",",""))+1,1),"")</f>
        <v/>
      </c>
      <c r="AF324" t="str">
        <f>IF(Tabela1[[#This Row],[7]]&lt;&gt;"",IF(ISNUMBER(FIND(",",Tabela1[[#This Row],[7]])),LEN(Tabela1[[#This Row],[7]])-LEN(SUBSTITUTE(Tabela1[[#This Row],[7]],",",""))+1,1),"")</f>
        <v/>
      </c>
      <c r="AG324" t="str">
        <f>IF(Tabela1[[#This Row],[8]]&lt;&gt;"",IF(ISNUMBER(FIND(",",Tabela1[[#This Row],[8]])),LEN(Tabela1[[#This Row],[8]])-LEN(SUBSTITUTE(Tabela1[[#This Row],[8]],",",""))+1,1),"")</f>
        <v/>
      </c>
      <c r="AH324" t="str">
        <f>IF(Tabela1[[#This Row],[9]]&lt;&gt;"",IF(ISNUMBER(FIND(",",Tabela1[[#This Row],[9]])),LEN(Tabela1[[#This Row],[9]])-LEN(SUBSTITUTE(Tabela1[[#This Row],[9]],",",""))+1,1),"")</f>
        <v/>
      </c>
      <c r="AI324" t="str">
        <f>IF(Tabela1[[#This Row],[10]]&lt;&gt;"",IF(ISNUMBER(FIND(",",Tabela1[[#This Row],[10]])),LEN(Tabela1[[#This Row],[10]])-LEN(SUBSTITUTE(Tabela1[[#This Row],[10]],",",""))+1,1),"")</f>
        <v/>
      </c>
      <c r="AJ324" t="str">
        <f>IF(Tabela1[[#This Row],[11]]&lt;&gt;"",IF(ISNUMBER(FIND(",",Tabela1[[#This Row],[11]])),LEN(Tabela1[[#This Row],[11]])-LEN(SUBSTITUTE(Tabela1[[#This Row],[11]],",",""))+1,1),"")</f>
        <v/>
      </c>
      <c r="AK324" t="str">
        <f>IF(Tabela1[[#This Row],[12]]&lt;&gt;"",IF(ISNUMBER(FIND(",",Tabela1[[#This Row],[12]])),LEN(Tabela1[[#This Row],[12]])-LEN(SUBSTITUTE(Tabela1[[#This Row],[12]],",",""))+1,1),"")</f>
        <v/>
      </c>
      <c r="AL324" t="str">
        <f>IF(Tabela1[[#This Row],[13]]&lt;&gt;"",IF(ISNUMBER(FIND(",",Tabela1[[#This Row],[13]])),LEN(Tabela1[[#This Row],[13]])-LEN(SUBSTITUTE(Tabela1[[#This Row],[13]],",",""))+1,1),"")</f>
        <v/>
      </c>
      <c r="AM324" t="str">
        <f>IF(Tabela1[[#This Row],[14]]&lt;&gt;"",IF(ISNUMBER(FIND(",",Tabela1[[#This Row],[14]])),LEN(Tabela1[[#This Row],[14]])-LEN(SUBSTITUTE(Tabela1[[#This Row],[14]],",",""))+1,1),"")</f>
        <v/>
      </c>
      <c r="AN324" t="str">
        <f>IF(Tabela1[[#This Row],[15]]&lt;&gt;"",IF(ISNUMBER(FIND(",",Tabela1[[#This Row],[15]])),LEN(Tabela1[[#This Row],[15]])-LEN(SUBSTITUTE(Tabela1[[#This Row],[15]],",",""))+1,1),"")</f>
        <v/>
      </c>
      <c r="AO324" t="str">
        <f>IF(Tabela1[[#This Row],[16]]&lt;&gt;"",IF(ISNUMBER(FIND(",",Tabela1[[#This Row],[16]])),LEN(Tabela1[[#This Row],[16]])-LEN(SUBSTITUTE(Tabela1[[#This Row],[16]],",",""))+1,1),"")</f>
        <v/>
      </c>
      <c r="AP324" t="str">
        <f>IF(Tabela1[[#This Row],[17]]&lt;&gt;"",IF(ISNUMBER(FIND(",",Tabela1[[#This Row],[17]])),LEN(Tabela1[[#This Row],[17]])-LEN(SUBSTITUTE(Tabela1[[#This Row],[17]],",",""))+1,1),"")</f>
        <v/>
      </c>
      <c r="AQ324">
        <f>IF(Tabela1[[#This Row],[18]]&lt;&gt;"",IF(ISNUMBER(FIND(",",Tabela1[[#This Row],[18]])),LEN(Tabela1[[#This Row],[18]])-LEN(SUBSTITUTE(Tabela1[[#This Row],[18]],",",""))+1,1),"")</f>
        <v>1</v>
      </c>
      <c r="AR324" s="13" t="str">
        <f>IF(Tabela1[[#This Row],[19_LENGTH]]&lt;&gt;"",IF(ISNUMBER(FIND(",",Tabela1[[#This Row],[19_LENGTH]])),LEN(Tabela1[[#This Row],[19_LENGTH]])-LEN(SUBSTITUTE(Tabela1[[#This Row],[19_LENGTH]],",",""))+1,1),"")</f>
        <v/>
      </c>
      <c r="AS324" s="21">
        <f>SUM(Tabela1[[#This Row],[1_]:[19_]])</f>
        <v>2</v>
      </c>
    </row>
    <row r="325" spans="1:45" x14ac:dyDescent="0.25">
      <c r="A325" s="27" t="s">
        <v>1324</v>
      </c>
      <c r="B325" s="19" t="s">
        <v>469</v>
      </c>
      <c r="C325" s="19">
        <v>100</v>
      </c>
      <c r="D325" s="19" t="s">
        <v>1303</v>
      </c>
      <c r="E325" s="20">
        <v>43505</v>
      </c>
      <c r="F325" s="19"/>
      <c r="G325" s="19"/>
      <c r="H325" s="19"/>
      <c r="I325" s="19">
        <v>57</v>
      </c>
      <c r="J325" s="19">
        <v>61</v>
      </c>
      <c r="K325" s="19"/>
      <c r="L325" s="19"/>
      <c r="M325" s="19"/>
      <c r="N325" s="19"/>
      <c r="O325" s="19"/>
      <c r="P325" s="19"/>
      <c r="Q325" s="19"/>
      <c r="R325" s="19"/>
      <c r="S325" s="19"/>
      <c r="T325" s="19"/>
      <c r="U325" s="19"/>
      <c r="V325" s="19"/>
      <c r="W325" s="19"/>
      <c r="X325" s="19"/>
      <c r="Y325" s="19"/>
      <c r="Z325" t="str">
        <f>IF(Tabela1[[#This Row],[1]]&lt;&gt;"",IF(ISNUMBER(FIND(",",Tabela1[[#This Row],[1]])),LEN(Tabela1[[#This Row],[1]])-LEN(SUBSTITUTE(Tabela1[[#This Row],[1]],",",""))+1,1),"")</f>
        <v/>
      </c>
      <c r="AA325" t="str">
        <f>IF(Tabela1[[#This Row],[2]]&lt;&gt;"",IF(ISNUMBER(FIND(",",Tabela1[[#This Row],[2]])),LEN(Tabela1[[#This Row],[2]])-LEN(SUBSTITUTE(Tabela1[[#This Row],[2]],",",""))+1,1),"")</f>
        <v/>
      </c>
      <c r="AB325" t="str">
        <f>IF(Tabela1[[#This Row],[3]]&lt;&gt;"",IF(ISNUMBER(FIND(",",Tabela1[[#This Row],[3]])),LEN(Tabela1[[#This Row],[3]])-LEN(SUBSTITUTE(Tabela1[[#This Row],[3]],",",""))+1,1),"")</f>
        <v/>
      </c>
      <c r="AC325">
        <f>IF(Tabela1[[#This Row],[4]]&lt;&gt;"",IF(ISNUMBER(FIND(",",Tabela1[[#This Row],[4]])),LEN(Tabela1[[#This Row],[4]])-LEN(SUBSTITUTE(Tabela1[[#This Row],[4]],",",""))+1,1),"")</f>
        <v>1</v>
      </c>
      <c r="AD325">
        <f>IF(Tabela1[[#This Row],[5]]&lt;&gt;"",IF(ISNUMBER(FIND(",",Tabela1[[#This Row],[5]])),LEN(Tabela1[[#This Row],[5]])-LEN(SUBSTITUTE(Tabela1[[#This Row],[5]],",",""))+1,1),"")</f>
        <v>1</v>
      </c>
      <c r="AE325" t="str">
        <f>IF(Tabela1[[#This Row],[6]]&lt;&gt;"",IF(ISNUMBER(FIND(",",Tabela1[[#This Row],[6]])),LEN(Tabela1[[#This Row],[6]])-LEN(SUBSTITUTE(Tabela1[[#This Row],[6]],",",""))+1,1),"")</f>
        <v/>
      </c>
      <c r="AF325" t="str">
        <f>IF(Tabela1[[#This Row],[7]]&lt;&gt;"",IF(ISNUMBER(FIND(",",Tabela1[[#This Row],[7]])),LEN(Tabela1[[#This Row],[7]])-LEN(SUBSTITUTE(Tabela1[[#This Row],[7]],",",""))+1,1),"")</f>
        <v/>
      </c>
      <c r="AG325" t="str">
        <f>IF(Tabela1[[#This Row],[8]]&lt;&gt;"",IF(ISNUMBER(FIND(",",Tabela1[[#This Row],[8]])),LEN(Tabela1[[#This Row],[8]])-LEN(SUBSTITUTE(Tabela1[[#This Row],[8]],",",""))+1,1),"")</f>
        <v/>
      </c>
      <c r="AH325" t="str">
        <f>IF(Tabela1[[#This Row],[9]]&lt;&gt;"",IF(ISNUMBER(FIND(",",Tabela1[[#This Row],[9]])),LEN(Tabela1[[#This Row],[9]])-LEN(SUBSTITUTE(Tabela1[[#This Row],[9]],",",""))+1,1),"")</f>
        <v/>
      </c>
      <c r="AI325" t="str">
        <f>IF(Tabela1[[#This Row],[10]]&lt;&gt;"",IF(ISNUMBER(FIND(",",Tabela1[[#This Row],[10]])),LEN(Tabela1[[#This Row],[10]])-LEN(SUBSTITUTE(Tabela1[[#This Row],[10]],",",""))+1,1),"")</f>
        <v/>
      </c>
      <c r="AJ325" t="str">
        <f>IF(Tabela1[[#This Row],[11]]&lt;&gt;"",IF(ISNUMBER(FIND(",",Tabela1[[#This Row],[11]])),LEN(Tabela1[[#This Row],[11]])-LEN(SUBSTITUTE(Tabela1[[#This Row],[11]],",",""))+1,1),"")</f>
        <v/>
      </c>
      <c r="AK325" t="str">
        <f>IF(Tabela1[[#This Row],[12]]&lt;&gt;"",IF(ISNUMBER(FIND(",",Tabela1[[#This Row],[12]])),LEN(Tabela1[[#This Row],[12]])-LEN(SUBSTITUTE(Tabela1[[#This Row],[12]],",",""))+1,1),"")</f>
        <v/>
      </c>
      <c r="AL325" t="str">
        <f>IF(Tabela1[[#This Row],[13]]&lt;&gt;"",IF(ISNUMBER(FIND(",",Tabela1[[#This Row],[13]])),LEN(Tabela1[[#This Row],[13]])-LEN(SUBSTITUTE(Tabela1[[#This Row],[13]],",",""))+1,1),"")</f>
        <v/>
      </c>
      <c r="AM325" t="str">
        <f>IF(Tabela1[[#This Row],[14]]&lt;&gt;"",IF(ISNUMBER(FIND(",",Tabela1[[#This Row],[14]])),LEN(Tabela1[[#This Row],[14]])-LEN(SUBSTITUTE(Tabela1[[#This Row],[14]],",",""))+1,1),"")</f>
        <v/>
      </c>
      <c r="AN325" t="str">
        <f>IF(Tabela1[[#This Row],[15]]&lt;&gt;"",IF(ISNUMBER(FIND(",",Tabela1[[#This Row],[15]])),LEN(Tabela1[[#This Row],[15]])-LEN(SUBSTITUTE(Tabela1[[#This Row],[15]],",",""))+1,1),"")</f>
        <v/>
      </c>
      <c r="AO325" t="str">
        <f>IF(Tabela1[[#This Row],[16]]&lt;&gt;"",IF(ISNUMBER(FIND(",",Tabela1[[#This Row],[16]])),LEN(Tabela1[[#This Row],[16]])-LEN(SUBSTITUTE(Tabela1[[#This Row],[16]],",",""))+1,1),"")</f>
        <v/>
      </c>
      <c r="AP325" t="str">
        <f>IF(Tabela1[[#This Row],[17]]&lt;&gt;"",IF(ISNUMBER(FIND(",",Tabela1[[#This Row],[17]])),LEN(Tabela1[[#This Row],[17]])-LEN(SUBSTITUTE(Tabela1[[#This Row],[17]],",",""))+1,1),"")</f>
        <v/>
      </c>
      <c r="AQ325" t="str">
        <f>IF(Tabela1[[#This Row],[18]]&lt;&gt;"",IF(ISNUMBER(FIND(",",Tabela1[[#This Row],[18]])),LEN(Tabela1[[#This Row],[18]])-LEN(SUBSTITUTE(Tabela1[[#This Row],[18]],",",""))+1,1),"")</f>
        <v/>
      </c>
      <c r="AR325" s="13" t="str">
        <f>IF(Tabela1[[#This Row],[19_LENGTH]]&lt;&gt;"",IF(ISNUMBER(FIND(",",Tabela1[[#This Row],[19_LENGTH]])),LEN(Tabela1[[#This Row],[19_LENGTH]])-LEN(SUBSTITUTE(Tabela1[[#This Row],[19_LENGTH]],",",""))+1,1),"")</f>
        <v/>
      </c>
      <c r="AS325" s="21">
        <f>SUM(Tabela1[[#This Row],[1_]:[19_]])</f>
        <v>2</v>
      </c>
    </row>
    <row r="326" spans="1:45" x14ac:dyDescent="0.25">
      <c r="A326" s="27" t="s">
        <v>1324</v>
      </c>
      <c r="B326" s="19" t="s">
        <v>470</v>
      </c>
      <c r="C326" s="19">
        <v>76</v>
      </c>
      <c r="D326" s="19" t="s">
        <v>1303</v>
      </c>
      <c r="E326" s="20">
        <v>43505</v>
      </c>
      <c r="F326" s="19"/>
      <c r="G326" s="19"/>
      <c r="H326" s="19"/>
      <c r="I326" s="19" t="s">
        <v>137</v>
      </c>
      <c r="J326" s="19">
        <v>73</v>
      </c>
      <c r="K326" s="19"/>
      <c r="L326" s="19"/>
      <c r="M326" s="19"/>
      <c r="N326" s="19"/>
      <c r="O326" s="19"/>
      <c r="P326" s="19"/>
      <c r="Q326" s="19"/>
      <c r="R326" s="19"/>
      <c r="S326" s="19"/>
      <c r="T326" s="19"/>
      <c r="U326" s="19"/>
      <c r="V326" s="19"/>
      <c r="W326" s="19"/>
      <c r="X326" s="19"/>
      <c r="Y326" s="19"/>
      <c r="Z326" t="str">
        <f>IF(Tabela1[[#This Row],[1]]&lt;&gt;"",IF(ISNUMBER(FIND(",",Tabela1[[#This Row],[1]])),LEN(Tabela1[[#This Row],[1]])-LEN(SUBSTITUTE(Tabela1[[#This Row],[1]],",",""))+1,1),"")</f>
        <v/>
      </c>
      <c r="AA326" t="str">
        <f>IF(Tabela1[[#This Row],[2]]&lt;&gt;"",IF(ISNUMBER(FIND(",",Tabela1[[#This Row],[2]])),LEN(Tabela1[[#This Row],[2]])-LEN(SUBSTITUTE(Tabela1[[#This Row],[2]],",",""))+1,1),"")</f>
        <v/>
      </c>
      <c r="AB326" t="str">
        <f>IF(Tabela1[[#This Row],[3]]&lt;&gt;"",IF(ISNUMBER(FIND(",",Tabela1[[#This Row],[3]])),LEN(Tabela1[[#This Row],[3]])-LEN(SUBSTITUTE(Tabela1[[#This Row],[3]],",",""))+1,1),"")</f>
        <v/>
      </c>
      <c r="AC326">
        <f>IF(Tabela1[[#This Row],[4]]&lt;&gt;"",IF(ISNUMBER(FIND(",",Tabela1[[#This Row],[4]])),LEN(Tabela1[[#This Row],[4]])-LEN(SUBSTITUTE(Tabela1[[#This Row],[4]],",",""))+1,1),"")</f>
        <v>2</v>
      </c>
      <c r="AD326">
        <f>IF(Tabela1[[#This Row],[5]]&lt;&gt;"",IF(ISNUMBER(FIND(",",Tabela1[[#This Row],[5]])),LEN(Tabela1[[#This Row],[5]])-LEN(SUBSTITUTE(Tabela1[[#This Row],[5]],",",""))+1,1),"")</f>
        <v>1</v>
      </c>
      <c r="AE326" t="str">
        <f>IF(Tabela1[[#This Row],[6]]&lt;&gt;"",IF(ISNUMBER(FIND(",",Tabela1[[#This Row],[6]])),LEN(Tabela1[[#This Row],[6]])-LEN(SUBSTITUTE(Tabela1[[#This Row],[6]],",",""))+1,1),"")</f>
        <v/>
      </c>
      <c r="AF326" t="str">
        <f>IF(Tabela1[[#This Row],[7]]&lt;&gt;"",IF(ISNUMBER(FIND(",",Tabela1[[#This Row],[7]])),LEN(Tabela1[[#This Row],[7]])-LEN(SUBSTITUTE(Tabela1[[#This Row],[7]],",",""))+1,1),"")</f>
        <v/>
      </c>
      <c r="AG326" t="str">
        <f>IF(Tabela1[[#This Row],[8]]&lt;&gt;"",IF(ISNUMBER(FIND(",",Tabela1[[#This Row],[8]])),LEN(Tabela1[[#This Row],[8]])-LEN(SUBSTITUTE(Tabela1[[#This Row],[8]],",",""))+1,1),"")</f>
        <v/>
      </c>
      <c r="AH326" t="str">
        <f>IF(Tabela1[[#This Row],[9]]&lt;&gt;"",IF(ISNUMBER(FIND(",",Tabela1[[#This Row],[9]])),LEN(Tabela1[[#This Row],[9]])-LEN(SUBSTITUTE(Tabela1[[#This Row],[9]],",",""))+1,1),"")</f>
        <v/>
      </c>
      <c r="AI326" t="str">
        <f>IF(Tabela1[[#This Row],[10]]&lt;&gt;"",IF(ISNUMBER(FIND(",",Tabela1[[#This Row],[10]])),LEN(Tabela1[[#This Row],[10]])-LEN(SUBSTITUTE(Tabela1[[#This Row],[10]],",",""))+1,1),"")</f>
        <v/>
      </c>
      <c r="AJ326" t="str">
        <f>IF(Tabela1[[#This Row],[11]]&lt;&gt;"",IF(ISNUMBER(FIND(",",Tabela1[[#This Row],[11]])),LEN(Tabela1[[#This Row],[11]])-LEN(SUBSTITUTE(Tabela1[[#This Row],[11]],",",""))+1,1),"")</f>
        <v/>
      </c>
      <c r="AK326" t="str">
        <f>IF(Tabela1[[#This Row],[12]]&lt;&gt;"",IF(ISNUMBER(FIND(",",Tabela1[[#This Row],[12]])),LEN(Tabela1[[#This Row],[12]])-LEN(SUBSTITUTE(Tabela1[[#This Row],[12]],",",""))+1,1),"")</f>
        <v/>
      </c>
      <c r="AL326" t="str">
        <f>IF(Tabela1[[#This Row],[13]]&lt;&gt;"",IF(ISNUMBER(FIND(",",Tabela1[[#This Row],[13]])),LEN(Tabela1[[#This Row],[13]])-LEN(SUBSTITUTE(Tabela1[[#This Row],[13]],",",""))+1,1),"")</f>
        <v/>
      </c>
      <c r="AM326" t="str">
        <f>IF(Tabela1[[#This Row],[14]]&lt;&gt;"",IF(ISNUMBER(FIND(",",Tabela1[[#This Row],[14]])),LEN(Tabela1[[#This Row],[14]])-LEN(SUBSTITUTE(Tabela1[[#This Row],[14]],",",""))+1,1),"")</f>
        <v/>
      </c>
      <c r="AN326" t="str">
        <f>IF(Tabela1[[#This Row],[15]]&lt;&gt;"",IF(ISNUMBER(FIND(",",Tabela1[[#This Row],[15]])),LEN(Tabela1[[#This Row],[15]])-LEN(SUBSTITUTE(Tabela1[[#This Row],[15]],",",""))+1,1),"")</f>
        <v/>
      </c>
      <c r="AO326" t="str">
        <f>IF(Tabela1[[#This Row],[16]]&lt;&gt;"",IF(ISNUMBER(FIND(",",Tabela1[[#This Row],[16]])),LEN(Tabela1[[#This Row],[16]])-LEN(SUBSTITUTE(Tabela1[[#This Row],[16]],",",""))+1,1),"")</f>
        <v/>
      </c>
      <c r="AP326" t="str">
        <f>IF(Tabela1[[#This Row],[17]]&lt;&gt;"",IF(ISNUMBER(FIND(",",Tabela1[[#This Row],[17]])),LEN(Tabela1[[#This Row],[17]])-LEN(SUBSTITUTE(Tabela1[[#This Row],[17]],",",""))+1,1),"")</f>
        <v/>
      </c>
      <c r="AQ326" t="str">
        <f>IF(Tabela1[[#This Row],[18]]&lt;&gt;"",IF(ISNUMBER(FIND(",",Tabela1[[#This Row],[18]])),LEN(Tabela1[[#This Row],[18]])-LEN(SUBSTITUTE(Tabela1[[#This Row],[18]],",",""))+1,1),"")</f>
        <v/>
      </c>
      <c r="AR326" s="13" t="str">
        <f>IF(Tabela1[[#This Row],[19_LENGTH]]&lt;&gt;"",IF(ISNUMBER(FIND(",",Tabela1[[#This Row],[19_LENGTH]])),LEN(Tabela1[[#This Row],[19_LENGTH]])-LEN(SUBSTITUTE(Tabela1[[#This Row],[19_LENGTH]],",",""))+1,1),"")</f>
        <v/>
      </c>
      <c r="AS326" s="21">
        <f>SUM(Tabela1[[#This Row],[1_]:[19_]])</f>
        <v>3</v>
      </c>
    </row>
    <row r="327" spans="1:45" x14ac:dyDescent="0.25">
      <c r="A327" s="27" t="s">
        <v>1324</v>
      </c>
      <c r="B327" s="19" t="s">
        <v>471</v>
      </c>
      <c r="C327" s="19">
        <v>102</v>
      </c>
      <c r="D327" s="19" t="s">
        <v>1306</v>
      </c>
      <c r="E327" s="20">
        <v>43502</v>
      </c>
      <c r="F327" s="19"/>
      <c r="G327" s="19"/>
      <c r="H327" s="19"/>
      <c r="I327" s="19"/>
      <c r="J327" s="19">
        <v>63</v>
      </c>
      <c r="K327" s="19"/>
      <c r="L327" s="19"/>
      <c r="M327" s="19"/>
      <c r="N327" s="19"/>
      <c r="O327" s="19"/>
      <c r="P327" s="19"/>
      <c r="Q327" s="19"/>
      <c r="R327" s="19"/>
      <c r="S327" s="19"/>
      <c r="T327" s="19"/>
      <c r="U327" s="19">
        <v>47</v>
      </c>
      <c r="V327" s="19"/>
      <c r="W327" s="19"/>
      <c r="X327" s="19"/>
      <c r="Y327" s="19"/>
      <c r="Z327" t="str">
        <f>IF(Tabela1[[#This Row],[1]]&lt;&gt;"",IF(ISNUMBER(FIND(",",Tabela1[[#This Row],[1]])),LEN(Tabela1[[#This Row],[1]])-LEN(SUBSTITUTE(Tabela1[[#This Row],[1]],",",""))+1,1),"")</f>
        <v/>
      </c>
      <c r="AA327" t="str">
        <f>IF(Tabela1[[#This Row],[2]]&lt;&gt;"",IF(ISNUMBER(FIND(",",Tabela1[[#This Row],[2]])),LEN(Tabela1[[#This Row],[2]])-LEN(SUBSTITUTE(Tabela1[[#This Row],[2]],",",""))+1,1),"")</f>
        <v/>
      </c>
      <c r="AB327" t="str">
        <f>IF(Tabela1[[#This Row],[3]]&lt;&gt;"",IF(ISNUMBER(FIND(",",Tabela1[[#This Row],[3]])),LEN(Tabela1[[#This Row],[3]])-LEN(SUBSTITUTE(Tabela1[[#This Row],[3]],",",""))+1,1),"")</f>
        <v/>
      </c>
      <c r="AC327" t="str">
        <f>IF(Tabela1[[#This Row],[4]]&lt;&gt;"",IF(ISNUMBER(FIND(",",Tabela1[[#This Row],[4]])),LEN(Tabela1[[#This Row],[4]])-LEN(SUBSTITUTE(Tabela1[[#This Row],[4]],",",""))+1,1),"")</f>
        <v/>
      </c>
      <c r="AD327">
        <f>IF(Tabela1[[#This Row],[5]]&lt;&gt;"",IF(ISNUMBER(FIND(",",Tabela1[[#This Row],[5]])),LEN(Tabela1[[#This Row],[5]])-LEN(SUBSTITUTE(Tabela1[[#This Row],[5]],",",""))+1,1),"")</f>
        <v>1</v>
      </c>
      <c r="AE327" t="str">
        <f>IF(Tabela1[[#This Row],[6]]&lt;&gt;"",IF(ISNUMBER(FIND(",",Tabela1[[#This Row],[6]])),LEN(Tabela1[[#This Row],[6]])-LEN(SUBSTITUTE(Tabela1[[#This Row],[6]],",",""))+1,1),"")</f>
        <v/>
      </c>
      <c r="AF327" t="str">
        <f>IF(Tabela1[[#This Row],[7]]&lt;&gt;"",IF(ISNUMBER(FIND(",",Tabela1[[#This Row],[7]])),LEN(Tabela1[[#This Row],[7]])-LEN(SUBSTITUTE(Tabela1[[#This Row],[7]],",",""))+1,1),"")</f>
        <v/>
      </c>
      <c r="AG327" t="str">
        <f>IF(Tabela1[[#This Row],[8]]&lt;&gt;"",IF(ISNUMBER(FIND(",",Tabela1[[#This Row],[8]])),LEN(Tabela1[[#This Row],[8]])-LEN(SUBSTITUTE(Tabela1[[#This Row],[8]],",",""))+1,1),"")</f>
        <v/>
      </c>
      <c r="AH327" t="str">
        <f>IF(Tabela1[[#This Row],[9]]&lt;&gt;"",IF(ISNUMBER(FIND(",",Tabela1[[#This Row],[9]])),LEN(Tabela1[[#This Row],[9]])-LEN(SUBSTITUTE(Tabela1[[#This Row],[9]],",",""))+1,1),"")</f>
        <v/>
      </c>
      <c r="AI327" t="str">
        <f>IF(Tabela1[[#This Row],[10]]&lt;&gt;"",IF(ISNUMBER(FIND(",",Tabela1[[#This Row],[10]])),LEN(Tabela1[[#This Row],[10]])-LEN(SUBSTITUTE(Tabela1[[#This Row],[10]],",",""))+1,1),"")</f>
        <v/>
      </c>
      <c r="AJ327" t="str">
        <f>IF(Tabela1[[#This Row],[11]]&lt;&gt;"",IF(ISNUMBER(FIND(",",Tabela1[[#This Row],[11]])),LEN(Tabela1[[#This Row],[11]])-LEN(SUBSTITUTE(Tabela1[[#This Row],[11]],",",""))+1,1),"")</f>
        <v/>
      </c>
      <c r="AK327" t="str">
        <f>IF(Tabela1[[#This Row],[12]]&lt;&gt;"",IF(ISNUMBER(FIND(",",Tabela1[[#This Row],[12]])),LEN(Tabela1[[#This Row],[12]])-LEN(SUBSTITUTE(Tabela1[[#This Row],[12]],",",""))+1,1),"")</f>
        <v/>
      </c>
      <c r="AL327" t="str">
        <f>IF(Tabela1[[#This Row],[13]]&lt;&gt;"",IF(ISNUMBER(FIND(",",Tabela1[[#This Row],[13]])),LEN(Tabela1[[#This Row],[13]])-LEN(SUBSTITUTE(Tabela1[[#This Row],[13]],",",""))+1,1),"")</f>
        <v/>
      </c>
      <c r="AM327" t="str">
        <f>IF(Tabela1[[#This Row],[14]]&lt;&gt;"",IF(ISNUMBER(FIND(",",Tabela1[[#This Row],[14]])),LEN(Tabela1[[#This Row],[14]])-LEN(SUBSTITUTE(Tabela1[[#This Row],[14]],",",""))+1,1),"")</f>
        <v/>
      </c>
      <c r="AN327" t="str">
        <f>IF(Tabela1[[#This Row],[15]]&lt;&gt;"",IF(ISNUMBER(FIND(",",Tabela1[[#This Row],[15]])),LEN(Tabela1[[#This Row],[15]])-LEN(SUBSTITUTE(Tabela1[[#This Row],[15]],",",""))+1,1),"")</f>
        <v/>
      </c>
      <c r="AO327">
        <f>IF(Tabela1[[#This Row],[16]]&lt;&gt;"",IF(ISNUMBER(FIND(",",Tabela1[[#This Row],[16]])),LEN(Tabela1[[#This Row],[16]])-LEN(SUBSTITUTE(Tabela1[[#This Row],[16]],",",""))+1,1),"")</f>
        <v>1</v>
      </c>
      <c r="AP327" t="str">
        <f>IF(Tabela1[[#This Row],[17]]&lt;&gt;"",IF(ISNUMBER(FIND(",",Tabela1[[#This Row],[17]])),LEN(Tabela1[[#This Row],[17]])-LEN(SUBSTITUTE(Tabela1[[#This Row],[17]],",",""))+1,1),"")</f>
        <v/>
      </c>
      <c r="AQ327" t="str">
        <f>IF(Tabela1[[#This Row],[18]]&lt;&gt;"",IF(ISNUMBER(FIND(",",Tabela1[[#This Row],[18]])),LEN(Tabela1[[#This Row],[18]])-LEN(SUBSTITUTE(Tabela1[[#This Row],[18]],",",""))+1,1),"")</f>
        <v/>
      </c>
      <c r="AR327" s="13" t="str">
        <f>IF(Tabela1[[#This Row],[19_LENGTH]]&lt;&gt;"",IF(ISNUMBER(FIND(",",Tabela1[[#This Row],[19_LENGTH]])),LEN(Tabela1[[#This Row],[19_LENGTH]])-LEN(SUBSTITUTE(Tabela1[[#This Row],[19_LENGTH]],",",""))+1,1),"")</f>
        <v/>
      </c>
      <c r="AS327" s="21">
        <f>SUM(Tabela1[[#This Row],[1_]:[19_]])</f>
        <v>2</v>
      </c>
    </row>
    <row r="328" spans="1:45" x14ac:dyDescent="0.25">
      <c r="A328" s="27" t="s">
        <v>1323</v>
      </c>
      <c r="B328" s="19" t="s">
        <v>793</v>
      </c>
      <c r="C328" s="19">
        <v>202</v>
      </c>
      <c r="D328" s="19" t="s">
        <v>1298</v>
      </c>
      <c r="E328" s="20">
        <v>43505</v>
      </c>
      <c r="F328" s="19"/>
      <c r="G328" s="19"/>
      <c r="H328" s="19">
        <v>190</v>
      </c>
      <c r="I328" s="19"/>
      <c r="J328" s="19" t="s">
        <v>138</v>
      </c>
      <c r="K328" s="19"/>
      <c r="L328" s="19"/>
      <c r="M328" s="19"/>
      <c r="N328" s="19"/>
      <c r="O328" s="19"/>
      <c r="P328" s="19"/>
      <c r="Q328" s="19"/>
      <c r="R328" s="19"/>
      <c r="S328" s="19"/>
      <c r="T328" s="19"/>
      <c r="U328" s="19"/>
      <c r="V328" s="19"/>
      <c r="W328" s="19"/>
      <c r="X328" s="19"/>
      <c r="Y328" s="19"/>
      <c r="Z328" t="str">
        <f>IF(Tabela1[[#This Row],[1]]&lt;&gt;"",IF(ISNUMBER(FIND(",",Tabela1[[#This Row],[1]])),LEN(Tabela1[[#This Row],[1]])-LEN(SUBSTITUTE(Tabela1[[#This Row],[1]],",",""))+1,1),"")</f>
        <v/>
      </c>
      <c r="AA328" t="str">
        <f>IF(Tabela1[[#This Row],[2]]&lt;&gt;"",IF(ISNUMBER(FIND(",",Tabela1[[#This Row],[2]])),LEN(Tabela1[[#This Row],[2]])-LEN(SUBSTITUTE(Tabela1[[#This Row],[2]],",",""))+1,1),"")</f>
        <v/>
      </c>
      <c r="AB328">
        <f>IF(Tabela1[[#This Row],[3]]&lt;&gt;"",IF(ISNUMBER(FIND(",",Tabela1[[#This Row],[3]])),LEN(Tabela1[[#This Row],[3]])-LEN(SUBSTITUTE(Tabela1[[#This Row],[3]],",",""))+1,1),"")</f>
        <v>1</v>
      </c>
      <c r="AC328" t="str">
        <f>IF(Tabela1[[#This Row],[4]]&lt;&gt;"",IF(ISNUMBER(FIND(",",Tabela1[[#This Row],[4]])),LEN(Tabela1[[#This Row],[4]])-LEN(SUBSTITUTE(Tabela1[[#This Row],[4]],",",""))+1,1),"")</f>
        <v/>
      </c>
      <c r="AD328">
        <f>IF(Tabela1[[#This Row],[5]]&lt;&gt;"",IF(ISNUMBER(FIND(",",Tabela1[[#This Row],[5]])),LEN(Tabela1[[#This Row],[5]])-LEN(SUBSTITUTE(Tabela1[[#This Row],[5]],",",""))+1,1),"")</f>
        <v>2</v>
      </c>
      <c r="AE328" t="str">
        <f>IF(Tabela1[[#This Row],[6]]&lt;&gt;"",IF(ISNUMBER(FIND(",",Tabela1[[#This Row],[6]])),LEN(Tabela1[[#This Row],[6]])-LEN(SUBSTITUTE(Tabela1[[#This Row],[6]],",",""))+1,1),"")</f>
        <v/>
      </c>
      <c r="AF328" t="str">
        <f>IF(Tabela1[[#This Row],[7]]&lt;&gt;"",IF(ISNUMBER(FIND(",",Tabela1[[#This Row],[7]])),LEN(Tabela1[[#This Row],[7]])-LEN(SUBSTITUTE(Tabela1[[#This Row],[7]],",",""))+1,1),"")</f>
        <v/>
      </c>
      <c r="AG328" t="str">
        <f>IF(Tabela1[[#This Row],[8]]&lt;&gt;"",IF(ISNUMBER(FIND(",",Tabela1[[#This Row],[8]])),LEN(Tabela1[[#This Row],[8]])-LEN(SUBSTITUTE(Tabela1[[#This Row],[8]],",",""))+1,1),"")</f>
        <v/>
      </c>
      <c r="AH328" t="str">
        <f>IF(Tabela1[[#This Row],[9]]&lt;&gt;"",IF(ISNUMBER(FIND(",",Tabela1[[#This Row],[9]])),LEN(Tabela1[[#This Row],[9]])-LEN(SUBSTITUTE(Tabela1[[#This Row],[9]],",",""))+1,1),"")</f>
        <v/>
      </c>
      <c r="AI328" t="str">
        <f>IF(Tabela1[[#This Row],[10]]&lt;&gt;"",IF(ISNUMBER(FIND(",",Tabela1[[#This Row],[10]])),LEN(Tabela1[[#This Row],[10]])-LEN(SUBSTITUTE(Tabela1[[#This Row],[10]],",",""))+1,1),"")</f>
        <v/>
      </c>
      <c r="AJ328" t="str">
        <f>IF(Tabela1[[#This Row],[11]]&lt;&gt;"",IF(ISNUMBER(FIND(",",Tabela1[[#This Row],[11]])),LEN(Tabela1[[#This Row],[11]])-LEN(SUBSTITUTE(Tabela1[[#This Row],[11]],",",""))+1,1),"")</f>
        <v/>
      </c>
      <c r="AK328" t="str">
        <f>IF(Tabela1[[#This Row],[12]]&lt;&gt;"",IF(ISNUMBER(FIND(",",Tabela1[[#This Row],[12]])),LEN(Tabela1[[#This Row],[12]])-LEN(SUBSTITUTE(Tabela1[[#This Row],[12]],",",""))+1,1),"")</f>
        <v/>
      </c>
      <c r="AL328" t="str">
        <f>IF(Tabela1[[#This Row],[13]]&lt;&gt;"",IF(ISNUMBER(FIND(",",Tabela1[[#This Row],[13]])),LEN(Tabela1[[#This Row],[13]])-LEN(SUBSTITUTE(Tabela1[[#This Row],[13]],",",""))+1,1),"")</f>
        <v/>
      </c>
      <c r="AM328" t="str">
        <f>IF(Tabela1[[#This Row],[14]]&lt;&gt;"",IF(ISNUMBER(FIND(",",Tabela1[[#This Row],[14]])),LEN(Tabela1[[#This Row],[14]])-LEN(SUBSTITUTE(Tabela1[[#This Row],[14]],",",""))+1,1),"")</f>
        <v/>
      </c>
      <c r="AN328" t="str">
        <f>IF(Tabela1[[#This Row],[15]]&lt;&gt;"",IF(ISNUMBER(FIND(",",Tabela1[[#This Row],[15]])),LEN(Tabela1[[#This Row],[15]])-LEN(SUBSTITUTE(Tabela1[[#This Row],[15]],",",""))+1,1),"")</f>
        <v/>
      </c>
      <c r="AO328" t="str">
        <f>IF(Tabela1[[#This Row],[16]]&lt;&gt;"",IF(ISNUMBER(FIND(",",Tabela1[[#This Row],[16]])),LEN(Tabela1[[#This Row],[16]])-LEN(SUBSTITUTE(Tabela1[[#This Row],[16]],",",""))+1,1),"")</f>
        <v/>
      </c>
      <c r="AP328" t="str">
        <f>IF(Tabela1[[#This Row],[17]]&lt;&gt;"",IF(ISNUMBER(FIND(",",Tabela1[[#This Row],[17]])),LEN(Tabela1[[#This Row],[17]])-LEN(SUBSTITUTE(Tabela1[[#This Row],[17]],",",""))+1,1),"")</f>
        <v/>
      </c>
      <c r="AQ328" t="str">
        <f>IF(Tabela1[[#This Row],[18]]&lt;&gt;"",IF(ISNUMBER(FIND(",",Tabela1[[#This Row],[18]])),LEN(Tabela1[[#This Row],[18]])-LEN(SUBSTITUTE(Tabela1[[#This Row],[18]],",",""))+1,1),"")</f>
        <v/>
      </c>
      <c r="AR328" s="13" t="str">
        <f>IF(Tabela1[[#This Row],[19_LENGTH]]&lt;&gt;"",IF(ISNUMBER(FIND(",",Tabela1[[#This Row],[19_LENGTH]])),LEN(Tabela1[[#This Row],[19_LENGTH]])-LEN(SUBSTITUTE(Tabela1[[#This Row],[19_LENGTH]],",",""))+1,1),"")</f>
        <v/>
      </c>
      <c r="AS328" s="21">
        <f>SUM(Tabela1[[#This Row],[1_]:[19_]])</f>
        <v>3</v>
      </c>
    </row>
    <row r="329" spans="1:45" x14ac:dyDescent="0.25">
      <c r="A329" s="27" t="s">
        <v>1323</v>
      </c>
      <c r="B329" s="19" t="s">
        <v>794</v>
      </c>
      <c r="C329" s="19">
        <v>202</v>
      </c>
      <c r="D329" s="19" t="s">
        <v>1298</v>
      </c>
      <c r="E329" s="20">
        <v>43505</v>
      </c>
      <c r="F329" s="19"/>
      <c r="G329" s="19"/>
      <c r="H329" s="19"/>
      <c r="I329" s="19">
        <v>108</v>
      </c>
      <c r="J329" s="19"/>
      <c r="K329" s="19"/>
      <c r="L329" s="19"/>
      <c r="M329" s="19"/>
      <c r="N329" s="19"/>
      <c r="O329" s="19"/>
      <c r="P329" s="19"/>
      <c r="Q329" s="19"/>
      <c r="R329" s="19"/>
      <c r="S329" s="19"/>
      <c r="T329" s="19"/>
      <c r="U329" s="19"/>
      <c r="V329" s="19"/>
      <c r="W329" s="19"/>
      <c r="X329" s="19"/>
      <c r="Y329" s="19"/>
      <c r="Z329" t="str">
        <f>IF(Tabela1[[#This Row],[1]]&lt;&gt;"",IF(ISNUMBER(FIND(",",Tabela1[[#This Row],[1]])),LEN(Tabela1[[#This Row],[1]])-LEN(SUBSTITUTE(Tabela1[[#This Row],[1]],",",""))+1,1),"")</f>
        <v/>
      </c>
      <c r="AA329" t="str">
        <f>IF(Tabela1[[#This Row],[2]]&lt;&gt;"",IF(ISNUMBER(FIND(",",Tabela1[[#This Row],[2]])),LEN(Tabela1[[#This Row],[2]])-LEN(SUBSTITUTE(Tabela1[[#This Row],[2]],",",""))+1,1),"")</f>
        <v/>
      </c>
      <c r="AB329" t="str">
        <f>IF(Tabela1[[#This Row],[3]]&lt;&gt;"",IF(ISNUMBER(FIND(",",Tabela1[[#This Row],[3]])),LEN(Tabela1[[#This Row],[3]])-LEN(SUBSTITUTE(Tabela1[[#This Row],[3]],",",""))+1,1),"")</f>
        <v/>
      </c>
      <c r="AC329">
        <f>IF(Tabela1[[#This Row],[4]]&lt;&gt;"",IF(ISNUMBER(FIND(",",Tabela1[[#This Row],[4]])),LEN(Tabela1[[#This Row],[4]])-LEN(SUBSTITUTE(Tabela1[[#This Row],[4]],",",""))+1,1),"")</f>
        <v>1</v>
      </c>
      <c r="AD329" t="str">
        <f>IF(Tabela1[[#This Row],[5]]&lt;&gt;"",IF(ISNUMBER(FIND(",",Tabela1[[#This Row],[5]])),LEN(Tabela1[[#This Row],[5]])-LEN(SUBSTITUTE(Tabela1[[#This Row],[5]],",",""))+1,1),"")</f>
        <v/>
      </c>
      <c r="AE329" t="str">
        <f>IF(Tabela1[[#This Row],[6]]&lt;&gt;"",IF(ISNUMBER(FIND(",",Tabela1[[#This Row],[6]])),LEN(Tabela1[[#This Row],[6]])-LEN(SUBSTITUTE(Tabela1[[#This Row],[6]],",",""))+1,1),"")</f>
        <v/>
      </c>
      <c r="AF329" t="str">
        <f>IF(Tabela1[[#This Row],[7]]&lt;&gt;"",IF(ISNUMBER(FIND(",",Tabela1[[#This Row],[7]])),LEN(Tabela1[[#This Row],[7]])-LEN(SUBSTITUTE(Tabela1[[#This Row],[7]],",",""))+1,1),"")</f>
        <v/>
      </c>
      <c r="AG329" t="str">
        <f>IF(Tabela1[[#This Row],[8]]&lt;&gt;"",IF(ISNUMBER(FIND(",",Tabela1[[#This Row],[8]])),LEN(Tabela1[[#This Row],[8]])-LEN(SUBSTITUTE(Tabela1[[#This Row],[8]],",",""))+1,1),"")</f>
        <v/>
      </c>
      <c r="AH329" t="str">
        <f>IF(Tabela1[[#This Row],[9]]&lt;&gt;"",IF(ISNUMBER(FIND(",",Tabela1[[#This Row],[9]])),LEN(Tabela1[[#This Row],[9]])-LEN(SUBSTITUTE(Tabela1[[#This Row],[9]],",",""))+1,1),"")</f>
        <v/>
      </c>
      <c r="AI329" t="str">
        <f>IF(Tabela1[[#This Row],[10]]&lt;&gt;"",IF(ISNUMBER(FIND(",",Tabela1[[#This Row],[10]])),LEN(Tabela1[[#This Row],[10]])-LEN(SUBSTITUTE(Tabela1[[#This Row],[10]],",",""))+1,1),"")</f>
        <v/>
      </c>
      <c r="AJ329" t="str">
        <f>IF(Tabela1[[#This Row],[11]]&lt;&gt;"",IF(ISNUMBER(FIND(",",Tabela1[[#This Row],[11]])),LEN(Tabela1[[#This Row],[11]])-LEN(SUBSTITUTE(Tabela1[[#This Row],[11]],",",""))+1,1),"")</f>
        <v/>
      </c>
      <c r="AK329" t="str">
        <f>IF(Tabela1[[#This Row],[12]]&lt;&gt;"",IF(ISNUMBER(FIND(",",Tabela1[[#This Row],[12]])),LEN(Tabela1[[#This Row],[12]])-LEN(SUBSTITUTE(Tabela1[[#This Row],[12]],",",""))+1,1),"")</f>
        <v/>
      </c>
      <c r="AL329" t="str">
        <f>IF(Tabela1[[#This Row],[13]]&lt;&gt;"",IF(ISNUMBER(FIND(",",Tabela1[[#This Row],[13]])),LEN(Tabela1[[#This Row],[13]])-LEN(SUBSTITUTE(Tabela1[[#This Row],[13]],",",""))+1,1),"")</f>
        <v/>
      </c>
      <c r="AM329" t="str">
        <f>IF(Tabela1[[#This Row],[14]]&lt;&gt;"",IF(ISNUMBER(FIND(",",Tabela1[[#This Row],[14]])),LEN(Tabela1[[#This Row],[14]])-LEN(SUBSTITUTE(Tabela1[[#This Row],[14]],",",""))+1,1),"")</f>
        <v/>
      </c>
      <c r="AN329" t="str">
        <f>IF(Tabela1[[#This Row],[15]]&lt;&gt;"",IF(ISNUMBER(FIND(",",Tabela1[[#This Row],[15]])),LEN(Tabela1[[#This Row],[15]])-LEN(SUBSTITUTE(Tabela1[[#This Row],[15]],",",""))+1,1),"")</f>
        <v/>
      </c>
      <c r="AO329" t="str">
        <f>IF(Tabela1[[#This Row],[16]]&lt;&gt;"",IF(ISNUMBER(FIND(",",Tabela1[[#This Row],[16]])),LEN(Tabela1[[#This Row],[16]])-LEN(SUBSTITUTE(Tabela1[[#This Row],[16]],",",""))+1,1),"")</f>
        <v/>
      </c>
      <c r="AP329" t="str">
        <f>IF(Tabela1[[#This Row],[17]]&lt;&gt;"",IF(ISNUMBER(FIND(",",Tabela1[[#This Row],[17]])),LEN(Tabela1[[#This Row],[17]])-LEN(SUBSTITUTE(Tabela1[[#This Row],[17]],",",""))+1,1),"")</f>
        <v/>
      </c>
      <c r="AQ329" t="str">
        <f>IF(Tabela1[[#This Row],[18]]&lt;&gt;"",IF(ISNUMBER(FIND(",",Tabela1[[#This Row],[18]])),LEN(Tabela1[[#This Row],[18]])-LEN(SUBSTITUTE(Tabela1[[#This Row],[18]],",",""))+1,1),"")</f>
        <v/>
      </c>
      <c r="AR329" s="13" t="str">
        <f>IF(Tabela1[[#This Row],[19_LENGTH]]&lt;&gt;"",IF(ISNUMBER(FIND(",",Tabela1[[#This Row],[19_LENGTH]])),LEN(Tabela1[[#This Row],[19_LENGTH]])-LEN(SUBSTITUTE(Tabela1[[#This Row],[19_LENGTH]],",",""))+1,1),"")</f>
        <v/>
      </c>
      <c r="AS329" s="21">
        <f>SUM(Tabela1[[#This Row],[1_]:[19_]])</f>
        <v>1</v>
      </c>
    </row>
    <row r="330" spans="1:45" x14ac:dyDescent="0.25">
      <c r="A330" s="27" t="s">
        <v>1324</v>
      </c>
      <c r="B330" s="19" t="s">
        <v>472</v>
      </c>
      <c r="C330" s="19">
        <v>102</v>
      </c>
      <c r="D330" s="19" t="s">
        <v>1303</v>
      </c>
      <c r="E330" s="20">
        <v>43505</v>
      </c>
      <c r="F330" s="19"/>
      <c r="G330" s="19"/>
      <c r="H330" s="19"/>
      <c r="I330" s="19">
        <v>52</v>
      </c>
      <c r="J330" s="19"/>
      <c r="K330" s="19"/>
      <c r="L330" s="19"/>
      <c r="M330" s="19"/>
      <c r="N330" s="19"/>
      <c r="O330" s="19"/>
      <c r="P330" s="19"/>
      <c r="Q330" s="19"/>
      <c r="R330" s="19"/>
      <c r="S330" s="19"/>
      <c r="T330" s="19"/>
      <c r="U330" s="19"/>
      <c r="V330" s="19"/>
      <c r="W330" s="19"/>
      <c r="X330" s="19"/>
      <c r="Y330" s="19"/>
      <c r="Z330" t="str">
        <f>IF(Tabela1[[#This Row],[1]]&lt;&gt;"",IF(ISNUMBER(FIND(",",Tabela1[[#This Row],[1]])),LEN(Tabela1[[#This Row],[1]])-LEN(SUBSTITUTE(Tabela1[[#This Row],[1]],",",""))+1,1),"")</f>
        <v/>
      </c>
      <c r="AA330" t="str">
        <f>IF(Tabela1[[#This Row],[2]]&lt;&gt;"",IF(ISNUMBER(FIND(",",Tabela1[[#This Row],[2]])),LEN(Tabela1[[#This Row],[2]])-LEN(SUBSTITUTE(Tabela1[[#This Row],[2]],",",""))+1,1),"")</f>
        <v/>
      </c>
      <c r="AB330" t="str">
        <f>IF(Tabela1[[#This Row],[3]]&lt;&gt;"",IF(ISNUMBER(FIND(",",Tabela1[[#This Row],[3]])),LEN(Tabela1[[#This Row],[3]])-LEN(SUBSTITUTE(Tabela1[[#This Row],[3]],",",""))+1,1),"")</f>
        <v/>
      </c>
      <c r="AC330">
        <f>IF(Tabela1[[#This Row],[4]]&lt;&gt;"",IF(ISNUMBER(FIND(",",Tabela1[[#This Row],[4]])),LEN(Tabela1[[#This Row],[4]])-LEN(SUBSTITUTE(Tabela1[[#This Row],[4]],",",""))+1,1),"")</f>
        <v>1</v>
      </c>
      <c r="AD330" t="str">
        <f>IF(Tabela1[[#This Row],[5]]&lt;&gt;"",IF(ISNUMBER(FIND(",",Tabela1[[#This Row],[5]])),LEN(Tabela1[[#This Row],[5]])-LEN(SUBSTITUTE(Tabela1[[#This Row],[5]],",",""))+1,1),"")</f>
        <v/>
      </c>
      <c r="AE330" t="str">
        <f>IF(Tabela1[[#This Row],[6]]&lt;&gt;"",IF(ISNUMBER(FIND(",",Tabela1[[#This Row],[6]])),LEN(Tabela1[[#This Row],[6]])-LEN(SUBSTITUTE(Tabela1[[#This Row],[6]],",",""))+1,1),"")</f>
        <v/>
      </c>
      <c r="AF330" t="str">
        <f>IF(Tabela1[[#This Row],[7]]&lt;&gt;"",IF(ISNUMBER(FIND(",",Tabela1[[#This Row],[7]])),LEN(Tabela1[[#This Row],[7]])-LEN(SUBSTITUTE(Tabela1[[#This Row],[7]],",",""))+1,1),"")</f>
        <v/>
      </c>
      <c r="AG330" t="str">
        <f>IF(Tabela1[[#This Row],[8]]&lt;&gt;"",IF(ISNUMBER(FIND(",",Tabela1[[#This Row],[8]])),LEN(Tabela1[[#This Row],[8]])-LEN(SUBSTITUTE(Tabela1[[#This Row],[8]],",",""))+1,1),"")</f>
        <v/>
      </c>
      <c r="AH330" t="str">
        <f>IF(Tabela1[[#This Row],[9]]&lt;&gt;"",IF(ISNUMBER(FIND(",",Tabela1[[#This Row],[9]])),LEN(Tabela1[[#This Row],[9]])-LEN(SUBSTITUTE(Tabela1[[#This Row],[9]],",",""))+1,1),"")</f>
        <v/>
      </c>
      <c r="AI330" t="str">
        <f>IF(Tabela1[[#This Row],[10]]&lt;&gt;"",IF(ISNUMBER(FIND(",",Tabela1[[#This Row],[10]])),LEN(Tabela1[[#This Row],[10]])-LEN(SUBSTITUTE(Tabela1[[#This Row],[10]],",",""))+1,1),"")</f>
        <v/>
      </c>
      <c r="AJ330" t="str">
        <f>IF(Tabela1[[#This Row],[11]]&lt;&gt;"",IF(ISNUMBER(FIND(",",Tabela1[[#This Row],[11]])),LEN(Tabela1[[#This Row],[11]])-LEN(SUBSTITUTE(Tabela1[[#This Row],[11]],",",""))+1,1),"")</f>
        <v/>
      </c>
      <c r="AK330" t="str">
        <f>IF(Tabela1[[#This Row],[12]]&lt;&gt;"",IF(ISNUMBER(FIND(",",Tabela1[[#This Row],[12]])),LEN(Tabela1[[#This Row],[12]])-LEN(SUBSTITUTE(Tabela1[[#This Row],[12]],",",""))+1,1),"")</f>
        <v/>
      </c>
      <c r="AL330" t="str">
        <f>IF(Tabela1[[#This Row],[13]]&lt;&gt;"",IF(ISNUMBER(FIND(",",Tabela1[[#This Row],[13]])),LEN(Tabela1[[#This Row],[13]])-LEN(SUBSTITUTE(Tabela1[[#This Row],[13]],",",""))+1,1),"")</f>
        <v/>
      </c>
      <c r="AM330" t="str">
        <f>IF(Tabela1[[#This Row],[14]]&lt;&gt;"",IF(ISNUMBER(FIND(",",Tabela1[[#This Row],[14]])),LEN(Tabela1[[#This Row],[14]])-LEN(SUBSTITUTE(Tabela1[[#This Row],[14]],",",""))+1,1),"")</f>
        <v/>
      </c>
      <c r="AN330" t="str">
        <f>IF(Tabela1[[#This Row],[15]]&lt;&gt;"",IF(ISNUMBER(FIND(",",Tabela1[[#This Row],[15]])),LEN(Tabela1[[#This Row],[15]])-LEN(SUBSTITUTE(Tabela1[[#This Row],[15]],",",""))+1,1),"")</f>
        <v/>
      </c>
      <c r="AO330" t="str">
        <f>IF(Tabela1[[#This Row],[16]]&lt;&gt;"",IF(ISNUMBER(FIND(",",Tabela1[[#This Row],[16]])),LEN(Tabela1[[#This Row],[16]])-LEN(SUBSTITUTE(Tabela1[[#This Row],[16]],",",""))+1,1),"")</f>
        <v/>
      </c>
      <c r="AP330" t="str">
        <f>IF(Tabela1[[#This Row],[17]]&lt;&gt;"",IF(ISNUMBER(FIND(",",Tabela1[[#This Row],[17]])),LEN(Tabela1[[#This Row],[17]])-LEN(SUBSTITUTE(Tabela1[[#This Row],[17]],",",""))+1,1),"")</f>
        <v/>
      </c>
      <c r="AQ330" t="str">
        <f>IF(Tabela1[[#This Row],[18]]&lt;&gt;"",IF(ISNUMBER(FIND(",",Tabela1[[#This Row],[18]])),LEN(Tabela1[[#This Row],[18]])-LEN(SUBSTITUTE(Tabela1[[#This Row],[18]],",",""))+1,1),"")</f>
        <v/>
      </c>
      <c r="AR330" s="13" t="str">
        <f>IF(Tabela1[[#This Row],[19_LENGTH]]&lt;&gt;"",IF(ISNUMBER(FIND(",",Tabela1[[#This Row],[19_LENGTH]])),LEN(Tabela1[[#This Row],[19_LENGTH]])-LEN(SUBSTITUTE(Tabela1[[#This Row],[19_LENGTH]],",",""))+1,1),"")</f>
        <v/>
      </c>
      <c r="AS330" s="21">
        <f>SUM(Tabela1[[#This Row],[1_]:[19_]])</f>
        <v>1</v>
      </c>
    </row>
    <row r="331" spans="1:45" x14ac:dyDescent="0.25">
      <c r="A331" s="27" t="s">
        <v>1324</v>
      </c>
      <c r="B331" s="19" t="s">
        <v>473</v>
      </c>
      <c r="C331" s="19">
        <v>102</v>
      </c>
      <c r="D331" s="19" t="s">
        <v>1303</v>
      </c>
      <c r="E331" s="20">
        <v>43505</v>
      </c>
      <c r="F331" s="19"/>
      <c r="G331" s="19"/>
      <c r="H331" s="19">
        <v>93</v>
      </c>
      <c r="I331" s="19"/>
      <c r="J331" s="19">
        <v>34</v>
      </c>
      <c r="K331" s="19"/>
      <c r="L331" s="19"/>
      <c r="M331" s="19"/>
      <c r="N331" s="19"/>
      <c r="O331" s="19"/>
      <c r="P331" s="19"/>
      <c r="Q331" s="19"/>
      <c r="R331" s="19"/>
      <c r="S331" s="19"/>
      <c r="T331" s="19"/>
      <c r="U331" s="19"/>
      <c r="V331" s="19"/>
      <c r="W331" s="19"/>
      <c r="X331" s="19"/>
      <c r="Y331" s="19"/>
      <c r="Z331" t="str">
        <f>IF(Tabela1[[#This Row],[1]]&lt;&gt;"",IF(ISNUMBER(FIND(",",Tabela1[[#This Row],[1]])),LEN(Tabela1[[#This Row],[1]])-LEN(SUBSTITUTE(Tabela1[[#This Row],[1]],",",""))+1,1),"")</f>
        <v/>
      </c>
      <c r="AA331" t="str">
        <f>IF(Tabela1[[#This Row],[2]]&lt;&gt;"",IF(ISNUMBER(FIND(",",Tabela1[[#This Row],[2]])),LEN(Tabela1[[#This Row],[2]])-LEN(SUBSTITUTE(Tabela1[[#This Row],[2]],",",""))+1,1),"")</f>
        <v/>
      </c>
      <c r="AB331">
        <f>IF(Tabela1[[#This Row],[3]]&lt;&gt;"",IF(ISNUMBER(FIND(",",Tabela1[[#This Row],[3]])),LEN(Tabela1[[#This Row],[3]])-LEN(SUBSTITUTE(Tabela1[[#This Row],[3]],",",""))+1,1),"")</f>
        <v>1</v>
      </c>
      <c r="AC331" t="str">
        <f>IF(Tabela1[[#This Row],[4]]&lt;&gt;"",IF(ISNUMBER(FIND(",",Tabela1[[#This Row],[4]])),LEN(Tabela1[[#This Row],[4]])-LEN(SUBSTITUTE(Tabela1[[#This Row],[4]],",",""))+1,1),"")</f>
        <v/>
      </c>
      <c r="AD331">
        <f>IF(Tabela1[[#This Row],[5]]&lt;&gt;"",IF(ISNUMBER(FIND(",",Tabela1[[#This Row],[5]])),LEN(Tabela1[[#This Row],[5]])-LEN(SUBSTITUTE(Tabela1[[#This Row],[5]],",",""))+1,1),"")</f>
        <v>1</v>
      </c>
      <c r="AE331" t="str">
        <f>IF(Tabela1[[#This Row],[6]]&lt;&gt;"",IF(ISNUMBER(FIND(",",Tabela1[[#This Row],[6]])),LEN(Tabela1[[#This Row],[6]])-LEN(SUBSTITUTE(Tabela1[[#This Row],[6]],",",""))+1,1),"")</f>
        <v/>
      </c>
      <c r="AF331" t="str">
        <f>IF(Tabela1[[#This Row],[7]]&lt;&gt;"",IF(ISNUMBER(FIND(",",Tabela1[[#This Row],[7]])),LEN(Tabela1[[#This Row],[7]])-LEN(SUBSTITUTE(Tabela1[[#This Row],[7]],",",""))+1,1),"")</f>
        <v/>
      </c>
      <c r="AG331" t="str">
        <f>IF(Tabela1[[#This Row],[8]]&lt;&gt;"",IF(ISNUMBER(FIND(",",Tabela1[[#This Row],[8]])),LEN(Tabela1[[#This Row],[8]])-LEN(SUBSTITUTE(Tabela1[[#This Row],[8]],",",""))+1,1),"")</f>
        <v/>
      </c>
      <c r="AH331" t="str">
        <f>IF(Tabela1[[#This Row],[9]]&lt;&gt;"",IF(ISNUMBER(FIND(",",Tabela1[[#This Row],[9]])),LEN(Tabela1[[#This Row],[9]])-LEN(SUBSTITUTE(Tabela1[[#This Row],[9]],",",""))+1,1),"")</f>
        <v/>
      </c>
      <c r="AI331" t="str">
        <f>IF(Tabela1[[#This Row],[10]]&lt;&gt;"",IF(ISNUMBER(FIND(",",Tabela1[[#This Row],[10]])),LEN(Tabela1[[#This Row],[10]])-LEN(SUBSTITUTE(Tabela1[[#This Row],[10]],",",""))+1,1),"")</f>
        <v/>
      </c>
      <c r="AJ331" t="str">
        <f>IF(Tabela1[[#This Row],[11]]&lt;&gt;"",IF(ISNUMBER(FIND(",",Tabela1[[#This Row],[11]])),LEN(Tabela1[[#This Row],[11]])-LEN(SUBSTITUTE(Tabela1[[#This Row],[11]],",",""))+1,1),"")</f>
        <v/>
      </c>
      <c r="AK331" t="str">
        <f>IF(Tabela1[[#This Row],[12]]&lt;&gt;"",IF(ISNUMBER(FIND(",",Tabela1[[#This Row],[12]])),LEN(Tabela1[[#This Row],[12]])-LEN(SUBSTITUTE(Tabela1[[#This Row],[12]],",",""))+1,1),"")</f>
        <v/>
      </c>
      <c r="AL331" t="str">
        <f>IF(Tabela1[[#This Row],[13]]&lt;&gt;"",IF(ISNUMBER(FIND(",",Tabela1[[#This Row],[13]])),LEN(Tabela1[[#This Row],[13]])-LEN(SUBSTITUTE(Tabela1[[#This Row],[13]],",",""))+1,1),"")</f>
        <v/>
      </c>
      <c r="AM331" t="str">
        <f>IF(Tabela1[[#This Row],[14]]&lt;&gt;"",IF(ISNUMBER(FIND(",",Tabela1[[#This Row],[14]])),LEN(Tabela1[[#This Row],[14]])-LEN(SUBSTITUTE(Tabela1[[#This Row],[14]],",",""))+1,1),"")</f>
        <v/>
      </c>
      <c r="AN331" t="str">
        <f>IF(Tabela1[[#This Row],[15]]&lt;&gt;"",IF(ISNUMBER(FIND(",",Tabela1[[#This Row],[15]])),LEN(Tabela1[[#This Row],[15]])-LEN(SUBSTITUTE(Tabela1[[#This Row],[15]],",",""))+1,1),"")</f>
        <v/>
      </c>
      <c r="AO331" t="str">
        <f>IF(Tabela1[[#This Row],[16]]&lt;&gt;"",IF(ISNUMBER(FIND(",",Tabela1[[#This Row],[16]])),LEN(Tabela1[[#This Row],[16]])-LEN(SUBSTITUTE(Tabela1[[#This Row],[16]],",",""))+1,1),"")</f>
        <v/>
      </c>
      <c r="AP331" t="str">
        <f>IF(Tabela1[[#This Row],[17]]&lt;&gt;"",IF(ISNUMBER(FIND(",",Tabela1[[#This Row],[17]])),LEN(Tabela1[[#This Row],[17]])-LEN(SUBSTITUTE(Tabela1[[#This Row],[17]],",",""))+1,1),"")</f>
        <v/>
      </c>
      <c r="AQ331" t="str">
        <f>IF(Tabela1[[#This Row],[18]]&lt;&gt;"",IF(ISNUMBER(FIND(",",Tabela1[[#This Row],[18]])),LEN(Tabela1[[#This Row],[18]])-LEN(SUBSTITUTE(Tabela1[[#This Row],[18]],",",""))+1,1),"")</f>
        <v/>
      </c>
      <c r="AR331" s="13" t="str">
        <f>IF(Tabela1[[#This Row],[19_LENGTH]]&lt;&gt;"",IF(ISNUMBER(FIND(",",Tabela1[[#This Row],[19_LENGTH]])),LEN(Tabela1[[#This Row],[19_LENGTH]])-LEN(SUBSTITUTE(Tabela1[[#This Row],[19_LENGTH]],",",""))+1,1),"")</f>
        <v/>
      </c>
      <c r="AS331" s="21">
        <f>SUM(Tabela1[[#This Row],[1_]:[19_]])</f>
        <v>2</v>
      </c>
    </row>
    <row r="332" spans="1:45" x14ac:dyDescent="0.25">
      <c r="A332" s="27" t="s">
        <v>1324</v>
      </c>
      <c r="B332" s="19" t="s">
        <v>474</v>
      </c>
      <c r="C332" s="19">
        <v>102</v>
      </c>
      <c r="D332" s="19" t="s">
        <v>1303</v>
      </c>
      <c r="E332" s="20">
        <v>43505</v>
      </c>
      <c r="F332" s="19"/>
      <c r="G332" s="19"/>
      <c r="H332" s="19"/>
      <c r="I332" s="19"/>
      <c r="J332" s="19"/>
      <c r="K332" s="19">
        <v>79</v>
      </c>
      <c r="L332" s="19"/>
      <c r="M332" s="19"/>
      <c r="N332" s="19"/>
      <c r="O332" s="19"/>
      <c r="P332" s="19">
        <v>85</v>
      </c>
      <c r="Q332" s="19"/>
      <c r="R332" s="19"/>
      <c r="S332" s="19"/>
      <c r="T332" s="19"/>
      <c r="U332" s="19"/>
      <c r="V332" s="19"/>
      <c r="W332" s="19"/>
      <c r="X332" s="19"/>
      <c r="Y332" s="19"/>
      <c r="Z332" t="str">
        <f>IF(Tabela1[[#This Row],[1]]&lt;&gt;"",IF(ISNUMBER(FIND(",",Tabela1[[#This Row],[1]])),LEN(Tabela1[[#This Row],[1]])-LEN(SUBSTITUTE(Tabela1[[#This Row],[1]],",",""))+1,1),"")</f>
        <v/>
      </c>
      <c r="AA332" t="str">
        <f>IF(Tabela1[[#This Row],[2]]&lt;&gt;"",IF(ISNUMBER(FIND(",",Tabela1[[#This Row],[2]])),LEN(Tabela1[[#This Row],[2]])-LEN(SUBSTITUTE(Tabela1[[#This Row],[2]],",",""))+1,1),"")</f>
        <v/>
      </c>
      <c r="AB332" t="str">
        <f>IF(Tabela1[[#This Row],[3]]&lt;&gt;"",IF(ISNUMBER(FIND(",",Tabela1[[#This Row],[3]])),LEN(Tabela1[[#This Row],[3]])-LEN(SUBSTITUTE(Tabela1[[#This Row],[3]],",",""))+1,1),"")</f>
        <v/>
      </c>
      <c r="AC332" t="str">
        <f>IF(Tabela1[[#This Row],[4]]&lt;&gt;"",IF(ISNUMBER(FIND(",",Tabela1[[#This Row],[4]])),LEN(Tabela1[[#This Row],[4]])-LEN(SUBSTITUTE(Tabela1[[#This Row],[4]],",",""))+1,1),"")</f>
        <v/>
      </c>
      <c r="AD332" t="str">
        <f>IF(Tabela1[[#This Row],[5]]&lt;&gt;"",IF(ISNUMBER(FIND(",",Tabela1[[#This Row],[5]])),LEN(Tabela1[[#This Row],[5]])-LEN(SUBSTITUTE(Tabela1[[#This Row],[5]],",",""))+1,1),"")</f>
        <v/>
      </c>
      <c r="AE332">
        <f>IF(Tabela1[[#This Row],[6]]&lt;&gt;"",IF(ISNUMBER(FIND(",",Tabela1[[#This Row],[6]])),LEN(Tabela1[[#This Row],[6]])-LEN(SUBSTITUTE(Tabela1[[#This Row],[6]],",",""))+1,1),"")</f>
        <v>1</v>
      </c>
      <c r="AF332" t="str">
        <f>IF(Tabela1[[#This Row],[7]]&lt;&gt;"",IF(ISNUMBER(FIND(",",Tabela1[[#This Row],[7]])),LEN(Tabela1[[#This Row],[7]])-LEN(SUBSTITUTE(Tabela1[[#This Row],[7]],",",""))+1,1),"")</f>
        <v/>
      </c>
      <c r="AG332" t="str">
        <f>IF(Tabela1[[#This Row],[8]]&lt;&gt;"",IF(ISNUMBER(FIND(",",Tabela1[[#This Row],[8]])),LEN(Tabela1[[#This Row],[8]])-LEN(SUBSTITUTE(Tabela1[[#This Row],[8]],",",""))+1,1),"")</f>
        <v/>
      </c>
      <c r="AH332" t="str">
        <f>IF(Tabela1[[#This Row],[9]]&lt;&gt;"",IF(ISNUMBER(FIND(",",Tabela1[[#This Row],[9]])),LEN(Tabela1[[#This Row],[9]])-LEN(SUBSTITUTE(Tabela1[[#This Row],[9]],",",""))+1,1),"")</f>
        <v/>
      </c>
      <c r="AI332" t="str">
        <f>IF(Tabela1[[#This Row],[10]]&lt;&gt;"",IF(ISNUMBER(FIND(",",Tabela1[[#This Row],[10]])),LEN(Tabela1[[#This Row],[10]])-LEN(SUBSTITUTE(Tabela1[[#This Row],[10]],",",""))+1,1),"")</f>
        <v/>
      </c>
      <c r="AJ332">
        <f>IF(Tabela1[[#This Row],[11]]&lt;&gt;"",IF(ISNUMBER(FIND(",",Tabela1[[#This Row],[11]])),LEN(Tabela1[[#This Row],[11]])-LEN(SUBSTITUTE(Tabela1[[#This Row],[11]],",",""))+1,1),"")</f>
        <v>1</v>
      </c>
      <c r="AK332" t="str">
        <f>IF(Tabela1[[#This Row],[12]]&lt;&gt;"",IF(ISNUMBER(FIND(",",Tabela1[[#This Row],[12]])),LEN(Tabela1[[#This Row],[12]])-LEN(SUBSTITUTE(Tabela1[[#This Row],[12]],",",""))+1,1),"")</f>
        <v/>
      </c>
      <c r="AL332" t="str">
        <f>IF(Tabela1[[#This Row],[13]]&lt;&gt;"",IF(ISNUMBER(FIND(",",Tabela1[[#This Row],[13]])),LEN(Tabela1[[#This Row],[13]])-LEN(SUBSTITUTE(Tabela1[[#This Row],[13]],",",""))+1,1),"")</f>
        <v/>
      </c>
      <c r="AM332" t="str">
        <f>IF(Tabela1[[#This Row],[14]]&lt;&gt;"",IF(ISNUMBER(FIND(",",Tabela1[[#This Row],[14]])),LEN(Tabela1[[#This Row],[14]])-LEN(SUBSTITUTE(Tabela1[[#This Row],[14]],",",""))+1,1),"")</f>
        <v/>
      </c>
      <c r="AN332" t="str">
        <f>IF(Tabela1[[#This Row],[15]]&lt;&gt;"",IF(ISNUMBER(FIND(",",Tabela1[[#This Row],[15]])),LEN(Tabela1[[#This Row],[15]])-LEN(SUBSTITUTE(Tabela1[[#This Row],[15]],",",""))+1,1),"")</f>
        <v/>
      </c>
      <c r="AO332" t="str">
        <f>IF(Tabela1[[#This Row],[16]]&lt;&gt;"",IF(ISNUMBER(FIND(",",Tabela1[[#This Row],[16]])),LEN(Tabela1[[#This Row],[16]])-LEN(SUBSTITUTE(Tabela1[[#This Row],[16]],",",""))+1,1),"")</f>
        <v/>
      </c>
      <c r="AP332" t="str">
        <f>IF(Tabela1[[#This Row],[17]]&lt;&gt;"",IF(ISNUMBER(FIND(",",Tabela1[[#This Row],[17]])),LEN(Tabela1[[#This Row],[17]])-LEN(SUBSTITUTE(Tabela1[[#This Row],[17]],",",""))+1,1),"")</f>
        <v/>
      </c>
      <c r="AQ332" t="str">
        <f>IF(Tabela1[[#This Row],[18]]&lt;&gt;"",IF(ISNUMBER(FIND(",",Tabela1[[#This Row],[18]])),LEN(Tabela1[[#This Row],[18]])-LEN(SUBSTITUTE(Tabela1[[#This Row],[18]],",",""))+1,1),"")</f>
        <v/>
      </c>
      <c r="AR332" s="13" t="str">
        <f>IF(Tabela1[[#This Row],[19_LENGTH]]&lt;&gt;"",IF(ISNUMBER(FIND(",",Tabela1[[#This Row],[19_LENGTH]])),LEN(Tabela1[[#This Row],[19_LENGTH]])-LEN(SUBSTITUTE(Tabela1[[#This Row],[19_LENGTH]],",",""))+1,1),"")</f>
        <v/>
      </c>
      <c r="AS332" s="21">
        <f>SUM(Tabela1[[#This Row],[1_]:[19_]])</f>
        <v>2</v>
      </c>
    </row>
    <row r="333" spans="1:45" x14ac:dyDescent="0.25">
      <c r="A333" s="27" t="s">
        <v>1323</v>
      </c>
      <c r="B333" s="19" t="s">
        <v>795</v>
      </c>
      <c r="C333" s="19">
        <v>202</v>
      </c>
      <c r="D333" s="19" t="s">
        <v>1297</v>
      </c>
      <c r="E333" s="20">
        <v>43508</v>
      </c>
      <c r="F333" s="19"/>
      <c r="G333" s="19"/>
      <c r="H333" s="19">
        <v>180</v>
      </c>
      <c r="I333" s="19"/>
      <c r="J333" s="19"/>
      <c r="K333" s="19"/>
      <c r="L333" s="19"/>
      <c r="M333" s="19"/>
      <c r="N333" s="19"/>
      <c r="O333" s="19"/>
      <c r="P333" s="19"/>
      <c r="Q333" s="19"/>
      <c r="R333" s="19"/>
      <c r="S333" s="19"/>
      <c r="T333" s="19"/>
      <c r="U333" s="19"/>
      <c r="V333" s="19"/>
      <c r="W333" s="19"/>
      <c r="X333" s="19"/>
      <c r="Y333" s="19"/>
      <c r="Z333" t="str">
        <f>IF(Tabela1[[#This Row],[1]]&lt;&gt;"",IF(ISNUMBER(FIND(",",Tabela1[[#This Row],[1]])),LEN(Tabela1[[#This Row],[1]])-LEN(SUBSTITUTE(Tabela1[[#This Row],[1]],",",""))+1,1),"")</f>
        <v/>
      </c>
      <c r="AA333" t="str">
        <f>IF(Tabela1[[#This Row],[2]]&lt;&gt;"",IF(ISNUMBER(FIND(",",Tabela1[[#This Row],[2]])),LEN(Tabela1[[#This Row],[2]])-LEN(SUBSTITUTE(Tabela1[[#This Row],[2]],",",""))+1,1),"")</f>
        <v/>
      </c>
      <c r="AB333">
        <f>IF(Tabela1[[#This Row],[3]]&lt;&gt;"",IF(ISNUMBER(FIND(",",Tabela1[[#This Row],[3]])),LEN(Tabela1[[#This Row],[3]])-LEN(SUBSTITUTE(Tabela1[[#This Row],[3]],",",""))+1,1),"")</f>
        <v>1</v>
      </c>
      <c r="AC333" t="str">
        <f>IF(Tabela1[[#This Row],[4]]&lt;&gt;"",IF(ISNUMBER(FIND(",",Tabela1[[#This Row],[4]])),LEN(Tabela1[[#This Row],[4]])-LEN(SUBSTITUTE(Tabela1[[#This Row],[4]],",",""))+1,1),"")</f>
        <v/>
      </c>
      <c r="AD333" t="str">
        <f>IF(Tabela1[[#This Row],[5]]&lt;&gt;"",IF(ISNUMBER(FIND(",",Tabela1[[#This Row],[5]])),LEN(Tabela1[[#This Row],[5]])-LEN(SUBSTITUTE(Tabela1[[#This Row],[5]],",",""))+1,1),"")</f>
        <v/>
      </c>
      <c r="AE333" t="str">
        <f>IF(Tabela1[[#This Row],[6]]&lt;&gt;"",IF(ISNUMBER(FIND(",",Tabela1[[#This Row],[6]])),LEN(Tabela1[[#This Row],[6]])-LEN(SUBSTITUTE(Tabela1[[#This Row],[6]],",",""))+1,1),"")</f>
        <v/>
      </c>
      <c r="AF333" t="str">
        <f>IF(Tabela1[[#This Row],[7]]&lt;&gt;"",IF(ISNUMBER(FIND(",",Tabela1[[#This Row],[7]])),LEN(Tabela1[[#This Row],[7]])-LEN(SUBSTITUTE(Tabela1[[#This Row],[7]],",",""))+1,1),"")</f>
        <v/>
      </c>
      <c r="AG333" t="str">
        <f>IF(Tabela1[[#This Row],[8]]&lt;&gt;"",IF(ISNUMBER(FIND(",",Tabela1[[#This Row],[8]])),LEN(Tabela1[[#This Row],[8]])-LEN(SUBSTITUTE(Tabela1[[#This Row],[8]],",",""))+1,1),"")</f>
        <v/>
      </c>
      <c r="AH333" t="str">
        <f>IF(Tabela1[[#This Row],[9]]&lt;&gt;"",IF(ISNUMBER(FIND(",",Tabela1[[#This Row],[9]])),LEN(Tabela1[[#This Row],[9]])-LEN(SUBSTITUTE(Tabela1[[#This Row],[9]],",",""))+1,1),"")</f>
        <v/>
      </c>
      <c r="AI333" t="str">
        <f>IF(Tabela1[[#This Row],[10]]&lt;&gt;"",IF(ISNUMBER(FIND(",",Tabela1[[#This Row],[10]])),LEN(Tabela1[[#This Row],[10]])-LEN(SUBSTITUTE(Tabela1[[#This Row],[10]],",",""))+1,1),"")</f>
        <v/>
      </c>
      <c r="AJ333" t="str">
        <f>IF(Tabela1[[#This Row],[11]]&lt;&gt;"",IF(ISNUMBER(FIND(",",Tabela1[[#This Row],[11]])),LEN(Tabela1[[#This Row],[11]])-LEN(SUBSTITUTE(Tabela1[[#This Row],[11]],",",""))+1,1),"")</f>
        <v/>
      </c>
      <c r="AK333" t="str">
        <f>IF(Tabela1[[#This Row],[12]]&lt;&gt;"",IF(ISNUMBER(FIND(",",Tabela1[[#This Row],[12]])),LEN(Tabela1[[#This Row],[12]])-LEN(SUBSTITUTE(Tabela1[[#This Row],[12]],",",""))+1,1),"")</f>
        <v/>
      </c>
      <c r="AL333" t="str">
        <f>IF(Tabela1[[#This Row],[13]]&lt;&gt;"",IF(ISNUMBER(FIND(",",Tabela1[[#This Row],[13]])),LEN(Tabela1[[#This Row],[13]])-LEN(SUBSTITUTE(Tabela1[[#This Row],[13]],",",""))+1,1),"")</f>
        <v/>
      </c>
      <c r="AM333" t="str">
        <f>IF(Tabela1[[#This Row],[14]]&lt;&gt;"",IF(ISNUMBER(FIND(",",Tabela1[[#This Row],[14]])),LEN(Tabela1[[#This Row],[14]])-LEN(SUBSTITUTE(Tabela1[[#This Row],[14]],",",""))+1,1),"")</f>
        <v/>
      </c>
      <c r="AN333" t="str">
        <f>IF(Tabela1[[#This Row],[15]]&lt;&gt;"",IF(ISNUMBER(FIND(",",Tabela1[[#This Row],[15]])),LEN(Tabela1[[#This Row],[15]])-LEN(SUBSTITUTE(Tabela1[[#This Row],[15]],",",""))+1,1),"")</f>
        <v/>
      </c>
      <c r="AO333" t="str">
        <f>IF(Tabela1[[#This Row],[16]]&lt;&gt;"",IF(ISNUMBER(FIND(",",Tabela1[[#This Row],[16]])),LEN(Tabela1[[#This Row],[16]])-LEN(SUBSTITUTE(Tabela1[[#This Row],[16]],",",""))+1,1),"")</f>
        <v/>
      </c>
      <c r="AP333" t="str">
        <f>IF(Tabela1[[#This Row],[17]]&lt;&gt;"",IF(ISNUMBER(FIND(",",Tabela1[[#This Row],[17]])),LEN(Tabela1[[#This Row],[17]])-LEN(SUBSTITUTE(Tabela1[[#This Row],[17]],",",""))+1,1),"")</f>
        <v/>
      </c>
      <c r="AQ333" t="str">
        <f>IF(Tabela1[[#This Row],[18]]&lt;&gt;"",IF(ISNUMBER(FIND(",",Tabela1[[#This Row],[18]])),LEN(Tabela1[[#This Row],[18]])-LEN(SUBSTITUTE(Tabela1[[#This Row],[18]],",",""))+1,1),"")</f>
        <v/>
      </c>
      <c r="AR333" s="13" t="str">
        <f>IF(Tabela1[[#This Row],[19_LENGTH]]&lt;&gt;"",IF(ISNUMBER(FIND(",",Tabela1[[#This Row],[19_LENGTH]])),LEN(Tabela1[[#This Row],[19_LENGTH]])-LEN(SUBSTITUTE(Tabela1[[#This Row],[19_LENGTH]],",",""))+1,1),"")</f>
        <v/>
      </c>
      <c r="AS333" s="21">
        <f>SUM(Tabela1[[#This Row],[1_]:[19_]])</f>
        <v>1</v>
      </c>
    </row>
    <row r="334" spans="1:45" x14ac:dyDescent="0.25">
      <c r="A334" s="27" t="s">
        <v>1323</v>
      </c>
      <c r="B334" s="19" t="s">
        <v>796</v>
      </c>
      <c r="C334" s="19">
        <v>202</v>
      </c>
      <c r="D334" s="19" t="s">
        <v>1297</v>
      </c>
      <c r="E334" s="20">
        <v>43508</v>
      </c>
      <c r="F334" s="19"/>
      <c r="G334" s="19"/>
      <c r="H334" s="19" t="s">
        <v>139</v>
      </c>
      <c r="I334" s="19"/>
      <c r="J334" s="19"/>
      <c r="K334" s="19"/>
      <c r="L334" s="19"/>
      <c r="M334" s="19"/>
      <c r="N334" s="19"/>
      <c r="O334" s="19"/>
      <c r="P334" s="19"/>
      <c r="Q334" s="19"/>
      <c r="R334" s="19"/>
      <c r="S334" s="19"/>
      <c r="T334" s="19"/>
      <c r="U334" s="19"/>
      <c r="V334" s="19"/>
      <c r="W334" s="19"/>
      <c r="X334" s="19"/>
      <c r="Y334" s="19"/>
      <c r="Z334" t="str">
        <f>IF(Tabela1[[#This Row],[1]]&lt;&gt;"",IF(ISNUMBER(FIND(",",Tabela1[[#This Row],[1]])),LEN(Tabela1[[#This Row],[1]])-LEN(SUBSTITUTE(Tabela1[[#This Row],[1]],",",""))+1,1),"")</f>
        <v/>
      </c>
      <c r="AA334" t="str">
        <f>IF(Tabela1[[#This Row],[2]]&lt;&gt;"",IF(ISNUMBER(FIND(",",Tabela1[[#This Row],[2]])),LEN(Tabela1[[#This Row],[2]])-LEN(SUBSTITUTE(Tabela1[[#This Row],[2]],",",""))+1,1),"")</f>
        <v/>
      </c>
      <c r="AB334">
        <f>IF(Tabela1[[#This Row],[3]]&lt;&gt;"",IF(ISNUMBER(FIND(",",Tabela1[[#This Row],[3]])),LEN(Tabela1[[#This Row],[3]])-LEN(SUBSTITUTE(Tabela1[[#This Row],[3]],",",""))+1,1),"")</f>
        <v>2</v>
      </c>
      <c r="AC334" t="str">
        <f>IF(Tabela1[[#This Row],[4]]&lt;&gt;"",IF(ISNUMBER(FIND(",",Tabela1[[#This Row],[4]])),LEN(Tabela1[[#This Row],[4]])-LEN(SUBSTITUTE(Tabela1[[#This Row],[4]],",",""))+1,1),"")</f>
        <v/>
      </c>
      <c r="AD334" t="str">
        <f>IF(Tabela1[[#This Row],[5]]&lt;&gt;"",IF(ISNUMBER(FIND(",",Tabela1[[#This Row],[5]])),LEN(Tabela1[[#This Row],[5]])-LEN(SUBSTITUTE(Tabela1[[#This Row],[5]],",",""))+1,1),"")</f>
        <v/>
      </c>
      <c r="AE334" t="str">
        <f>IF(Tabela1[[#This Row],[6]]&lt;&gt;"",IF(ISNUMBER(FIND(",",Tabela1[[#This Row],[6]])),LEN(Tabela1[[#This Row],[6]])-LEN(SUBSTITUTE(Tabela1[[#This Row],[6]],",",""))+1,1),"")</f>
        <v/>
      </c>
      <c r="AF334" t="str">
        <f>IF(Tabela1[[#This Row],[7]]&lt;&gt;"",IF(ISNUMBER(FIND(",",Tabela1[[#This Row],[7]])),LEN(Tabela1[[#This Row],[7]])-LEN(SUBSTITUTE(Tabela1[[#This Row],[7]],",",""))+1,1),"")</f>
        <v/>
      </c>
      <c r="AG334" t="str">
        <f>IF(Tabela1[[#This Row],[8]]&lt;&gt;"",IF(ISNUMBER(FIND(",",Tabela1[[#This Row],[8]])),LEN(Tabela1[[#This Row],[8]])-LEN(SUBSTITUTE(Tabela1[[#This Row],[8]],",",""))+1,1),"")</f>
        <v/>
      </c>
      <c r="AH334" t="str">
        <f>IF(Tabela1[[#This Row],[9]]&lt;&gt;"",IF(ISNUMBER(FIND(",",Tabela1[[#This Row],[9]])),LEN(Tabela1[[#This Row],[9]])-LEN(SUBSTITUTE(Tabela1[[#This Row],[9]],",",""))+1,1),"")</f>
        <v/>
      </c>
      <c r="AI334" t="str">
        <f>IF(Tabela1[[#This Row],[10]]&lt;&gt;"",IF(ISNUMBER(FIND(",",Tabela1[[#This Row],[10]])),LEN(Tabela1[[#This Row],[10]])-LEN(SUBSTITUTE(Tabela1[[#This Row],[10]],",",""))+1,1),"")</f>
        <v/>
      </c>
      <c r="AJ334" t="str">
        <f>IF(Tabela1[[#This Row],[11]]&lt;&gt;"",IF(ISNUMBER(FIND(",",Tabela1[[#This Row],[11]])),LEN(Tabela1[[#This Row],[11]])-LEN(SUBSTITUTE(Tabela1[[#This Row],[11]],",",""))+1,1),"")</f>
        <v/>
      </c>
      <c r="AK334" t="str">
        <f>IF(Tabela1[[#This Row],[12]]&lt;&gt;"",IF(ISNUMBER(FIND(",",Tabela1[[#This Row],[12]])),LEN(Tabela1[[#This Row],[12]])-LEN(SUBSTITUTE(Tabela1[[#This Row],[12]],",",""))+1,1),"")</f>
        <v/>
      </c>
      <c r="AL334" t="str">
        <f>IF(Tabela1[[#This Row],[13]]&lt;&gt;"",IF(ISNUMBER(FIND(",",Tabela1[[#This Row],[13]])),LEN(Tabela1[[#This Row],[13]])-LEN(SUBSTITUTE(Tabela1[[#This Row],[13]],",",""))+1,1),"")</f>
        <v/>
      </c>
      <c r="AM334" t="str">
        <f>IF(Tabela1[[#This Row],[14]]&lt;&gt;"",IF(ISNUMBER(FIND(",",Tabela1[[#This Row],[14]])),LEN(Tabela1[[#This Row],[14]])-LEN(SUBSTITUTE(Tabela1[[#This Row],[14]],",",""))+1,1),"")</f>
        <v/>
      </c>
      <c r="AN334" t="str">
        <f>IF(Tabela1[[#This Row],[15]]&lt;&gt;"",IF(ISNUMBER(FIND(",",Tabela1[[#This Row],[15]])),LEN(Tabela1[[#This Row],[15]])-LEN(SUBSTITUTE(Tabela1[[#This Row],[15]],",",""))+1,1),"")</f>
        <v/>
      </c>
      <c r="AO334" t="str">
        <f>IF(Tabela1[[#This Row],[16]]&lt;&gt;"",IF(ISNUMBER(FIND(",",Tabela1[[#This Row],[16]])),LEN(Tabela1[[#This Row],[16]])-LEN(SUBSTITUTE(Tabela1[[#This Row],[16]],",",""))+1,1),"")</f>
        <v/>
      </c>
      <c r="AP334" t="str">
        <f>IF(Tabela1[[#This Row],[17]]&lt;&gt;"",IF(ISNUMBER(FIND(",",Tabela1[[#This Row],[17]])),LEN(Tabela1[[#This Row],[17]])-LEN(SUBSTITUTE(Tabela1[[#This Row],[17]],",",""))+1,1),"")</f>
        <v/>
      </c>
      <c r="AQ334" t="str">
        <f>IF(Tabela1[[#This Row],[18]]&lt;&gt;"",IF(ISNUMBER(FIND(",",Tabela1[[#This Row],[18]])),LEN(Tabela1[[#This Row],[18]])-LEN(SUBSTITUTE(Tabela1[[#This Row],[18]],",",""))+1,1),"")</f>
        <v/>
      </c>
      <c r="AR334" s="13" t="str">
        <f>IF(Tabela1[[#This Row],[19_LENGTH]]&lt;&gt;"",IF(ISNUMBER(FIND(",",Tabela1[[#This Row],[19_LENGTH]])),LEN(Tabela1[[#This Row],[19_LENGTH]])-LEN(SUBSTITUTE(Tabela1[[#This Row],[19_LENGTH]],",",""))+1,1),"")</f>
        <v/>
      </c>
      <c r="AS334" s="21">
        <f>SUM(Tabela1[[#This Row],[1_]:[19_]])</f>
        <v>2</v>
      </c>
    </row>
    <row r="335" spans="1:45" x14ac:dyDescent="0.25">
      <c r="A335" s="27" t="s">
        <v>1323</v>
      </c>
      <c r="B335" s="19" t="s">
        <v>475</v>
      </c>
      <c r="C335" s="19">
        <v>202</v>
      </c>
      <c r="D335" s="19" t="s">
        <v>1314</v>
      </c>
      <c r="E335" s="20">
        <v>43507</v>
      </c>
      <c r="F335" s="19"/>
      <c r="G335" s="19"/>
      <c r="H335" s="19"/>
      <c r="I335" s="19"/>
      <c r="J335" s="19"/>
      <c r="K335" s="19"/>
      <c r="L335" s="19"/>
      <c r="M335" s="19"/>
      <c r="N335" s="19"/>
      <c r="O335" s="19"/>
      <c r="P335" s="19"/>
      <c r="Q335" s="19"/>
      <c r="R335" s="19"/>
      <c r="S335" s="19"/>
      <c r="T335" s="19"/>
      <c r="U335" s="19"/>
      <c r="V335" s="19"/>
      <c r="W335" s="19"/>
      <c r="X335" s="19" t="s">
        <v>131</v>
      </c>
      <c r="Y335" s="19" t="s">
        <v>140</v>
      </c>
      <c r="Z335" t="str">
        <f>IF(Tabela1[[#This Row],[1]]&lt;&gt;"",IF(ISNUMBER(FIND(",",Tabela1[[#This Row],[1]])),LEN(Tabela1[[#This Row],[1]])-LEN(SUBSTITUTE(Tabela1[[#This Row],[1]],",",""))+1,1),"")</f>
        <v/>
      </c>
      <c r="AA335" t="str">
        <f>IF(Tabela1[[#This Row],[2]]&lt;&gt;"",IF(ISNUMBER(FIND(",",Tabela1[[#This Row],[2]])),LEN(Tabela1[[#This Row],[2]])-LEN(SUBSTITUTE(Tabela1[[#This Row],[2]],",",""))+1,1),"")</f>
        <v/>
      </c>
      <c r="AB335" t="str">
        <f>IF(Tabela1[[#This Row],[3]]&lt;&gt;"",IF(ISNUMBER(FIND(",",Tabela1[[#This Row],[3]])),LEN(Tabela1[[#This Row],[3]])-LEN(SUBSTITUTE(Tabela1[[#This Row],[3]],",",""))+1,1),"")</f>
        <v/>
      </c>
      <c r="AC335" t="str">
        <f>IF(Tabela1[[#This Row],[4]]&lt;&gt;"",IF(ISNUMBER(FIND(",",Tabela1[[#This Row],[4]])),LEN(Tabela1[[#This Row],[4]])-LEN(SUBSTITUTE(Tabela1[[#This Row],[4]],",",""))+1,1),"")</f>
        <v/>
      </c>
      <c r="AD335" t="str">
        <f>IF(Tabela1[[#This Row],[5]]&lt;&gt;"",IF(ISNUMBER(FIND(",",Tabela1[[#This Row],[5]])),LEN(Tabela1[[#This Row],[5]])-LEN(SUBSTITUTE(Tabela1[[#This Row],[5]],",",""))+1,1),"")</f>
        <v/>
      </c>
      <c r="AE335" t="str">
        <f>IF(Tabela1[[#This Row],[6]]&lt;&gt;"",IF(ISNUMBER(FIND(",",Tabela1[[#This Row],[6]])),LEN(Tabela1[[#This Row],[6]])-LEN(SUBSTITUTE(Tabela1[[#This Row],[6]],",",""))+1,1),"")</f>
        <v/>
      </c>
      <c r="AF335" t="str">
        <f>IF(Tabela1[[#This Row],[7]]&lt;&gt;"",IF(ISNUMBER(FIND(",",Tabela1[[#This Row],[7]])),LEN(Tabela1[[#This Row],[7]])-LEN(SUBSTITUTE(Tabela1[[#This Row],[7]],",",""))+1,1),"")</f>
        <v/>
      </c>
      <c r="AG335" t="str">
        <f>IF(Tabela1[[#This Row],[8]]&lt;&gt;"",IF(ISNUMBER(FIND(",",Tabela1[[#This Row],[8]])),LEN(Tabela1[[#This Row],[8]])-LEN(SUBSTITUTE(Tabela1[[#This Row],[8]],",",""))+1,1),"")</f>
        <v/>
      </c>
      <c r="AH335" t="str">
        <f>IF(Tabela1[[#This Row],[9]]&lt;&gt;"",IF(ISNUMBER(FIND(",",Tabela1[[#This Row],[9]])),LEN(Tabela1[[#This Row],[9]])-LEN(SUBSTITUTE(Tabela1[[#This Row],[9]],",",""))+1,1),"")</f>
        <v/>
      </c>
      <c r="AI335" t="str">
        <f>IF(Tabela1[[#This Row],[10]]&lt;&gt;"",IF(ISNUMBER(FIND(",",Tabela1[[#This Row],[10]])),LEN(Tabela1[[#This Row],[10]])-LEN(SUBSTITUTE(Tabela1[[#This Row],[10]],",",""))+1,1),"")</f>
        <v/>
      </c>
      <c r="AJ335" t="str">
        <f>IF(Tabela1[[#This Row],[11]]&lt;&gt;"",IF(ISNUMBER(FIND(",",Tabela1[[#This Row],[11]])),LEN(Tabela1[[#This Row],[11]])-LEN(SUBSTITUTE(Tabela1[[#This Row],[11]],",",""))+1,1),"")</f>
        <v/>
      </c>
      <c r="AK335" t="str">
        <f>IF(Tabela1[[#This Row],[12]]&lt;&gt;"",IF(ISNUMBER(FIND(",",Tabela1[[#This Row],[12]])),LEN(Tabela1[[#This Row],[12]])-LEN(SUBSTITUTE(Tabela1[[#This Row],[12]],",",""))+1,1),"")</f>
        <v/>
      </c>
      <c r="AL335" t="str">
        <f>IF(Tabela1[[#This Row],[13]]&lt;&gt;"",IF(ISNUMBER(FIND(",",Tabela1[[#This Row],[13]])),LEN(Tabela1[[#This Row],[13]])-LEN(SUBSTITUTE(Tabela1[[#This Row],[13]],",",""))+1,1),"")</f>
        <v/>
      </c>
      <c r="AM335" t="str">
        <f>IF(Tabela1[[#This Row],[14]]&lt;&gt;"",IF(ISNUMBER(FIND(",",Tabela1[[#This Row],[14]])),LEN(Tabela1[[#This Row],[14]])-LEN(SUBSTITUTE(Tabela1[[#This Row],[14]],",",""))+1,1),"")</f>
        <v/>
      </c>
      <c r="AN335" t="str">
        <f>IF(Tabela1[[#This Row],[15]]&lt;&gt;"",IF(ISNUMBER(FIND(",",Tabela1[[#This Row],[15]])),LEN(Tabela1[[#This Row],[15]])-LEN(SUBSTITUTE(Tabela1[[#This Row],[15]],",",""))+1,1),"")</f>
        <v/>
      </c>
      <c r="AO335" t="str">
        <f>IF(Tabela1[[#This Row],[16]]&lt;&gt;"",IF(ISNUMBER(FIND(",",Tabela1[[#This Row],[16]])),LEN(Tabela1[[#This Row],[16]])-LEN(SUBSTITUTE(Tabela1[[#This Row],[16]],",",""))+1,1),"")</f>
        <v/>
      </c>
      <c r="AP335" t="str">
        <f>IF(Tabela1[[#This Row],[17]]&lt;&gt;"",IF(ISNUMBER(FIND(",",Tabela1[[#This Row],[17]])),LEN(Tabela1[[#This Row],[17]])-LEN(SUBSTITUTE(Tabela1[[#This Row],[17]],",",""))+1,1),"")</f>
        <v/>
      </c>
      <c r="AQ335" t="str">
        <f>IF(Tabela1[[#This Row],[18]]&lt;&gt;"",IF(ISNUMBER(FIND(",",Tabela1[[#This Row],[18]])),LEN(Tabela1[[#This Row],[18]])-LEN(SUBSTITUTE(Tabela1[[#This Row],[18]],",",""))+1,1),"")</f>
        <v/>
      </c>
      <c r="AR335" s="13">
        <f>IF(Tabela1[[#This Row],[19_LENGTH]]&lt;&gt;"",IF(ISNUMBER(FIND(",",Tabela1[[#This Row],[19_LENGTH]])),LEN(Tabela1[[#This Row],[19_LENGTH]])-LEN(SUBSTITUTE(Tabela1[[#This Row],[19_LENGTH]],",",""))+1,1),"")</f>
        <v>1</v>
      </c>
      <c r="AS335" s="21">
        <f>SUM(Tabela1[[#This Row],[1_]:[19_]])</f>
        <v>1</v>
      </c>
    </row>
    <row r="336" spans="1:45" x14ac:dyDescent="0.25">
      <c r="A336" s="27" t="s">
        <v>1324</v>
      </c>
      <c r="B336" s="19" t="s">
        <v>797</v>
      </c>
      <c r="C336" s="19">
        <v>102</v>
      </c>
      <c r="D336" s="19" t="s">
        <v>1306</v>
      </c>
      <c r="E336" s="20">
        <v>43507</v>
      </c>
      <c r="F336" s="19"/>
      <c r="G336" s="19"/>
      <c r="H336" s="19"/>
      <c r="I336" s="19">
        <v>15</v>
      </c>
      <c r="J336" s="19"/>
      <c r="K336" s="19"/>
      <c r="L336" s="19"/>
      <c r="M336" s="19"/>
      <c r="N336" s="19"/>
      <c r="O336" s="19"/>
      <c r="P336" s="19"/>
      <c r="Q336" s="19"/>
      <c r="R336" s="19"/>
      <c r="S336" s="19"/>
      <c r="T336" s="19"/>
      <c r="U336" s="19"/>
      <c r="V336" s="19"/>
      <c r="W336" s="19"/>
      <c r="X336" s="19"/>
      <c r="Y336" s="19"/>
      <c r="Z336" t="str">
        <f>IF(Tabela1[[#This Row],[1]]&lt;&gt;"",IF(ISNUMBER(FIND(",",Tabela1[[#This Row],[1]])),LEN(Tabela1[[#This Row],[1]])-LEN(SUBSTITUTE(Tabela1[[#This Row],[1]],",",""))+1,1),"")</f>
        <v/>
      </c>
      <c r="AA336" t="str">
        <f>IF(Tabela1[[#This Row],[2]]&lt;&gt;"",IF(ISNUMBER(FIND(",",Tabela1[[#This Row],[2]])),LEN(Tabela1[[#This Row],[2]])-LEN(SUBSTITUTE(Tabela1[[#This Row],[2]],",",""))+1,1),"")</f>
        <v/>
      </c>
      <c r="AB336" t="str">
        <f>IF(Tabela1[[#This Row],[3]]&lt;&gt;"",IF(ISNUMBER(FIND(",",Tabela1[[#This Row],[3]])),LEN(Tabela1[[#This Row],[3]])-LEN(SUBSTITUTE(Tabela1[[#This Row],[3]],",",""))+1,1),"")</f>
        <v/>
      </c>
      <c r="AC336">
        <f>IF(Tabela1[[#This Row],[4]]&lt;&gt;"",IF(ISNUMBER(FIND(",",Tabela1[[#This Row],[4]])),LEN(Tabela1[[#This Row],[4]])-LEN(SUBSTITUTE(Tabela1[[#This Row],[4]],",",""))+1,1),"")</f>
        <v>1</v>
      </c>
      <c r="AD336" t="str">
        <f>IF(Tabela1[[#This Row],[5]]&lt;&gt;"",IF(ISNUMBER(FIND(",",Tabela1[[#This Row],[5]])),LEN(Tabela1[[#This Row],[5]])-LEN(SUBSTITUTE(Tabela1[[#This Row],[5]],",",""))+1,1),"")</f>
        <v/>
      </c>
      <c r="AE336" t="str">
        <f>IF(Tabela1[[#This Row],[6]]&lt;&gt;"",IF(ISNUMBER(FIND(",",Tabela1[[#This Row],[6]])),LEN(Tabela1[[#This Row],[6]])-LEN(SUBSTITUTE(Tabela1[[#This Row],[6]],",",""))+1,1),"")</f>
        <v/>
      </c>
      <c r="AF336" t="str">
        <f>IF(Tabela1[[#This Row],[7]]&lt;&gt;"",IF(ISNUMBER(FIND(",",Tabela1[[#This Row],[7]])),LEN(Tabela1[[#This Row],[7]])-LEN(SUBSTITUTE(Tabela1[[#This Row],[7]],",",""))+1,1),"")</f>
        <v/>
      </c>
      <c r="AG336" t="str">
        <f>IF(Tabela1[[#This Row],[8]]&lt;&gt;"",IF(ISNUMBER(FIND(",",Tabela1[[#This Row],[8]])),LEN(Tabela1[[#This Row],[8]])-LEN(SUBSTITUTE(Tabela1[[#This Row],[8]],",",""))+1,1),"")</f>
        <v/>
      </c>
      <c r="AH336" t="str">
        <f>IF(Tabela1[[#This Row],[9]]&lt;&gt;"",IF(ISNUMBER(FIND(",",Tabela1[[#This Row],[9]])),LEN(Tabela1[[#This Row],[9]])-LEN(SUBSTITUTE(Tabela1[[#This Row],[9]],",",""))+1,1),"")</f>
        <v/>
      </c>
      <c r="AI336" t="str">
        <f>IF(Tabela1[[#This Row],[10]]&lt;&gt;"",IF(ISNUMBER(FIND(",",Tabela1[[#This Row],[10]])),LEN(Tabela1[[#This Row],[10]])-LEN(SUBSTITUTE(Tabela1[[#This Row],[10]],",",""))+1,1),"")</f>
        <v/>
      </c>
      <c r="AJ336" t="str">
        <f>IF(Tabela1[[#This Row],[11]]&lt;&gt;"",IF(ISNUMBER(FIND(",",Tabela1[[#This Row],[11]])),LEN(Tabela1[[#This Row],[11]])-LEN(SUBSTITUTE(Tabela1[[#This Row],[11]],",",""))+1,1),"")</f>
        <v/>
      </c>
      <c r="AK336" t="str">
        <f>IF(Tabela1[[#This Row],[12]]&lt;&gt;"",IF(ISNUMBER(FIND(",",Tabela1[[#This Row],[12]])),LEN(Tabela1[[#This Row],[12]])-LEN(SUBSTITUTE(Tabela1[[#This Row],[12]],",",""))+1,1),"")</f>
        <v/>
      </c>
      <c r="AL336" t="str">
        <f>IF(Tabela1[[#This Row],[13]]&lt;&gt;"",IF(ISNUMBER(FIND(",",Tabela1[[#This Row],[13]])),LEN(Tabela1[[#This Row],[13]])-LEN(SUBSTITUTE(Tabela1[[#This Row],[13]],",",""))+1,1),"")</f>
        <v/>
      </c>
      <c r="AM336" t="str">
        <f>IF(Tabela1[[#This Row],[14]]&lt;&gt;"",IF(ISNUMBER(FIND(",",Tabela1[[#This Row],[14]])),LEN(Tabela1[[#This Row],[14]])-LEN(SUBSTITUTE(Tabela1[[#This Row],[14]],",",""))+1,1),"")</f>
        <v/>
      </c>
      <c r="AN336" t="str">
        <f>IF(Tabela1[[#This Row],[15]]&lt;&gt;"",IF(ISNUMBER(FIND(",",Tabela1[[#This Row],[15]])),LEN(Tabela1[[#This Row],[15]])-LEN(SUBSTITUTE(Tabela1[[#This Row],[15]],",",""))+1,1),"")</f>
        <v/>
      </c>
      <c r="AO336" t="str">
        <f>IF(Tabela1[[#This Row],[16]]&lt;&gt;"",IF(ISNUMBER(FIND(",",Tabela1[[#This Row],[16]])),LEN(Tabela1[[#This Row],[16]])-LEN(SUBSTITUTE(Tabela1[[#This Row],[16]],",",""))+1,1),"")</f>
        <v/>
      </c>
      <c r="AP336" t="str">
        <f>IF(Tabela1[[#This Row],[17]]&lt;&gt;"",IF(ISNUMBER(FIND(",",Tabela1[[#This Row],[17]])),LEN(Tabela1[[#This Row],[17]])-LEN(SUBSTITUTE(Tabela1[[#This Row],[17]],",",""))+1,1),"")</f>
        <v/>
      </c>
      <c r="AQ336" t="str">
        <f>IF(Tabela1[[#This Row],[18]]&lt;&gt;"",IF(ISNUMBER(FIND(",",Tabela1[[#This Row],[18]])),LEN(Tabela1[[#This Row],[18]])-LEN(SUBSTITUTE(Tabela1[[#This Row],[18]],",",""))+1,1),"")</f>
        <v/>
      </c>
      <c r="AR336" s="13" t="str">
        <f>IF(Tabela1[[#This Row],[19_LENGTH]]&lt;&gt;"",IF(ISNUMBER(FIND(",",Tabela1[[#This Row],[19_LENGTH]])),LEN(Tabela1[[#This Row],[19_LENGTH]])-LEN(SUBSTITUTE(Tabela1[[#This Row],[19_LENGTH]],",",""))+1,1),"")</f>
        <v/>
      </c>
      <c r="AS336" s="21">
        <f>SUM(Tabela1[[#This Row],[1_]:[19_]])</f>
        <v>1</v>
      </c>
    </row>
    <row r="337" spans="1:45" x14ac:dyDescent="0.25">
      <c r="A337" s="27" t="s">
        <v>1324</v>
      </c>
      <c r="B337" s="19" t="s">
        <v>798</v>
      </c>
      <c r="C337" s="19">
        <v>102</v>
      </c>
      <c r="D337" s="19" t="s">
        <v>1306</v>
      </c>
      <c r="E337" s="20">
        <v>43507</v>
      </c>
      <c r="F337" s="19"/>
      <c r="G337" s="19"/>
      <c r="H337" s="19"/>
      <c r="I337" s="19">
        <v>37</v>
      </c>
      <c r="J337" s="19"/>
      <c r="K337" s="19"/>
      <c r="L337" s="19"/>
      <c r="M337" s="19"/>
      <c r="N337" s="19"/>
      <c r="O337" s="19"/>
      <c r="P337" s="19"/>
      <c r="Q337" s="19"/>
      <c r="R337" s="19"/>
      <c r="S337" s="19"/>
      <c r="T337" s="19"/>
      <c r="U337" s="19"/>
      <c r="V337" s="19"/>
      <c r="W337" s="19">
        <v>33</v>
      </c>
      <c r="X337" s="19"/>
      <c r="Y337" s="19"/>
      <c r="Z337" t="str">
        <f>IF(Tabela1[[#This Row],[1]]&lt;&gt;"",IF(ISNUMBER(FIND(",",Tabela1[[#This Row],[1]])),LEN(Tabela1[[#This Row],[1]])-LEN(SUBSTITUTE(Tabela1[[#This Row],[1]],",",""))+1,1),"")</f>
        <v/>
      </c>
      <c r="AA337" t="str">
        <f>IF(Tabela1[[#This Row],[2]]&lt;&gt;"",IF(ISNUMBER(FIND(",",Tabela1[[#This Row],[2]])),LEN(Tabela1[[#This Row],[2]])-LEN(SUBSTITUTE(Tabela1[[#This Row],[2]],",",""))+1,1),"")</f>
        <v/>
      </c>
      <c r="AB337" t="str">
        <f>IF(Tabela1[[#This Row],[3]]&lt;&gt;"",IF(ISNUMBER(FIND(",",Tabela1[[#This Row],[3]])),LEN(Tabela1[[#This Row],[3]])-LEN(SUBSTITUTE(Tabela1[[#This Row],[3]],",",""))+1,1),"")</f>
        <v/>
      </c>
      <c r="AC337">
        <f>IF(Tabela1[[#This Row],[4]]&lt;&gt;"",IF(ISNUMBER(FIND(",",Tabela1[[#This Row],[4]])),LEN(Tabela1[[#This Row],[4]])-LEN(SUBSTITUTE(Tabela1[[#This Row],[4]],",",""))+1,1),"")</f>
        <v>1</v>
      </c>
      <c r="AD337" t="str">
        <f>IF(Tabela1[[#This Row],[5]]&lt;&gt;"",IF(ISNUMBER(FIND(",",Tabela1[[#This Row],[5]])),LEN(Tabela1[[#This Row],[5]])-LEN(SUBSTITUTE(Tabela1[[#This Row],[5]],",",""))+1,1),"")</f>
        <v/>
      </c>
      <c r="AE337" t="str">
        <f>IF(Tabela1[[#This Row],[6]]&lt;&gt;"",IF(ISNUMBER(FIND(",",Tabela1[[#This Row],[6]])),LEN(Tabela1[[#This Row],[6]])-LEN(SUBSTITUTE(Tabela1[[#This Row],[6]],",",""))+1,1),"")</f>
        <v/>
      </c>
      <c r="AF337" t="str">
        <f>IF(Tabela1[[#This Row],[7]]&lt;&gt;"",IF(ISNUMBER(FIND(",",Tabela1[[#This Row],[7]])),LEN(Tabela1[[#This Row],[7]])-LEN(SUBSTITUTE(Tabela1[[#This Row],[7]],",",""))+1,1),"")</f>
        <v/>
      </c>
      <c r="AG337" t="str">
        <f>IF(Tabela1[[#This Row],[8]]&lt;&gt;"",IF(ISNUMBER(FIND(",",Tabela1[[#This Row],[8]])),LEN(Tabela1[[#This Row],[8]])-LEN(SUBSTITUTE(Tabela1[[#This Row],[8]],",",""))+1,1),"")</f>
        <v/>
      </c>
      <c r="AH337" t="str">
        <f>IF(Tabela1[[#This Row],[9]]&lt;&gt;"",IF(ISNUMBER(FIND(",",Tabela1[[#This Row],[9]])),LEN(Tabela1[[#This Row],[9]])-LEN(SUBSTITUTE(Tabela1[[#This Row],[9]],",",""))+1,1),"")</f>
        <v/>
      </c>
      <c r="AI337" t="str">
        <f>IF(Tabela1[[#This Row],[10]]&lt;&gt;"",IF(ISNUMBER(FIND(",",Tabela1[[#This Row],[10]])),LEN(Tabela1[[#This Row],[10]])-LEN(SUBSTITUTE(Tabela1[[#This Row],[10]],",",""))+1,1),"")</f>
        <v/>
      </c>
      <c r="AJ337" t="str">
        <f>IF(Tabela1[[#This Row],[11]]&lt;&gt;"",IF(ISNUMBER(FIND(",",Tabela1[[#This Row],[11]])),LEN(Tabela1[[#This Row],[11]])-LEN(SUBSTITUTE(Tabela1[[#This Row],[11]],",",""))+1,1),"")</f>
        <v/>
      </c>
      <c r="AK337" t="str">
        <f>IF(Tabela1[[#This Row],[12]]&lt;&gt;"",IF(ISNUMBER(FIND(",",Tabela1[[#This Row],[12]])),LEN(Tabela1[[#This Row],[12]])-LEN(SUBSTITUTE(Tabela1[[#This Row],[12]],",",""))+1,1),"")</f>
        <v/>
      </c>
      <c r="AL337" t="str">
        <f>IF(Tabela1[[#This Row],[13]]&lt;&gt;"",IF(ISNUMBER(FIND(",",Tabela1[[#This Row],[13]])),LEN(Tabela1[[#This Row],[13]])-LEN(SUBSTITUTE(Tabela1[[#This Row],[13]],",",""))+1,1),"")</f>
        <v/>
      </c>
      <c r="AM337" t="str">
        <f>IF(Tabela1[[#This Row],[14]]&lt;&gt;"",IF(ISNUMBER(FIND(",",Tabela1[[#This Row],[14]])),LEN(Tabela1[[#This Row],[14]])-LEN(SUBSTITUTE(Tabela1[[#This Row],[14]],",",""))+1,1),"")</f>
        <v/>
      </c>
      <c r="AN337" t="str">
        <f>IF(Tabela1[[#This Row],[15]]&lt;&gt;"",IF(ISNUMBER(FIND(",",Tabela1[[#This Row],[15]])),LEN(Tabela1[[#This Row],[15]])-LEN(SUBSTITUTE(Tabela1[[#This Row],[15]],",",""))+1,1),"")</f>
        <v/>
      </c>
      <c r="AO337" t="str">
        <f>IF(Tabela1[[#This Row],[16]]&lt;&gt;"",IF(ISNUMBER(FIND(",",Tabela1[[#This Row],[16]])),LEN(Tabela1[[#This Row],[16]])-LEN(SUBSTITUTE(Tabela1[[#This Row],[16]],",",""))+1,1),"")</f>
        <v/>
      </c>
      <c r="AP337" t="str">
        <f>IF(Tabela1[[#This Row],[17]]&lt;&gt;"",IF(ISNUMBER(FIND(",",Tabela1[[#This Row],[17]])),LEN(Tabela1[[#This Row],[17]])-LEN(SUBSTITUTE(Tabela1[[#This Row],[17]],",",""))+1,1),"")</f>
        <v/>
      </c>
      <c r="AQ337">
        <f>IF(Tabela1[[#This Row],[18]]&lt;&gt;"",IF(ISNUMBER(FIND(",",Tabela1[[#This Row],[18]])),LEN(Tabela1[[#This Row],[18]])-LEN(SUBSTITUTE(Tabela1[[#This Row],[18]],",",""))+1,1),"")</f>
        <v>1</v>
      </c>
      <c r="AR337" s="13" t="str">
        <f>IF(Tabela1[[#This Row],[19_LENGTH]]&lt;&gt;"",IF(ISNUMBER(FIND(",",Tabela1[[#This Row],[19_LENGTH]])),LEN(Tabela1[[#This Row],[19_LENGTH]])-LEN(SUBSTITUTE(Tabela1[[#This Row],[19_LENGTH]],",",""))+1,1),"")</f>
        <v/>
      </c>
      <c r="AS337" s="21">
        <f>SUM(Tabela1[[#This Row],[1_]:[19_]])</f>
        <v>2</v>
      </c>
    </row>
    <row r="338" spans="1:45" x14ac:dyDescent="0.25">
      <c r="A338" s="27" t="s">
        <v>1324</v>
      </c>
      <c r="B338" s="19" t="s">
        <v>799</v>
      </c>
      <c r="C338" s="19">
        <v>102</v>
      </c>
      <c r="D338" s="19" t="s">
        <v>1306</v>
      </c>
      <c r="E338" s="20">
        <v>43507</v>
      </c>
      <c r="F338" s="19"/>
      <c r="G338" s="19"/>
      <c r="H338" s="19" t="s">
        <v>141</v>
      </c>
      <c r="I338" s="19"/>
      <c r="J338" s="19"/>
      <c r="K338" s="19"/>
      <c r="L338" s="19"/>
      <c r="M338" s="19"/>
      <c r="N338" s="19"/>
      <c r="O338" s="19"/>
      <c r="P338" s="19"/>
      <c r="Q338" s="19"/>
      <c r="R338" s="19"/>
      <c r="S338" s="19"/>
      <c r="T338" s="19"/>
      <c r="U338" s="19"/>
      <c r="V338" s="19"/>
      <c r="W338" s="19"/>
      <c r="X338" s="19"/>
      <c r="Y338" s="19"/>
      <c r="Z338" t="str">
        <f>IF(Tabela1[[#This Row],[1]]&lt;&gt;"",IF(ISNUMBER(FIND(",",Tabela1[[#This Row],[1]])),LEN(Tabela1[[#This Row],[1]])-LEN(SUBSTITUTE(Tabela1[[#This Row],[1]],",",""))+1,1),"")</f>
        <v/>
      </c>
      <c r="AA338" t="str">
        <f>IF(Tabela1[[#This Row],[2]]&lt;&gt;"",IF(ISNUMBER(FIND(",",Tabela1[[#This Row],[2]])),LEN(Tabela1[[#This Row],[2]])-LEN(SUBSTITUTE(Tabela1[[#This Row],[2]],",",""))+1,1),"")</f>
        <v/>
      </c>
      <c r="AB338">
        <f>IF(Tabela1[[#This Row],[3]]&lt;&gt;"",IF(ISNUMBER(FIND(",",Tabela1[[#This Row],[3]])),LEN(Tabela1[[#This Row],[3]])-LEN(SUBSTITUTE(Tabela1[[#This Row],[3]],",",""))+1,1),"")</f>
        <v>1</v>
      </c>
      <c r="AC338" t="str">
        <f>IF(Tabela1[[#This Row],[4]]&lt;&gt;"",IF(ISNUMBER(FIND(",",Tabela1[[#This Row],[4]])),LEN(Tabela1[[#This Row],[4]])-LEN(SUBSTITUTE(Tabela1[[#This Row],[4]],",",""))+1,1),"")</f>
        <v/>
      </c>
      <c r="AD338" t="str">
        <f>IF(Tabela1[[#This Row],[5]]&lt;&gt;"",IF(ISNUMBER(FIND(",",Tabela1[[#This Row],[5]])),LEN(Tabela1[[#This Row],[5]])-LEN(SUBSTITUTE(Tabela1[[#This Row],[5]],",",""))+1,1),"")</f>
        <v/>
      </c>
      <c r="AE338" t="str">
        <f>IF(Tabela1[[#This Row],[6]]&lt;&gt;"",IF(ISNUMBER(FIND(",",Tabela1[[#This Row],[6]])),LEN(Tabela1[[#This Row],[6]])-LEN(SUBSTITUTE(Tabela1[[#This Row],[6]],",",""))+1,1),"")</f>
        <v/>
      </c>
      <c r="AF338" t="str">
        <f>IF(Tabela1[[#This Row],[7]]&lt;&gt;"",IF(ISNUMBER(FIND(",",Tabela1[[#This Row],[7]])),LEN(Tabela1[[#This Row],[7]])-LEN(SUBSTITUTE(Tabela1[[#This Row],[7]],",",""))+1,1),"")</f>
        <v/>
      </c>
      <c r="AG338" t="str">
        <f>IF(Tabela1[[#This Row],[8]]&lt;&gt;"",IF(ISNUMBER(FIND(",",Tabela1[[#This Row],[8]])),LEN(Tabela1[[#This Row],[8]])-LEN(SUBSTITUTE(Tabela1[[#This Row],[8]],",",""))+1,1),"")</f>
        <v/>
      </c>
      <c r="AH338" t="str">
        <f>IF(Tabela1[[#This Row],[9]]&lt;&gt;"",IF(ISNUMBER(FIND(",",Tabela1[[#This Row],[9]])),LEN(Tabela1[[#This Row],[9]])-LEN(SUBSTITUTE(Tabela1[[#This Row],[9]],",",""))+1,1),"")</f>
        <v/>
      </c>
      <c r="AI338" t="str">
        <f>IF(Tabela1[[#This Row],[10]]&lt;&gt;"",IF(ISNUMBER(FIND(",",Tabela1[[#This Row],[10]])),LEN(Tabela1[[#This Row],[10]])-LEN(SUBSTITUTE(Tabela1[[#This Row],[10]],",",""))+1,1),"")</f>
        <v/>
      </c>
      <c r="AJ338" t="str">
        <f>IF(Tabela1[[#This Row],[11]]&lt;&gt;"",IF(ISNUMBER(FIND(",",Tabela1[[#This Row],[11]])),LEN(Tabela1[[#This Row],[11]])-LEN(SUBSTITUTE(Tabela1[[#This Row],[11]],",",""))+1,1),"")</f>
        <v/>
      </c>
      <c r="AK338" t="str">
        <f>IF(Tabela1[[#This Row],[12]]&lt;&gt;"",IF(ISNUMBER(FIND(",",Tabela1[[#This Row],[12]])),LEN(Tabela1[[#This Row],[12]])-LEN(SUBSTITUTE(Tabela1[[#This Row],[12]],",",""))+1,1),"")</f>
        <v/>
      </c>
      <c r="AL338" t="str">
        <f>IF(Tabela1[[#This Row],[13]]&lt;&gt;"",IF(ISNUMBER(FIND(",",Tabela1[[#This Row],[13]])),LEN(Tabela1[[#This Row],[13]])-LEN(SUBSTITUTE(Tabela1[[#This Row],[13]],",",""))+1,1),"")</f>
        <v/>
      </c>
      <c r="AM338" t="str">
        <f>IF(Tabela1[[#This Row],[14]]&lt;&gt;"",IF(ISNUMBER(FIND(",",Tabela1[[#This Row],[14]])),LEN(Tabela1[[#This Row],[14]])-LEN(SUBSTITUTE(Tabela1[[#This Row],[14]],",",""))+1,1),"")</f>
        <v/>
      </c>
      <c r="AN338" t="str">
        <f>IF(Tabela1[[#This Row],[15]]&lt;&gt;"",IF(ISNUMBER(FIND(",",Tabela1[[#This Row],[15]])),LEN(Tabela1[[#This Row],[15]])-LEN(SUBSTITUTE(Tabela1[[#This Row],[15]],",",""))+1,1),"")</f>
        <v/>
      </c>
      <c r="AO338" t="str">
        <f>IF(Tabela1[[#This Row],[16]]&lt;&gt;"",IF(ISNUMBER(FIND(",",Tabela1[[#This Row],[16]])),LEN(Tabela1[[#This Row],[16]])-LEN(SUBSTITUTE(Tabela1[[#This Row],[16]],",",""))+1,1),"")</f>
        <v/>
      </c>
      <c r="AP338" t="str">
        <f>IF(Tabela1[[#This Row],[17]]&lt;&gt;"",IF(ISNUMBER(FIND(",",Tabela1[[#This Row],[17]])),LEN(Tabela1[[#This Row],[17]])-LEN(SUBSTITUTE(Tabela1[[#This Row],[17]],",",""))+1,1),"")</f>
        <v/>
      </c>
      <c r="AQ338" t="str">
        <f>IF(Tabela1[[#This Row],[18]]&lt;&gt;"",IF(ISNUMBER(FIND(",",Tabela1[[#This Row],[18]])),LEN(Tabela1[[#This Row],[18]])-LEN(SUBSTITUTE(Tabela1[[#This Row],[18]],",",""))+1,1),"")</f>
        <v/>
      </c>
      <c r="AR338" s="13" t="str">
        <f>IF(Tabela1[[#This Row],[19_LENGTH]]&lt;&gt;"",IF(ISNUMBER(FIND(",",Tabela1[[#This Row],[19_LENGTH]])),LEN(Tabela1[[#This Row],[19_LENGTH]])-LEN(SUBSTITUTE(Tabela1[[#This Row],[19_LENGTH]],",",""))+1,1),"")</f>
        <v/>
      </c>
      <c r="AS338" s="21">
        <f>SUM(Tabela1[[#This Row],[1_]:[19_]])</f>
        <v>1</v>
      </c>
    </row>
    <row r="339" spans="1:45" x14ac:dyDescent="0.25">
      <c r="A339" s="27" t="s">
        <v>1324</v>
      </c>
      <c r="B339" s="19" t="s">
        <v>800</v>
      </c>
      <c r="C339" s="19">
        <v>102</v>
      </c>
      <c r="D339" s="19" t="s">
        <v>1306</v>
      </c>
      <c r="E339" s="20">
        <v>43507</v>
      </c>
      <c r="F339" s="19"/>
      <c r="G339" s="19"/>
      <c r="H339" s="19"/>
      <c r="I339" s="19"/>
      <c r="J339" s="19"/>
      <c r="K339" s="19">
        <v>9</v>
      </c>
      <c r="L339" s="19"/>
      <c r="M339" s="19"/>
      <c r="N339" s="19"/>
      <c r="O339" s="19"/>
      <c r="P339" s="19"/>
      <c r="Q339" s="19"/>
      <c r="R339" s="19"/>
      <c r="S339" s="19"/>
      <c r="T339" s="19"/>
      <c r="U339" s="19"/>
      <c r="V339" s="19"/>
      <c r="W339" s="19">
        <v>33</v>
      </c>
      <c r="X339" s="19"/>
      <c r="Y339" s="19"/>
      <c r="Z339" t="str">
        <f>IF(Tabela1[[#This Row],[1]]&lt;&gt;"",IF(ISNUMBER(FIND(",",Tabela1[[#This Row],[1]])),LEN(Tabela1[[#This Row],[1]])-LEN(SUBSTITUTE(Tabela1[[#This Row],[1]],",",""))+1,1),"")</f>
        <v/>
      </c>
      <c r="AA339" t="str">
        <f>IF(Tabela1[[#This Row],[2]]&lt;&gt;"",IF(ISNUMBER(FIND(",",Tabela1[[#This Row],[2]])),LEN(Tabela1[[#This Row],[2]])-LEN(SUBSTITUTE(Tabela1[[#This Row],[2]],",",""))+1,1),"")</f>
        <v/>
      </c>
      <c r="AB339" t="str">
        <f>IF(Tabela1[[#This Row],[3]]&lt;&gt;"",IF(ISNUMBER(FIND(",",Tabela1[[#This Row],[3]])),LEN(Tabela1[[#This Row],[3]])-LEN(SUBSTITUTE(Tabela1[[#This Row],[3]],",",""))+1,1),"")</f>
        <v/>
      </c>
      <c r="AC339" t="str">
        <f>IF(Tabela1[[#This Row],[4]]&lt;&gt;"",IF(ISNUMBER(FIND(",",Tabela1[[#This Row],[4]])),LEN(Tabela1[[#This Row],[4]])-LEN(SUBSTITUTE(Tabela1[[#This Row],[4]],",",""))+1,1),"")</f>
        <v/>
      </c>
      <c r="AD339" t="str">
        <f>IF(Tabela1[[#This Row],[5]]&lt;&gt;"",IF(ISNUMBER(FIND(",",Tabela1[[#This Row],[5]])),LEN(Tabela1[[#This Row],[5]])-LEN(SUBSTITUTE(Tabela1[[#This Row],[5]],",",""))+1,1),"")</f>
        <v/>
      </c>
      <c r="AE339">
        <f>IF(Tabela1[[#This Row],[6]]&lt;&gt;"",IF(ISNUMBER(FIND(",",Tabela1[[#This Row],[6]])),LEN(Tabela1[[#This Row],[6]])-LEN(SUBSTITUTE(Tabela1[[#This Row],[6]],",",""))+1,1),"")</f>
        <v>1</v>
      </c>
      <c r="AF339" t="str">
        <f>IF(Tabela1[[#This Row],[7]]&lt;&gt;"",IF(ISNUMBER(FIND(",",Tabela1[[#This Row],[7]])),LEN(Tabela1[[#This Row],[7]])-LEN(SUBSTITUTE(Tabela1[[#This Row],[7]],",",""))+1,1),"")</f>
        <v/>
      </c>
      <c r="AG339" t="str">
        <f>IF(Tabela1[[#This Row],[8]]&lt;&gt;"",IF(ISNUMBER(FIND(",",Tabela1[[#This Row],[8]])),LEN(Tabela1[[#This Row],[8]])-LEN(SUBSTITUTE(Tabela1[[#This Row],[8]],",",""))+1,1),"")</f>
        <v/>
      </c>
      <c r="AH339" t="str">
        <f>IF(Tabela1[[#This Row],[9]]&lt;&gt;"",IF(ISNUMBER(FIND(",",Tabela1[[#This Row],[9]])),LEN(Tabela1[[#This Row],[9]])-LEN(SUBSTITUTE(Tabela1[[#This Row],[9]],",",""))+1,1),"")</f>
        <v/>
      </c>
      <c r="AI339" t="str">
        <f>IF(Tabela1[[#This Row],[10]]&lt;&gt;"",IF(ISNUMBER(FIND(",",Tabela1[[#This Row],[10]])),LEN(Tabela1[[#This Row],[10]])-LEN(SUBSTITUTE(Tabela1[[#This Row],[10]],",",""))+1,1),"")</f>
        <v/>
      </c>
      <c r="AJ339" t="str">
        <f>IF(Tabela1[[#This Row],[11]]&lt;&gt;"",IF(ISNUMBER(FIND(",",Tabela1[[#This Row],[11]])),LEN(Tabela1[[#This Row],[11]])-LEN(SUBSTITUTE(Tabela1[[#This Row],[11]],",",""))+1,1),"")</f>
        <v/>
      </c>
      <c r="AK339" t="str">
        <f>IF(Tabela1[[#This Row],[12]]&lt;&gt;"",IF(ISNUMBER(FIND(",",Tabela1[[#This Row],[12]])),LEN(Tabela1[[#This Row],[12]])-LEN(SUBSTITUTE(Tabela1[[#This Row],[12]],",",""))+1,1),"")</f>
        <v/>
      </c>
      <c r="AL339" t="str">
        <f>IF(Tabela1[[#This Row],[13]]&lt;&gt;"",IF(ISNUMBER(FIND(",",Tabela1[[#This Row],[13]])),LEN(Tabela1[[#This Row],[13]])-LEN(SUBSTITUTE(Tabela1[[#This Row],[13]],",",""))+1,1),"")</f>
        <v/>
      </c>
      <c r="AM339" t="str">
        <f>IF(Tabela1[[#This Row],[14]]&lt;&gt;"",IF(ISNUMBER(FIND(",",Tabela1[[#This Row],[14]])),LEN(Tabela1[[#This Row],[14]])-LEN(SUBSTITUTE(Tabela1[[#This Row],[14]],",",""))+1,1),"")</f>
        <v/>
      </c>
      <c r="AN339" t="str">
        <f>IF(Tabela1[[#This Row],[15]]&lt;&gt;"",IF(ISNUMBER(FIND(",",Tabela1[[#This Row],[15]])),LEN(Tabela1[[#This Row],[15]])-LEN(SUBSTITUTE(Tabela1[[#This Row],[15]],",",""))+1,1),"")</f>
        <v/>
      </c>
      <c r="AO339" t="str">
        <f>IF(Tabela1[[#This Row],[16]]&lt;&gt;"",IF(ISNUMBER(FIND(",",Tabela1[[#This Row],[16]])),LEN(Tabela1[[#This Row],[16]])-LEN(SUBSTITUTE(Tabela1[[#This Row],[16]],",",""))+1,1),"")</f>
        <v/>
      </c>
      <c r="AP339" t="str">
        <f>IF(Tabela1[[#This Row],[17]]&lt;&gt;"",IF(ISNUMBER(FIND(",",Tabela1[[#This Row],[17]])),LEN(Tabela1[[#This Row],[17]])-LEN(SUBSTITUTE(Tabela1[[#This Row],[17]],",",""))+1,1),"")</f>
        <v/>
      </c>
      <c r="AQ339">
        <f>IF(Tabela1[[#This Row],[18]]&lt;&gt;"",IF(ISNUMBER(FIND(",",Tabela1[[#This Row],[18]])),LEN(Tabela1[[#This Row],[18]])-LEN(SUBSTITUTE(Tabela1[[#This Row],[18]],",",""))+1,1),"")</f>
        <v>1</v>
      </c>
      <c r="AR339" s="13" t="str">
        <f>IF(Tabela1[[#This Row],[19_LENGTH]]&lt;&gt;"",IF(ISNUMBER(FIND(",",Tabela1[[#This Row],[19_LENGTH]])),LEN(Tabela1[[#This Row],[19_LENGTH]])-LEN(SUBSTITUTE(Tabela1[[#This Row],[19_LENGTH]],",",""))+1,1),"")</f>
        <v/>
      </c>
      <c r="AS339" s="21">
        <f>SUM(Tabela1[[#This Row],[1_]:[19_]])</f>
        <v>2</v>
      </c>
    </row>
    <row r="340" spans="1:45" x14ac:dyDescent="0.25">
      <c r="A340" s="27" t="s">
        <v>1323</v>
      </c>
      <c r="B340" s="19" t="s">
        <v>476</v>
      </c>
      <c r="C340" s="19">
        <v>202</v>
      </c>
      <c r="D340" s="19" t="s">
        <v>1315</v>
      </c>
      <c r="E340" s="20">
        <v>43507</v>
      </c>
      <c r="F340" s="19"/>
      <c r="G340" s="19"/>
      <c r="H340" s="19">
        <v>132</v>
      </c>
      <c r="I340" s="19"/>
      <c r="J340" s="19"/>
      <c r="K340" s="19"/>
      <c r="L340" s="19"/>
      <c r="M340" s="19"/>
      <c r="N340" s="19"/>
      <c r="O340" s="19"/>
      <c r="P340" s="19"/>
      <c r="Q340" s="19"/>
      <c r="R340" s="19"/>
      <c r="S340" s="19"/>
      <c r="T340" s="19"/>
      <c r="U340" s="19"/>
      <c r="V340" s="19"/>
      <c r="W340" s="19"/>
      <c r="X340" s="19"/>
      <c r="Y340" s="19"/>
      <c r="Z340" t="str">
        <f>IF(Tabela1[[#This Row],[1]]&lt;&gt;"",IF(ISNUMBER(FIND(",",Tabela1[[#This Row],[1]])),LEN(Tabela1[[#This Row],[1]])-LEN(SUBSTITUTE(Tabela1[[#This Row],[1]],",",""))+1,1),"")</f>
        <v/>
      </c>
      <c r="AA340" t="str">
        <f>IF(Tabela1[[#This Row],[2]]&lt;&gt;"",IF(ISNUMBER(FIND(",",Tabela1[[#This Row],[2]])),LEN(Tabela1[[#This Row],[2]])-LEN(SUBSTITUTE(Tabela1[[#This Row],[2]],",",""))+1,1),"")</f>
        <v/>
      </c>
      <c r="AB340">
        <f>IF(Tabela1[[#This Row],[3]]&lt;&gt;"",IF(ISNUMBER(FIND(",",Tabela1[[#This Row],[3]])),LEN(Tabela1[[#This Row],[3]])-LEN(SUBSTITUTE(Tabela1[[#This Row],[3]],",",""))+1,1),"")</f>
        <v>1</v>
      </c>
      <c r="AC340" t="str">
        <f>IF(Tabela1[[#This Row],[4]]&lt;&gt;"",IF(ISNUMBER(FIND(",",Tabela1[[#This Row],[4]])),LEN(Tabela1[[#This Row],[4]])-LEN(SUBSTITUTE(Tabela1[[#This Row],[4]],",",""))+1,1),"")</f>
        <v/>
      </c>
      <c r="AD340" t="str">
        <f>IF(Tabela1[[#This Row],[5]]&lt;&gt;"",IF(ISNUMBER(FIND(",",Tabela1[[#This Row],[5]])),LEN(Tabela1[[#This Row],[5]])-LEN(SUBSTITUTE(Tabela1[[#This Row],[5]],",",""))+1,1),"")</f>
        <v/>
      </c>
      <c r="AE340" t="str">
        <f>IF(Tabela1[[#This Row],[6]]&lt;&gt;"",IF(ISNUMBER(FIND(",",Tabela1[[#This Row],[6]])),LEN(Tabela1[[#This Row],[6]])-LEN(SUBSTITUTE(Tabela1[[#This Row],[6]],",",""))+1,1),"")</f>
        <v/>
      </c>
      <c r="AF340" t="str">
        <f>IF(Tabela1[[#This Row],[7]]&lt;&gt;"",IF(ISNUMBER(FIND(",",Tabela1[[#This Row],[7]])),LEN(Tabela1[[#This Row],[7]])-LEN(SUBSTITUTE(Tabela1[[#This Row],[7]],",",""))+1,1),"")</f>
        <v/>
      </c>
      <c r="AG340" t="str">
        <f>IF(Tabela1[[#This Row],[8]]&lt;&gt;"",IF(ISNUMBER(FIND(",",Tabela1[[#This Row],[8]])),LEN(Tabela1[[#This Row],[8]])-LEN(SUBSTITUTE(Tabela1[[#This Row],[8]],",",""))+1,1),"")</f>
        <v/>
      </c>
      <c r="AH340" t="str">
        <f>IF(Tabela1[[#This Row],[9]]&lt;&gt;"",IF(ISNUMBER(FIND(",",Tabela1[[#This Row],[9]])),LEN(Tabela1[[#This Row],[9]])-LEN(SUBSTITUTE(Tabela1[[#This Row],[9]],",",""))+1,1),"")</f>
        <v/>
      </c>
      <c r="AI340" t="str">
        <f>IF(Tabela1[[#This Row],[10]]&lt;&gt;"",IF(ISNUMBER(FIND(",",Tabela1[[#This Row],[10]])),LEN(Tabela1[[#This Row],[10]])-LEN(SUBSTITUTE(Tabela1[[#This Row],[10]],",",""))+1,1),"")</f>
        <v/>
      </c>
      <c r="AJ340" t="str">
        <f>IF(Tabela1[[#This Row],[11]]&lt;&gt;"",IF(ISNUMBER(FIND(",",Tabela1[[#This Row],[11]])),LEN(Tabela1[[#This Row],[11]])-LEN(SUBSTITUTE(Tabela1[[#This Row],[11]],",",""))+1,1),"")</f>
        <v/>
      </c>
      <c r="AK340" t="str">
        <f>IF(Tabela1[[#This Row],[12]]&lt;&gt;"",IF(ISNUMBER(FIND(",",Tabela1[[#This Row],[12]])),LEN(Tabela1[[#This Row],[12]])-LEN(SUBSTITUTE(Tabela1[[#This Row],[12]],",",""))+1,1),"")</f>
        <v/>
      </c>
      <c r="AL340" t="str">
        <f>IF(Tabela1[[#This Row],[13]]&lt;&gt;"",IF(ISNUMBER(FIND(",",Tabela1[[#This Row],[13]])),LEN(Tabela1[[#This Row],[13]])-LEN(SUBSTITUTE(Tabela1[[#This Row],[13]],",",""))+1,1),"")</f>
        <v/>
      </c>
      <c r="AM340" t="str">
        <f>IF(Tabela1[[#This Row],[14]]&lt;&gt;"",IF(ISNUMBER(FIND(",",Tabela1[[#This Row],[14]])),LEN(Tabela1[[#This Row],[14]])-LEN(SUBSTITUTE(Tabela1[[#This Row],[14]],",",""))+1,1),"")</f>
        <v/>
      </c>
      <c r="AN340" t="str">
        <f>IF(Tabela1[[#This Row],[15]]&lt;&gt;"",IF(ISNUMBER(FIND(",",Tabela1[[#This Row],[15]])),LEN(Tabela1[[#This Row],[15]])-LEN(SUBSTITUTE(Tabela1[[#This Row],[15]],",",""))+1,1),"")</f>
        <v/>
      </c>
      <c r="AO340" t="str">
        <f>IF(Tabela1[[#This Row],[16]]&lt;&gt;"",IF(ISNUMBER(FIND(",",Tabela1[[#This Row],[16]])),LEN(Tabela1[[#This Row],[16]])-LEN(SUBSTITUTE(Tabela1[[#This Row],[16]],",",""))+1,1),"")</f>
        <v/>
      </c>
      <c r="AP340" t="str">
        <f>IF(Tabela1[[#This Row],[17]]&lt;&gt;"",IF(ISNUMBER(FIND(",",Tabela1[[#This Row],[17]])),LEN(Tabela1[[#This Row],[17]])-LEN(SUBSTITUTE(Tabela1[[#This Row],[17]],",",""))+1,1),"")</f>
        <v/>
      </c>
      <c r="AQ340" t="str">
        <f>IF(Tabela1[[#This Row],[18]]&lt;&gt;"",IF(ISNUMBER(FIND(",",Tabela1[[#This Row],[18]])),LEN(Tabela1[[#This Row],[18]])-LEN(SUBSTITUTE(Tabela1[[#This Row],[18]],",",""))+1,1),"")</f>
        <v/>
      </c>
      <c r="AR340" s="13" t="str">
        <f>IF(Tabela1[[#This Row],[19_LENGTH]]&lt;&gt;"",IF(ISNUMBER(FIND(",",Tabela1[[#This Row],[19_LENGTH]])),LEN(Tabela1[[#This Row],[19_LENGTH]])-LEN(SUBSTITUTE(Tabela1[[#This Row],[19_LENGTH]],",",""))+1,1),"")</f>
        <v/>
      </c>
      <c r="AS340" s="21">
        <f>SUM(Tabela1[[#This Row],[1_]:[19_]])</f>
        <v>1</v>
      </c>
    </row>
    <row r="341" spans="1:45" x14ac:dyDescent="0.25">
      <c r="A341" s="27" t="s">
        <v>1323</v>
      </c>
      <c r="B341" s="19" t="s">
        <v>477</v>
      </c>
      <c r="C341" s="19">
        <v>202</v>
      </c>
      <c r="D341" s="19" t="s">
        <v>1315</v>
      </c>
      <c r="E341" s="20">
        <v>43507</v>
      </c>
      <c r="F341" s="19"/>
      <c r="G341" s="19"/>
      <c r="H341" s="19"/>
      <c r="I341" s="19"/>
      <c r="J341" s="19">
        <v>15</v>
      </c>
      <c r="K341" s="19"/>
      <c r="L341" s="19"/>
      <c r="M341" s="19"/>
      <c r="N341" s="19"/>
      <c r="O341" s="19"/>
      <c r="P341" s="19"/>
      <c r="Q341" s="19"/>
      <c r="R341" s="19"/>
      <c r="S341" s="19"/>
      <c r="T341" s="19"/>
      <c r="U341" s="19"/>
      <c r="V341" s="19"/>
      <c r="W341" s="19"/>
      <c r="X341" s="19"/>
      <c r="Y341" s="19"/>
      <c r="Z341" t="str">
        <f>IF(Tabela1[[#This Row],[1]]&lt;&gt;"",IF(ISNUMBER(FIND(",",Tabela1[[#This Row],[1]])),LEN(Tabela1[[#This Row],[1]])-LEN(SUBSTITUTE(Tabela1[[#This Row],[1]],",",""))+1,1),"")</f>
        <v/>
      </c>
      <c r="AA341" t="str">
        <f>IF(Tabela1[[#This Row],[2]]&lt;&gt;"",IF(ISNUMBER(FIND(",",Tabela1[[#This Row],[2]])),LEN(Tabela1[[#This Row],[2]])-LEN(SUBSTITUTE(Tabela1[[#This Row],[2]],",",""))+1,1),"")</f>
        <v/>
      </c>
      <c r="AB341" t="str">
        <f>IF(Tabela1[[#This Row],[3]]&lt;&gt;"",IF(ISNUMBER(FIND(",",Tabela1[[#This Row],[3]])),LEN(Tabela1[[#This Row],[3]])-LEN(SUBSTITUTE(Tabela1[[#This Row],[3]],",",""))+1,1),"")</f>
        <v/>
      </c>
      <c r="AC341" t="str">
        <f>IF(Tabela1[[#This Row],[4]]&lt;&gt;"",IF(ISNUMBER(FIND(",",Tabela1[[#This Row],[4]])),LEN(Tabela1[[#This Row],[4]])-LEN(SUBSTITUTE(Tabela1[[#This Row],[4]],",",""))+1,1),"")</f>
        <v/>
      </c>
      <c r="AD341">
        <f>IF(Tabela1[[#This Row],[5]]&lt;&gt;"",IF(ISNUMBER(FIND(",",Tabela1[[#This Row],[5]])),LEN(Tabela1[[#This Row],[5]])-LEN(SUBSTITUTE(Tabela1[[#This Row],[5]],",",""))+1,1),"")</f>
        <v>1</v>
      </c>
      <c r="AE341" t="str">
        <f>IF(Tabela1[[#This Row],[6]]&lt;&gt;"",IF(ISNUMBER(FIND(",",Tabela1[[#This Row],[6]])),LEN(Tabela1[[#This Row],[6]])-LEN(SUBSTITUTE(Tabela1[[#This Row],[6]],",",""))+1,1),"")</f>
        <v/>
      </c>
      <c r="AF341" t="str">
        <f>IF(Tabela1[[#This Row],[7]]&lt;&gt;"",IF(ISNUMBER(FIND(",",Tabela1[[#This Row],[7]])),LEN(Tabela1[[#This Row],[7]])-LEN(SUBSTITUTE(Tabela1[[#This Row],[7]],",",""))+1,1),"")</f>
        <v/>
      </c>
      <c r="AG341" t="str">
        <f>IF(Tabela1[[#This Row],[8]]&lt;&gt;"",IF(ISNUMBER(FIND(",",Tabela1[[#This Row],[8]])),LEN(Tabela1[[#This Row],[8]])-LEN(SUBSTITUTE(Tabela1[[#This Row],[8]],",",""))+1,1),"")</f>
        <v/>
      </c>
      <c r="AH341" t="str">
        <f>IF(Tabela1[[#This Row],[9]]&lt;&gt;"",IF(ISNUMBER(FIND(",",Tabela1[[#This Row],[9]])),LEN(Tabela1[[#This Row],[9]])-LEN(SUBSTITUTE(Tabela1[[#This Row],[9]],",",""))+1,1),"")</f>
        <v/>
      </c>
      <c r="AI341" t="str">
        <f>IF(Tabela1[[#This Row],[10]]&lt;&gt;"",IF(ISNUMBER(FIND(",",Tabela1[[#This Row],[10]])),LEN(Tabela1[[#This Row],[10]])-LEN(SUBSTITUTE(Tabela1[[#This Row],[10]],",",""))+1,1),"")</f>
        <v/>
      </c>
      <c r="AJ341" t="str">
        <f>IF(Tabela1[[#This Row],[11]]&lt;&gt;"",IF(ISNUMBER(FIND(",",Tabela1[[#This Row],[11]])),LEN(Tabela1[[#This Row],[11]])-LEN(SUBSTITUTE(Tabela1[[#This Row],[11]],",",""))+1,1),"")</f>
        <v/>
      </c>
      <c r="AK341" t="str">
        <f>IF(Tabela1[[#This Row],[12]]&lt;&gt;"",IF(ISNUMBER(FIND(",",Tabela1[[#This Row],[12]])),LEN(Tabela1[[#This Row],[12]])-LEN(SUBSTITUTE(Tabela1[[#This Row],[12]],",",""))+1,1),"")</f>
        <v/>
      </c>
      <c r="AL341" t="str">
        <f>IF(Tabela1[[#This Row],[13]]&lt;&gt;"",IF(ISNUMBER(FIND(",",Tabela1[[#This Row],[13]])),LEN(Tabela1[[#This Row],[13]])-LEN(SUBSTITUTE(Tabela1[[#This Row],[13]],",",""))+1,1),"")</f>
        <v/>
      </c>
      <c r="AM341" t="str">
        <f>IF(Tabela1[[#This Row],[14]]&lt;&gt;"",IF(ISNUMBER(FIND(",",Tabela1[[#This Row],[14]])),LEN(Tabela1[[#This Row],[14]])-LEN(SUBSTITUTE(Tabela1[[#This Row],[14]],",",""))+1,1),"")</f>
        <v/>
      </c>
      <c r="AN341" t="str">
        <f>IF(Tabela1[[#This Row],[15]]&lt;&gt;"",IF(ISNUMBER(FIND(",",Tabela1[[#This Row],[15]])),LEN(Tabela1[[#This Row],[15]])-LEN(SUBSTITUTE(Tabela1[[#This Row],[15]],",",""))+1,1),"")</f>
        <v/>
      </c>
      <c r="AO341" t="str">
        <f>IF(Tabela1[[#This Row],[16]]&lt;&gt;"",IF(ISNUMBER(FIND(",",Tabela1[[#This Row],[16]])),LEN(Tabela1[[#This Row],[16]])-LEN(SUBSTITUTE(Tabela1[[#This Row],[16]],",",""))+1,1),"")</f>
        <v/>
      </c>
      <c r="AP341" t="str">
        <f>IF(Tabela1[[#This Row],[17]]&lt;&gt;"",IF(ISNUMBER(FIND(",",Tabela1[[#This Row],[17]])),LEN(Tabela1[[#This Row],[17]])-LEN(SUBSTITUTE(Tabela1[[#This Row],[17]],",",""))+1,1),"")</f>
        <v/>
      </c>
      <c r="AQ341" t="str">
        <f>IF(Tabela1[[#This Row],[18]]&lt;&gt;"",IF(ISNUMBER(FIND(",",Tabela1[[#This Row],[18]])),LEN(Tabela1[[#This Row],[18]])-LEN(SUBSTITUTE(Tabela1[[#This Row],[18]],",",""))+1,1),"")</f>
        <v/>
      </c>
      <c r="AR341" s="13" t="str">
        <f>IF(Tabela1[[#This Row],[19_LENGTH]]&lt;&gt;"",IF(ISNUMBER(FIND(",",Tabela1[[#This Row],[19_LENGTH]])),LEN(Tabela1[[#This Row],[19_LENGTH]])-LEN(SUBSTITUTE(Tabela1[[#This Row],[19_LENGTH]],",",""))+1,1),"")</f>
        <v/>
      </c>
      <c r="AS341" s="21">
        <f>SUM(Tabela1[[#This Row],[1_]:[19_]])</f>
        <v>1</v>
      </c>
    </row>
    <row r="342" spans="1:45" x14ac:dyDescent="0.25">
      <c r="A342" s="27" t="s">
        <v>1323</v>
      </c>
      <c r="B342" s="19" t="s">
        <v>801</v>
      </c>
      <c r="C342" s="19">
        <v>202</v>
      </c>
      <c r="D342" s="19" t="s">
        <v>1315</v>
      </c>
      <c r="E342" s="20">
        <v>43507</v>
      </c>
      <c r="F342" s="19"/>
      <c r="G342" s="19"/>
      <c r="H342" s="19"/>
      <c r="I342" s="19">
        <v>145</v>
      </c>
      <c r="J342" s="19"/>
      <c r="K342" s="19"/>
      <c r="L342" s="19"/>
      <c r="M342" s="19"/>
      <c r="N342" s="19"/>
      <c r="O342" s="19"/>
      <c r="P342" s="19"/>
      <c r="Q342" s="19"/>
      <c r="R342" s="19"/>
      <c r="S342" s="19"/>
      <c r="T342" s="19"/>
      <c r="U342" s="19"/>
      <c r="V342" s="19"/>
      <c r="W342" s="19"/>
      <c r="X342" s="19"/>
      <c r="Y342" s="19"/>
      <c r="Z342" t="str">
        <f>IF(Tabela1[[#This Row],[1]]&lt;&gt;"",IF(ISNUMBER(FIND(",",Tabela1[[#This Row],[1]])),LEN(Tabela1[[#This Row],[1]])-LEN(SUBSTITUTE(Tabela1[[#This Row],[1]],",",""))+1,1),"")</f>
        <v/>
      </c>
      <c r="AA342" t="str">
        <f>IF(Tabela1[[#This Row],[2]]&lt;&gt;"",IF(ISNUMBER(FIND(",",Tabela1[[#This Row],[2]])),LEN(Tabela1[[#This Row],[2]])-LEN(SUBSTITUTE(Tabela1[[#This Row],[2]],",",""))+1,1),"")</f>
        <v/>
      </c>
      <c r="AB342" t="str">
        <f>IF(Tabela1[[#This Row],[3]]&lt;&gt;"",IF(ISNUMBER(FIND(",",Tabela1[[#This Row],[3]])),LEN(Tabela1[[#This Row],[3]])-LEN(SUBSTITUTE(Tabela1[[#This Row],[3]],",",""))+1,1),"")</f>
        <v/>
      </c>
      <c r="AC342">
        <f>IF(Tabela1[[#This Row],[4]]&lt;&gt;"",IF(ISNUMBER(FIND(",",Tabela1[[#This Row],[4]])),LEN(Tabela1[[#This Row],[4]])-LEN(SUBSTITUTE(Tabela1[[#This Row],[4]],",",""))+1,1),"")</f>
        <v>1</v>
      </c>
      <c r="AD342" t="str">
        <f>IF(Tabela1[[#This Row],[5]]&lt;&gt;"",IF(ISNUMBER(FIND(",",Tabela1[[#This Row],[5]])),LEN(Tabela1[[#This Row],[5]])-LEN(SUBSTITUTE(Tabela1[[#This Row],[5]],",",""))+1,1),"")</f>
        <v/>
      </c>
      <c r="AE342" t="str">
        <f>IF(Tabela1[[#This Row],[6]]&lt;&gt;"",IF(ISNUMBER(FIND(",",Tabela1[[#This Row],[6]])),LEN(Tabela1[[#This Row],[6]])-LEN(SUBSTITUTE(Tabela1[[#This Row],[6]],",",""))+1,1),"")</f>
        <v/>
      </c>
      <c r="AF342" t="str">
        <f>IF(Tabela1[[#This Row],[7]]&lt;&gt;"",IF(ISNUMBER(FIND(",",Tabela1[[#This Row],[7]])),LEN(Tabela1[[#This Row],[7]])-LEN(SUBSTITUTE(Tabela1[[#This Row],[7]],",",""))+1,1),"")</f>
        <v/>
      </c>
      <c r="AG342" t="str">
        <f>IF(Tabela1[[#This Row],[8]]&lt;&gt;"",IF(ISNUMBER(FIND(",",Tabela1[[#This Row],[8]])),LEN(Tabela1[[#This Row],[8]])-LEN(SUBSTITUTE(Tabela1[[#This Row],[8]],",",""))+1,1),"")</f>
        <v/>
      </c>
      <c r="AH342" t="str">
        <f>IF(Tabela1[[#This Row],[9]]&lt;&gt;"",IF(ISNUMBER(FIND(",",Tabela1[[#This Row],[9]])),LEN(Tabela1[[#This Row],[9]])-LEN(SUBSTITUTE(Tabela1[[#This Row],[9]],",",""))+1,1),"")</f>
        <v/>
      </c>
      <c r="AI342" t="str">
        <f>IF(Tabela1[[#This Row],[10]]&lt;&gt;"",IF(ISNUMBER(FIND(",",Tabela1[[#This Row],[10]])),LEN(Tabela1[[#This Row],[10]])-LEN(SUBSTITUTE(Tabela1[[#This Row],[10]],",",""))+1,1),"")</f>
        <v/>
      </c>
      <c r="AJ342" t="str">
        <f>IF(Tabela1[[#This Row],[11]]&lt;&gt;"",IF(ISNUMBER(FIND(",",Tabela1[[#This Row],[11]])),LEN(Tabela1[[#This Row],[11]])-LEN(SUBSTITUTE(Tabela1[[#This Row],[11]],",",""))+1,1),"")</f>
        <v/>
      </c>
      <c r="AK342" t="str">
        <f>IF(Tabela1[[#This Row],[12]]&lt;&gt;"",IF(ISNUMBER(FIND(",",Tabela1[[#This Row],[12]])),LEN(Tabela1[[#This Row],[12]])-LEN(SUBSTITUTE(Tabela1[[#This Row],[12]],",",""))+1,1),"")</f>
        <v/>
      </c>
      <c r="AL342" t="str">
        <f>IF(Tabela1[[#This Row],[13]]&lt;&gt;"",IF(ISNUMBER(FIND(",",Tabela1[[#This Row],[13]])),LEN(Tabela1[[#This Row],[13]])-LEN(SUBSTITUTE(Tabela1[[#This Row],[13]],",",""))+1,1),"")</f>
        <v/>
      </c>
      <c r="AM342" t="str">
        <f>IF(Tabela1[[#This Row],[14]]&lt;&gt;"",IF(ISNUMBER(FIND(",",Tabela1[[#This Row],[14]])),LEN(Tabela1[[#This Row],[14]])-LEN(SUBSTITUTE(Tabela1[[#This Row],[14]],",",""))+1,1),"")</f>
        <v/>
      </c>
      <c r="AN342" t="str">
        <f>IF(Tabela1[[#This Row],[15]]&lt;&gt;"",IF(ISNUMBER(FIND(",",Tabela1[[#This Row],[15]])),LEN(Tabela1[[#This Row],[15]])-LEN(SUBSTITUTE(Tabela1[[#This Row],[15]],",",""))+1,1),"")</f>
        <v/>
      </c>
      <c r="AO342" t="str">
        <f>IF(Tabela1[[#This Row],[16]]&lt;&gt;"",IF(ISNUMBER(FIND(",",Tabela1[[#This Row],[16]])),LEN(Tabela1[[#This Row],[16]])-LEN(SUBSTITUTE(Tabela1[[#This Row],[16]],",",""))+1,1),"")</f>
        <v/>
      </c>
      <c r="AP342" t="str">
        <f>IF(Tabela1[[#This Row],[17]]&lt;&gt;"",IF(ISNUMBER(FIND(",",Tabela1[[#This Row],[17]])),LEN(Tabela1[[#This Row],[17]])-LEN(SUBSTITUTE(Tabela1[[#This Row],[17]],",",""))+1,1),"")</f>
        <v/>
      </c>
      <c r="AQ342" t="str">
        <f>IF(Tabela1[[#This Row],[18]]&lt;&gt;"",IF(ISNUMBER(FIND(",",Tabela1[[#This Row],[18]])),LEN(Tabela1[[#This Row],[18]])-LEN(SUBSTITUTE(Tabela1[[#This Row],[18]],",",""))+1,1),"")</f>
        <v/>
      </c>
      <c r="AR342" s="13" t="str">
        <f>IF(Tabela1[[#This Row],[19_LENGTH]]&lt;&gt;"",IF(ISNUMBER(FIND(",",Tabela1[[#This Row],[19_LENGTH]])),LEN(Tabela1[[#This Row],[19_LENGTH]])-LEN(SUBSTITUTE(Tabela1[[#This Row],[19_LENGTH]],",",""))+1,1),"")</f>
        <v/>
      </c>
      <c r="AS342" s="21">
        <f>SUM(Tabela1[[#This Row],[1_]:[19_]])</f>
        <v>1</v>
      </c>
    </row>
    <row r="343" spans="1:45" x14ac:dyDescent="0.25">
      <c r="A343" s="27" t="s">
        <v>1323</v>
      </c>
      <c r="B343" s="19" t="s">
        <v>478</v>
      </c>
      <c r="C343" s="19">
        <v>137</v>
      </c>
      <c r="D343" s="19" t="s">
        <v>1315</v>
      </c>
      <c r="E343" s="20">
        <v>43507</v>
      </c>
      <c r="F343" s="19"/>
      <c r="G343" s="19"/>
      <c r="H343" s="19"/>
      <c r="I343" s="19"/>
      <c r="J343" s="19"/>
      <c r="K343" s="19"/>
      <c r="L343" s="19"/>
      <c r="M343" s="19"/>
      <c r="N343" s="19"/>
      <c r="O343" s="19"/>
      <c r="P343" s="19"/>
      <c r="Q343" s="19"/>
      <c r="R343" s="19"/>
      <c r="S343" s="19"/>
      <c r="T343" s="19"/>
      <c r="U343" s="19">
        <v>59</v>
      </c>
      <c r="V343" s="19"/>
      <c r="W343" s="19"/>
      <c r="X343" s="19"/>
      <c r="Y343" s="19"/>
      <c r="Z343" t="str">
        <f>IF(Tabela1[[#This Row],[1]]&lt;&gt;"",IF(ISNUMBER(FIND(",",Tabela1[[#This Row],[1]])),LEN(Tabela1[[#This Row],[1]])-LEN(SUBSTITUTE(Tabela1[[#This Row],[1]],",",""))+1,1),"")</f>
        <v/>
      </c>
      <c r="AA343" t="str">
        <f>IF(Tabela1[[#This Row],[2]]&lt;&gt;"",IF(ISNUMBER(FIND(",",Tabela1[[#This Row],[2]])),LEN(Tabela1[[#This Row],[2]])-LEN(SUBSTITUTE(Tabela1[[#This Row],[2]],",",""))+1,1),"")</f>
        <v/>
      </c>
      <c r="AB343" t="str">
        <f>IF(Tabela1[[#This Row],[3]]&lt;&gt;"",IF(ISNUMBER(FIND(",",Tabela1[[#This Row],[3]])),LEN(Tabela1[[#This Row],[3]])-LEN(SUBSTITUTE(Tabela1[[#This Row],[3]],",",""))+1,1),"")</f>
        <v/>
      </c>
      <c r="AC343" t="str">
        <f>IF(Tabela1[[#This Row],[4]]&lt;&gt;"",IF(ISNUMBER(FIND(",",Tabela1[[#This Row],[4]])),LEN(Tabela1[[#This Row],[4]])-LEN(SUBSTITUTE(Tabela1[[#This Row],[4]],",",""))+1,1),"")</f>
        <v/>
      </c>
      <c r="AD343" t="str">
        <f>IF(Tabela1[[#This Row],[5]]&lt;&gt;"",IF(ISNUMBER(FIND(",",Tabela1[[#This Row],[5]])),LEN(Tabela1[[#This Row],[5]])-LEN(SUBSTITUTE(Tabela1[[#This Row],[5]],",",""))+1,1),"")</f>
        <v/>
      </c>
      <c r="AE343" t="str">
        <f>IF(Tabela1[[#This Row],[6]]&lt;&gt;"",IF(ISNUMBER(FIND(",",Tabela1[[#This Row],[6]])),LEN(Tabela1[[#This Row],[6]])-LEN(SUBSTITUTE(Tabela1[[#This Row],[6]],",",""))+1,1),"")</f>
        <v/>
      </c>
      <c r="AF343" t="str">
        <f>IF(Tabela1[[#This Row],[7]]&lt;&gt;"",IF(ISNUMBER(FIND(",",Tabela1[[#This Row],[7]])),LEN(Tabela1[[#This Row],[7]])-LEN(SUBSTITUTE(Tabela1[[#This Row],[7]],",",""))+1,1),"")</f>
        <v/>
      </c>
      <c r="AG343" t="str">
        <f>IF(Tabela1[[#This Row],[8]]&lt;&gt;"",IF(ISNUMBER(FIND(",",Tabela1[[#This Row],[8]])),LEN(Tabela1[[#This Row],[8]])-LEN(SUBSTITUTE(Tabela1[[#This Row],[8]],",",""))+1,1),"")</f>
        <v/>
      </c>
      <c r="AH343" t="str">
        <f>IF(Tabela1[[#This Row],[9]]&lt;&gt;"",IF(ISNUMBER(FIND(",",Tabela1[[#This Row],[9]])),LEN(Tabela1[[#This Row],[9]])-LEN(SUBSTITUTE(Tabela1[[#This Row],[9]],",",""))+1,1),"")</f>
        <v/>
      </c>
      <c r="AI343" t="str">
        <f>IF(Tabela1[[#This Row],[10]]&lt;&gt;"",IF(ISNUMBER(FIND(",",Tabela1[[#This Row],[10]])),LEN(Tabela1[[#This Row],[10]])-LEN(SUBSTITUTE(Tabela1[[#This Row],[10]],",",""))+1,1),"")</f>
        <v/>
      </c>
      <c r="AJ343" t="str">
        <f>IF(Tabela1[[#This Row],[11]]&lt;&gt;"",IF(ISNUMBER(FIND(",",Tabela1[[#This Row],[11]])),LEN(Tabela1[[#This Row],[11]])-LEN(SUBSTITUTE(Tabela1[[#This Row],[11]],",",""))+1,1),"")</f>
        <v/>
      </c>
      <c r="AK343" t="str">
        <f>IF(Tabela1[[#This Row],[12]]&lt;&gt;"",IF(ISNUMBER(FIND(",",Tabela1[[#This Row],[12]])),LEN(Tabela1[[#This Row],[12]])-LEN(SUBSTITUTE(Tabela1[[#This Row],[12]],",",""))+1,1),"")</f>
        <v/>
      </c>
      <c r="AL343" t="str">
        <f>IF(Tabela1[[#This Row],[13]]&lt;&gt;"",IF(ISNUMBER(FIND(",",Tabela1[[#This Row],[13]])),LEN(Tabela1[[#This Row],[13]])-LEN(SUBSTITUTE(Tabela1[[#This Row],[13]],",",""))+1,1),"")</f>
        <v/>
      </c>
      <c r="AM343" t="str">
        <f>IF(Tabela1[[#This Row],[14]]&lt;&gt;"",IF(ISNUMBER(FIND(",",Tabela1[[#This Row],[14]])),LEN(Tabela1[[#This Row],[14]])-LEN(SUBSTITUTE(Tabela1[[#This Row],[14]],",",""))+1,1),"")</f>
        <v/>
      </c>
      <c r="AN343" t="str">
        <f>IF(Tabela1[[#This Row],[15]]&lt;&gt;"",IF(ISNUMBER(FIND(",",Tabela1[[#This Row],[15]])),LEN(Tabela1[[#This Row],[15]])-LEN(SUBSTITUTE(Tabela1[[#This Row],[15]],",",""))+1,1),"")</f>
        <v/>
      </c>
      <c r="AO343">
        <f>IF(Tabela1[[#This Row],[16]]&lt;&gt;"",IF(ISNUMBER(FIND(",",Tabela1[[#This Row],[16]])),LEN(Tabela1[[#This Row],[16]])-LEN(SUBSTITUTE(Tabela1[[#This Row],[16]],",",""))+1,1),"")</f>
        <v>1</v>
      </c>
      <c r="AP343" t="str">
        <f>IF(Tabela1[[#This Row],[17]]&lt;&gt;"",IF(ISNUMBER(FIND(",",Tabela1[[#This Row],[17]])),LEN(Tabela1[[#This Row],[17]])-LEN(SUBSTITUTE(Tabela1[[#This Row],[17]],",",""))+1,1),"")</f>
        <v/>
      </c>
      <c r="AQ343" t="str">
        <f>IF(Tabela1[[#This Row],[18]]&lt;&gt;"",IF(ISNUMBER(FIND(",",Tabela1[[#This Row],[18]])),LEN(Tabela1[[#This Row],[18]])-LEN(SUBSTITUTE(Tabela1[[#This Row],[18]],",",""))+1,1),"")</f>
        <v/>
      </c>
      <c r="AR343" s="13" t="str">
        <f>IF(Tabela1[[#This Row],[19_LENGTH]]&lt;&gt;"",IF(ISNUMBER(FIND(",",Tabela1[[#This Row],[19_LENGTH]])),LEN(Tabela1[[#This Row],[19_LENGTH]])-LEN(SUBSTITUTE(Tabela1[[#This Row],[19_LENGTH]],",",""))+1,1),"")</f>
        <v/>
      </c>
      <c r="AS343" s="21">
        <f>SUM(Tabela1[[#This Row],[1_]:[19_]])</f>
        <v>1</v>
      </c>
    </row>
    <row r="344" spans="1:45" x14ac:dyDescent="0.25">
      <c r="A344" s="27" t="s">
        <v>1323</v>
      </c>
      <c r="B344" s="19" t="s">
        <v>479</v>
      </c>
      <c r="C344" s="19">
        <v>166</v>
      </c>
      <c r="D344" s="19" t="s">
        <v>1315</v>
      </c>
      <c r="E344" s="20">
        <v>43497</v>
      </c>
      <c r="F344" s="19"/>
      <c r="G344" s="19"/>
      <c r="H344" s="19"/>
      <c r="I344" s="19"/>
      <c r="J344" s="19"/>
      <c r="K344" s="19"/>
      <c r="L344" s="19"/>
      <c r="M344" s="19"/>
      <c r="N344" s="19"/>
      <c r="O344" s="19"/>
      <c r="P344" s="19"/>
      <c r="Q344" s="19"/>
      <c r="R344" s="19"/>
      <c r="S344" s="19"/>
      <c r="T344" s="19"/>
      <c r="U344" s="19" t="s">
        <v>142</v>
      </c>
      <c r="V344" s="19"/>
      <c r="W344" s="19"/>
      <c r="X344" s="19"/>
      <c r="Y344" s="19"/>
      <c r="Z344" t="str">
        <f>IF(Tabela1[[#This Row],[1]]&lt;&gt;"",IF(ISNUMBER(FIND(",",Tabela1[[#This Row],[1]])),LEN(Tabela1[[#This Row],[1]])-LEN(SUBSTITUTE(Tabela1[[#This Row],[1]],",",""))+1,1),"")</f>
        <v/>
      </c>
      <c r="AA344" t="str">
        <f>IF(Tabela1[[#This Row],[2]]&lt;&gt;"",IF(ISNUMBER(FIND(",",Tabela1[[#This Row],[2]])),LEN(Tabela1[[#This Row],[2]])-LEN(SUBSTITUTE(Tabela1[[#This Row],[2]],",",""))+1,1),"")</f>
        <v/>
      </c>
      <c r="AB344" t="str">
        <f>IF(Tabela1[[#This Row],[3]]&lt;&gt;"",IF(ISNUMBER(FIND(",",Tabela1[[#This Row],[3]])),LEN(Tabela1[[#This Row],[3]])-LEN(SUBSTITUTE(Tabela1[[#This Row],[3]],",",""))+1,1),"")</f>
        <v/>
      </c>
      <c r="AC344" t="str">
        <f>IF(Tabela1[[#This Row],[4]]&lt;&gt;"",IF(ISNUMBER(FIND(",",Tabela1[[#This Row],[4]])),LEN(Tabela1[[#This Row],[4]])-LEN(SUBSTITUTE(Tabela1[[#This Row],[4]],",",""))+1,1),"")</f>
        <v/>
      </c>
      <c r="AD344" t="str">
        <f>IF(Tabela1[[#This Row],[5]]&lt;&gt;"",IF(ISNUMBER(FIND(",",Tabela1[[#This Row],[5]])),LEN(Tabela1[[#This Row],[5]])-LEN(SUBSTITUTE(Tabela1[[#This Row],[5]],",",""))+1,1),"")</f>
        <v/>
      </c>
      <c r="AE344" t="str">
        <f>IF(Tabela1[[#This Row],[6]]&lt;&gt;"",IF(ISNUMBER(FIND(",",Tabela1[[#This Row],[6]])),LEN(Tabela1[[#This Row],[6]])-LEN(SUBSTITUTE(Tabela1[[#This Row],[6]],",",""))+1,1),"")</f>
        <v/>
      </c>
      <c r="AF344" t="str">
        <f>IF(Tabela1[[#This Row],[7]]&lt;&gt;"",IF(ISNUMBER(FIND(",",Tabela1[[#This Row],[7]])),LEN(Tabela1[[#This Row],[7]])-LEN(SUBSTITUTE(Tabela1[[#This Row],[7]],",",""))+1,1),"")</f>
        <v/>
      </c>
      <c r="AG344" t="str">
        <f>IF(Tabela1[[#This Row],[8]]&lt;&gt;"",IF(ISNUMBER(FIND(",",Tabela1[[#This Row],[8]])),LEN(Tabela1[[#This Row],[8]])-LEN(SUBSTITUTE(Tabela1[[#This Row],[8]],",",""))+1,1),"")</f>
        <v/>
      </c>
      <c r="AH344" t="str">
        <f>IF(Tabela1[[#This Row],[9]]&lt;&gt;"",IF(ISNUMBER(FIND(",",Tabela1[[#This Row],[9]])),LEN(Tabela1[[#This Row],[9]])-LEN(SUBSTITUTE(Tabela1[[#This Row],[9]],",",""))+1,1),"")</f>
        <v/>
      </c>
      <c r="AI344" t="str">
        <f>IF(Tabela1[[#This Row],[10]]&lt;&gt;"",IF(ISNUMBER(FIND(",",Tabela1[[#This Row],[10]])),LEN(Tabela1[[#This Row],[10]])-LEN(SUBSTITUTE(Tabela1[[#This Row],[10]],",",""))+1,1),"")</f>
        <v/>
      </c>
      <c r="AJ344" t="str">
        <f>IF(Tabela1[[#This Row],[11]]&lt;&gt;"",IF(ISNUMBER(FIND(",",Tabela1[[#This Row],[11]])),LEN(Tabela1[[#This Row],[11]])-LEN(SUBSTITUTE(Tabela1[[#This Row],[11]],",",""))+1,1),"")</f>
        <v/>
      </c>
      <c r="AK344" t="str">
        <f>IF(Tabela1[[#This Row],[12]]&lt;&gt;"",IF(ISNUMBER(FIND(",",Tabela1[[#This Row],[12]])),LEN(Tabela1[[#This Row],[12]])-LEN(SUBSTITUTE(Tabela1[[#This Row],[12]],",",""))+1,1),"")</f>
        <v/>
      </c>
      <c r="AL344" t="str">
        <f>IF(Tabela1[[#This Row],[13]]&lt;&gt;"",IF(ISNUMBER(FIND(",",Tabela1[[#This Row],[13]])),LEN(Tabela1[[#This Row],[13]])-LEN(SUBSTITUTE(Tabela1[[#This Row],[13]],",",""))+1,1),"")</f>
        <v/>
      </c>
      <c r="AM344" t="str">
        <f>IF(Tabela1[[#This Row],[14]]&lt;&gt;"",IF(ISNUMBER(FIND(",",Tabela1[[#This Row],[14]])),LEN(Tabela1[[#This Row],[14]])-LEN(SUBSTITUTE(Tabela1[[#This Row],[14]],",",""))+1,1),"")</f>
        <v/>
      </c>
      <c r="AN344" t="str">
        <f>IF(Tabela1[[#This Row],[15]]&lt;&gt;"",IF(ISNUMBER(FIND(",",Tabela1[[#This Row],[15]])),LEN(Tabela1[[#This Row],[15]])-LEN(SUBSTITUTE(Tabela1[[#This Row],[15]],",",""))+1,1),"")</f>
        <v/>
      </c>
      <c r="AO344">
        <f>IF(Tabela1[[#This Row],[16]]&lt;&gt;"",IF(ISNUMBER(FIND(",",Tabela1[[#This Row],[16]])),LEN(Tabela1[[#This Row],[16]])-LEN(SUBSTITUTE(Tabela1[[#This Row],[16]],",",""))+1,1),"")</f>
        <v>2</v>
      </c>
      <c r="AP344" t="str">
        <f>IF(Tabela1[[#This Row],[17]]&lt;&gt;"",IF(ISNUMBER(FIND(",",Tabela1[[#This Row],[17]])),LEN(Tabela1[[#This Row],[17]])-LEN(SUBSTITUTE(Tabela1[[#This Row],[17]],",",""))+1,1),"")</f>
        <v/>
      </c>
      <c r="AQ344" t="str">
        <f>IF(Tabela1[[#This Row],[18]]&lt;&gt;"",IF(ISNUMBER(FIND(",",Tabela1[[#This Row],[18]])),LEN(Tabela1[[#This Row],[18]])-LEN(SUBSTITUTE(Tabela1[[#This Row],[18]],",",""))+1,1),"")</f>
        <v/>
      </c>
      <c r="AR344" s="13" t="str">
        <f>IF(Tabela1[[#This Row],[19_LENGTH]]&lt;&gt;"",IF(ISNUMBER(FIND(",",Tabela1[[#This Row],[19_LENGTH]])),LEN(Tabela1[[#This Row],[19_LENGTH]])-LEN(SUBSTITUTE(Tabela1[[#This Row],[19_LENGTH]],",",""))+1,1),"")</f>
        <v/>
      </c>
      <c r="AS344" s="21">
        <f>SUM(Tabela1[[#This Row],[1_]:[19_]])</f>
        <v>2</v>
      </c>
    </row>
    <row r="345" spans="1:45" x14ac:dyDescent="0.25">
      <c r="A345" s="27" t="s">
        <v>1323</v>
      </c>
      <c r="B345" s="19" t="s">
        <v>480</v>
      </c>
      <c r="C345" s="19">
        <v>202</v>
      </c>
      <c r="D345" s="19" t="s">
        <v>1315</v>
      </c>
      <c r="E345" s="20">
        <v>43507</v>
      </c>
      <c r="F345" s="19"/>
      <c r="G345" s="19"/>
      <c r="H345" s="19"/>
      <c r="I345" s="19"/>
      <c r="J345" s="19"/>
      <c r="K345" s="19"/>
      <c r="L345" s="19"/>
      <c r="M345" s="19">
        <v>52</v>
      </c>
      <c r="N345" s="19"/>
      <c r="O345" s="19"/>
      <c r="P345" s="19"/>
      <c r="Q345" s="19"/>
      <c r="R345" s="19"/>
      <c r="S345" s="19"/>
      <c r="T345" s="19"/>
      <c r="U345" s="19"/>
      <c r="V345" s="19"/>
      <c r="W345" s="19"/>
      <c r="X345" s="19"/>
      <c r="Y345" s="19"/>
      <c r="Z345" t="str">
        <f>IF(Tabela1[[#This Row],[1]]&lt;&gt;"",IF(ISNUMBER(FIND(",",Tabela1[[#This Row],[1]])),LEN(Tabela1[[#This Row],[1]])-LEN(SUBSTITUTE(Tabela1[[#This Row],[1]],",",""))+1,1),"")</f>
        <v/>
      </c>
      <c r="AA345" t="str">
        <f>IF(Tabela1[[#This Row],[2]]&lt;&gt;"",IF(ISNUMBER(FIND(",",Tabela1[[#This Row],[2]])),LEN(Tabela1[[#This Row],[2]])-LEN(SUBSTITUTE(Tabela1[[#This Row],[2]],",",""))+1,1),"")</f>
        <v/>
      </c>
      <c r="AB345" t="str">
        <f>IF(Tabela1[[#This Row],[3]]&lt;&gt;"",IF(ISNUMBER(FIND(",",Tabela1[[#This Row],[3]])),LEN(Tabela1[[#This Row],[3]])-LEN(SUBSTITUTE(Tabela1[[#This Row],[3]],",",""))+1,1),"")</f>
        <v/>
      </c>
      <c r="AC345" t="str">
        <f>IF(Tabela1[[#This Row],[4]]&lt;&gt;"",IF(ISNUMBER(FIND(",",Tabela1[[#This Row],[4]])),LEN(Tabela1[[#This Row],[4]])-LEN(SUBSTITUTE(Tabela1[[#This Row],[4]],",",""))+1,1),"")</f>
        <v/>
      </c>
      <c r="AD345" t="str">
        <f>IF(Tabela1[[#This Row],[5]]&lt;&gt;"",IF(ISNUMBER(FIND(",",Tabela1[[#This Row],[5]])),LEN(Tabela1[[#This Row],[5]])-LEN(SUBSTITUTE(Tabela1[[#This Row],[5]],",",""))+1,1),"")</f>
        <v/>
      </c>
      <c r="AE345" t="str">
        <f>IF(Tabela1[[#This Row],[6]]&lt;&gt;"",IF(ISNUMBER(FIND(",",Tabela1[[#This Row],[6]])),LEN(Tabela1[[#This Row],[6]])-LEN(SUBSTITUTE(Tabela1[[#This Row],[6]],",",""))+1,1),"")</f>
        <v/>
      </c>
      <c r="AF345" t="str">
        <f>IF(Tabela1[[#This Row],[7]]&lt;&gt;"",IF(ISNUMBER(FIND(",",Tabela1[[#This Row],[7]])),LEN(Tabela1[[#This Row],[7]])-LEN(SUBSTITUTE(Tabela1[[#This Row],[7]],",",""))+1,1),"")</f>
        <v/>
      </c>
      <c r="AG345">
        <f>IF(Tabela1[[#This Row],[8]]&lt;&gt;"",IF(ISNUMBER(FIND(",",Tabela1[[#This Row],[8]])),LEN(Tabela1[[#This Row],[8]])-LEN(SUBSTITUTE(Tabela1[[#This Row],[8]],",",""))+1,1),"")</f>
        <v>1</v>
      </c>
      <c r="AH345" t="str">
        <f>IF(Tabela1[[#This Row],[9]]&lt;&gt;"",IF(ISNUMBER(FIND(",",Tabela1[[#This Row],[9]])),LEN(Tabela1[[#This Row],[9]])-LEN(SUBSTITUTE(Tabela1[[#This Row],[9]],",",""))+1,1),"")</f>
        <v/>
      </c>
      <c r="AI345" t="str">
        <f>IF(Tabela1[[#This Row],[10]]&lt;&gt;"",IF(ISNUMBER(FIND(",",Tabela1[[#This Row],[10]])),LEN(Tabela1[[#This Row],[10]])-LEN(SUBSTITUTE(Tabela1[[#This Row],[10]],",",""))+1,1),"")</f>
        <v/>
      </c>
      <c r="AJ345" t="str">
        <f>IF(Tabela1[[#This Row],[11]]&lt;&gt;"",IF(ISNUMBER(FIND(",",Tabela1[[#This Row],[11]])),LEN(Tabela1[[#This Row],[11]])-LEN(SUBSTITUTE(Tabela1[[#This Row],[11]],",",""))+1,1),"")</f>
        <v/>
      </c>
      <c r="AK345" t="str">
        <f>IF(Tabela1[[#This Row],[12]]&lt;&gt;"",IF(ISNUMBER(FIND(",",Tabela1[[#This Row],[12]])),LEN(Tabela1[[#This Row],[12]])-LEN(SUBSTITUTE(Tabela1[[#This Row],[12]],",",""))+1,1),"")</f>
        <v/>
      </c>
      <c r="AL345" t="str">
        <f>IF(Tabela1[[#This Row],[13]]&lt;&gt;"",IF(ISNUMBER(FIND(",",Tabela1[[#This Row],[13]])),LEN(Tabela1[[#This Row],[13]])-LEN(SUBSTITUTE(Tabela1[[#This Row],[13]],",",""))+1,1),"")</f>
        <v/>
      </c>
      <c r="AM345" t="str">
        <f>IF(Tabela1[[#This Row],[14]]&lt;&gt;"",IF(ISNUMBER(FIND(",",Tabela1[[#This Row],[14]])),LEN(Tabela1[[#This Row],[14]])-LEN(SUBSTITUTE(Tabela1[[#This Row],[14]],",",""))+1,1),"")</f>
        <v/>
      </c>
      <c r="AN345" t="str">
        <f>IF(Tabela1[[#This Row],[15]]&lt;&gt;"",IF(ISNUMBER(FIND(",",Tabela1[[#This Row],[15]])),LEN(Tabela1[[#This Row],[15]])-LEN(SUBSTITUTE(Tabela1[[#This Row],[15]],",",""))+1,1),"")</f>
        <v/>
      </c>
      <c r="AO345" t="str">
        <f>IF(Tabela1[[#This Row],[16]]&lt;&gt;"",IF(ISNUMBER(FIND(",",Tabela1[[#This Row],[16]])),LEN(Tabela1[[#This Row],[16]])-LEN(SUBSTITUTE(Tabela1[[#This Row],[16]],",",""))+1,1),"")</f>
        <v/>
      </c>
      <c r="AP345" t="str">
        <f>IF(Tabela1[[#This Row],[17]]&lt;&gt;"",IF(ISNUMBER(FIND(",",Tabela1[[#This Row],[17]])),LEN(Tabela1[[#This Row],[17]])-LEN(SUBSTITUTE(Tabela1[[#This Row],[17]],",",""))+1,1),"")</f>
        <v/>
      </c>
      <c r="AQ345" t="str">
        <f>IF(Tabela1[[#This Row],[18]]&lt;&gt;"",IF(ISNUMBER(FIND(",",Tabela1[[#This Row],[18]])),LEN(Tabela1[[#This Row],[18]])-LEN(SUBSTITUTE(Tabela1[[#This Row],[18]],",",""))+1,1),"")</f>
        <v/>
      </c>
      <c r="AR345" s="13" t="str">
        <f>IF(Tabela1[[#This Row],[19_LENGTH]]&lt;&gt;"",IF(ISNUMBER(FIND(",",Tabela1[[#This Row],[19_LENGTH]])),LEN(Tabela1[[#This Row],[19_LENGTH]])-LEN(SUBSTITUTE(Tabela1[[#This Row],[19_LENGTH]],",",""))+1,1),"")</f>
        <v/>
      </c>
      <c r="AS345" s="21">
        <f>SUM(Tabela1[[#This Row],[1_]:[19_]])</f>
        <v>1</v>
      </c>
    </row>
    <row r="346" spans="1:45" x14ac:dyDescent="0.25">
      <c r="A346" s="27" t="s">
        <v>1323</v>
      </c>
      <c r="B346" s="19" t="s">
        <v>481</v>
      </c>
      <c r="C346" s="19">
        <v>202</v>
      </c>
      <c r="D346" s="19" t="s">
        <v>1315</v>
      </c>
      <c r="E346" s="20">
        <v>43507</v>
      </c>
      <c r="F346" s="19"/>
      <c r="G346" s="19"/>
      <c r="H346" s="19"/>
      <c r="I346" s="19"/>
      <c r="J346" s="19"/>
      <c r="K346" s="19">
        <v>115</v>
      </c>
      <c r="L346" s="19"/>
      <c r="M346" s="19"/>
      <c r="N346" s="19"/>
      <c r="O346" s="19"/>
      <c r="P346" s="19"/>
      <c r="Q346" s="19"/>
      <c r="R346" s="19"/>
      <c r="S346" s="19"/>
      <c r="T346" s="19"/>
      <c r="U346" s="19"/>
      <c r="V346" s="19"/>
      <c r="W346" s="19"/>
      <c r="X346" s="19"/>
      <c r="Y346" s="19"/>
      <c r="Z346" t="str">
        <f>IF(Tabela1[[#This Row],[1]]&lt;&gt;"",IF(ISNUMBER(FIND(",",Tabela1[[#This Row],[1]])),LEN(Tabela1[[#This Row],[1]])-LEN(SUBSTITUTE(Tabela1[[#This Row],[1]],",",""))+1,1),"")</f>
        <v/>
      </c>
      <c r="AA346" t="str">
        <f>IF(Tabela1[[#This Row],[2]]&lt;&gt;"",IF(ISNUMBER(FIND(",",Tabela1[[#This Row],[2]])),LEN(Tabela1[[#This Row],[2]])-LEN(SUBSTITUTE(Tabela1[[#This Row],[2]],",",""))+1,1),"")</f>
        <v/>
      </c>
      <c r="AB346" t="str">
        <f>IF(Tabela1[[#This Row],[3]]&lt;&gt;"",IF(ISNUMBER(FIND(",",Tabela1[[#This Row],[3]])),LEN(Tabela1[[#This Row],[3]])-LEN(SUBSTITUTE(Tabela1[[#This Row],[3]],",",""))+1,1),"")</f>
        <v/>
      </c>
      <c r="AC346" t="str">
        <f>IF(Tabela1[[#This Row],[4]]&lt;&gt;"",IF(ISNUMBER(FIND(",",Tabela1[[#This Row],[4]])),LEN(Tabela1[[#This Row],[4]])-LEN(SUBSTITUTE(Tabela1[[#This Row],[4]],",",""))+1,1),"")</f>
        <v/>
      </c>
      <c r="AD346" t="str">
        <f>IF(Tabela1[[#This Row],[5]]&lt;&gt;"",IF(ISNUMBER(FIND(",",Tabela1[[#This Row],[5]])),LEN(Tabela1[[#This Row],[5]])-LEN(SUBSTITUTE(Tabela1[[#This Row],[5]],",",""))+1,1),"")</f>
        <v/>
      </c>
      <c r="AE346">
        <f>IF(Tabela1[[#This Row],[6]]&lt;&gt;"",IF(ISNUMBER(FIND(",",Tabela1[[#This Row],[6]])),LEN(Tabela1[[#This Row],[6]])-LEN(SUBSTITUTE(Tabela1[[#This Row],[6]],",",""))+1,1),"")</f>
        <v>1</v>
      </c>
      <c r="AF346" t="str">
        <f>IF(Tabela1[[#This Row],[7]]&lt;&gt;"",IF(ISNUMBER(FIND(",",Tabela1[[#This Row],[7]])),LEN(Tabela1[[#This Row],[7]])-LEN(SUBSTITUTE(Tabela1[[#This Row],[7]],",",""))+1,1),"")</f>
        <v/>
      </c>
      <c r="AG346" t="str">
        <f>IF(Tabela1[[#This Row],[8]]&lt;&gt;"",IF(ISNUMBER(FIND(",",Tabela1[[#This Row],[8]])),LEN(Tabela1[[#This Row],[8]])-LEN(SUBSTITUTE(Tabela1[[#This Row],[8]],",",""))+1,1),"")</f>
        <v/>
      </c>
      <c r="AH346" t="str">
        <f>IF(Tabela1[[#This Row],[9]]&lt;&gt;"",IF(ISNUMBER(FIND(",",Tabela1[[#This Row],[9]])),LEN(Tabela1[[#This Row],[9]])-LEN(SUBSTITUTE(Tabela1[[#This Row],[9]],",",""))+1,1),"")</f>
        <v/>
      </c>
      <c r="AI346" t="str">
        <f>IF(Tabela1[[#This Row],[10]]&lt;&gt;"",IF(ISNUMBER(FIND(",",Tabela1[[#This Row],[10]])),LEN(Tabela1[[#This Row],[10]])-LEN(SUBSTITUTE(Tabela1[[#This Row],[10]],",",""))+1,1),"")</f>
        <v/>
      </c>
      <c r="AJ346" t="str">
        <f>IF(Tabela1[[#This Row],[11]]&lt;&gt;"",IF(ISNUMBER(FIND(",",Tabela1[[#This Row],[11]])),LEN(Tabela1[[#This Row],[11]])-LEN(SUBSTITUTE(Tabela1[[#This Row],[11]],",",""))+1,1),"")</f>
        <v/>
      </c>
      <c r="AK346" t="str">
        <f>IF(Tabela1[[#This Row],[12]]&lt;&gt;"",IF(ISNUMBER(FIND(",",Tabela1[[#This Row],[12]])),LEN(Tabela1[[#This Row],[12]])-LEN(SUBSTITUTE(Tabela1[[#This Row],[12]],",",""))+1,1),"")</f>
        <v/>
      </c>
      <c r="AL346" t="str">
        <f>IF(Tabela1[[#This Row],[13]]&lt;&gt;"",IF(ISNUMBER(FIND(",",Tabela1[[#This Row],[13]])),LEN(Tabela1[[#This Row],[13]])-LEN(SUBSTITUTE(Tabela1[[#This Row],[13]],",",""))+1,1),"")</f>
        <v/>
      </c>
      <c r="AM346" t="str">
        <f>IF(Tabela1[[#This Row],[14]]&lt;&gt;"",IF(ISNUMBER(FIND(",",Tabela1[[#This Row],[14]])),LEN(Tabela1[[#This Row],[14]])-LEN(SUBSTITUTE(Tabela1[[#This Row],[14]],",",""))+1,1),"")</f>
        <v/>
      </c>
      <c r="AN346" t="str">
        <f>IF(Tabela1[[#This Row],[15]]&lt;&gt;"",IF(ISNUMBER(FIND(",",Tabela1[[#This Row],[15]])),LEN(Tabela1[[#This Row],[15]])-LEN(SUBSTITUTE(Tabela1[[#This Row],[15]],",",""))+1,1),"")</f>
        <v/>
      </c>
      <c r="AO346" t="str">
        <f>IF(Tabela1[[#This Row],[16]]&lt;&gt;"",IF(ISNUMBER(FIND(",",Tabela1[[#This Row],[16]])),LEN(Tabela1[[#This Row],[16]])-LEN(SUBSTITUTE(Tabela1[[#This Row],[16]],",",""))+1,1),"")</f>
        <v/>
      </c>
      <c r="AP346" t="str">
        <f>IF(Tabela1[[#This Row],[17]]&lt;&gt;"",IF(ISNUMBER(FIND(",",Tabela1[[#This Row],[17]])),LEN(Tabela1[[#This Row],[17]])-LEN(SUBSTITUTE(Tabela1[[#This Row],[17]],",",""))+1,1),"")</f>
        <v/>
      </c>
      <c r="AQ346" t="str">
        <f>IF(Tabela1[[#This Row],[18]]&lt;&gt;"",IF(ISNUMBER(FIND(",",Tabela1[[#This Row],[18]])),LEN(Tabela1[[#This Row],[18]])-LEN(SUBSTITUTE(Tabela1[[#This Row],[18]],",",""))+1,1),"")</f>
        <v/>
      </c>
      <c r="AR346" s="13" t="str">
        <f>IF(Tabela1[[#This Row],[19_LENGTH]]&lt;&gt;"",IF(ISNUMBER(FIND(",",Tabela1[[#This Row],[19_LENGTH]])),LEN(Tabela1[[#This Row],[19_LENGTH]])-LEN(SUBSTITUTE(Tabela1[[#This Row],[19_LENGTH]],",",""))+1,1),"")</f>
        <v/>
      </c>
      <c r="AS346" s="21">
        <f>SUM(Tabela1[[#This Row],[1_]:[19_]])</f>
        <v>1</v>
      </c>
    </row>
    <row r="347" spans="1:45" x14ac:dyDescent="0.25">
      <c r="A347" s="27" t="s">
        <v>1323</v>
      </c>
      <c r="B347" s="19" t="s">
        <v>482</v>
      </c>
      <c r="C347" s="19">
        <v>202</v>
      </c>
      <c r="D347" s="19" t="s">
        <v>1297</v>
      </c>
      <c r="E347" s="20">
        <v>43508</v>
      </c>
      <c r="F347" s="19"/>
      <c r="G347" s="19"/>
      <c r="H347" s="19"/>
      <c r="I347" s="19"/>
      <c r="J347" s="19">
        <v>8</v>
      </c>
      <c r="K347" s="19"/>
      <c r="L347" s="19"/>
      <c r="M347" s="19"/>
      <c r="N347" s="19"/>
      <c r="O347" s="19"/>
      <c r="P347" s="19"/>
      <c r="Q347" s="19"/>
      <c r="R347" s="19"/>
      <c r="S347" s="19"/>
      <c r="T347" s="19"/>
      <c r="U347" s="19"/>
      <c r="V347" s="19"/>
      <c r="W347" s="19"/>
      <c r="X347" s="19"/>
      <c r="Y347" s="19"/>
      <c r="Z347" t="str">
        <f>IF(Tabela1[[#This Row],[1]]&lt;&gt;"",IF(ISNUMBER(FIND(",",Tabela1[[#This Row],[1]])),LEN(Tabela1[[#This Row],[1]])-LEN(SUBSTITUTE(Tabela1[[#This Row],[1]],",",""))+1,1),"")</f>
        <v/>
      </c>
      <c r="AA347" t="str">
        <f>IF(Tabela1[[#This Row],[2]]&lt;&gt;"",IF(ISNUMBER(FIND(",",Tabela1[[#This Row],[2]])),LEN(Tabela1[[#This Row],[2]])-LEN(SUBSTITUTE(Tabela1[[#This Row],[2]],",",""))+1,1),"")</f>
        <v/>
      </c>
      <c r="AB347" t="str">
        <f>IF(Tabela1[[#This Row],[3]]&lt;&gt;"",IF(ISNUMBER(FIND(",",Tabela1[[#This Row],[3]])),LEN(Tabela1[[#This Row],[3]])-LEN(SUBSTITUTE(Tabela1[[#This Row],[3]],",",""))+1,1),"")</f>
        <v/>
      </c>
      <c r="AC347" t="str">
        <f>IF(Tabela1[[#This Row],[4]]&lt;&gt;"",IF(ISNUMBER(FIND(",",Tabela1[[#This Row],[4]])),LEN(Tabela1[[#This Row],[4]])-LEN(SUBSTITUTE(Tabela1[[#This Row],[4]],",",""))+1,1),"")</f>
        <v/>
      </c>
      <c r="AD347">
        <f>IF(Tabela1[[#This Row],[5]]&lt;&gt;"",IF(ISNUMBER(FIND(",",Tabela1[[#This Row],[5]])),LEN(Tabela1[[#This Row],[5]])-LEN(SUBSTITUTE(Tabela1[[#This Row],[5]],",",""))+1,1),"")</f>
        <v>1</v>
      </c>
      <c r="AE347" t="str">
        <f>IF(Tabela1[[#This Row],[6]]&lt;&gt;"",IF(ISNUMBER(FIND(",",Tabela1[[#This Row],[6]])),LEN(Tabela1[[#This Row],[6]])-LEN(SUBSTITUTE(Tabela1[[#This Row],[6]],",",""))+1,1),"")</f>
        <v/>
      </c>
      <c r="AF347" t="str">
        <f>IF(Tabela1[[#This Row],[7]]&lt;&gt;"",IF(ISNUMBER(FIND(",",Tabela1[[#This Row],[7]])),LEN(Tabela1[[#This Row],[7]])-LEN(SUBSTITUTE(Tabela1[[#This Row],[7]],",",""))+1,1),"")</f>
        <v/>
      </c>
      <c r="AG347" t="str">
        <f>IF(Tabela1[[#This Row],[8]]&lt;&gt;"",IF(ISNUMBER(FIND(",",Tabela1[[#This Row],[8]])),LEN(Tabela1[[#This Row],[8]])-LEN(SUBSTITUTE(Tabela1[[#This Row],[8]],",",""))+1,1),"")</f>
        <v/>
      </c>
      <c r="AH347" t="str">
        <f>IF(Tabela1[[#This Row],[9]]&lt;&gt;"",IF(ISNUMBER(FIND(",",Tabela1[[#This Row],[9]])),LEN(Tabela1[[#This Row],[9]])-LEN(SUBSTITUTE(Tabela1[[#This Row],[9]],",",""))+1,1),"")</f>
        <v/>
      </c>
      <c r="AI347" t="str">
        <f>IF(Tabela1[[#This Row],[10]]&lt;&gt;"",IF(ISNUMBER(FIND(",",Tabela1[[#This Row],[10]])),LEN(Tabela1[[#This Row],[10]])-LEN(SUBSTITUTE(Tabela1[[#This Row],[10]],",",""))+1,1),"")</f>
        <v/>
      </c>
      <c r="AJ347" t="str">
        <f>IF(Tabela1[[#This Row],[11]]&lt;&gt;"",IF(ISNUMBER(FIND(",",Tabela1[[#This Row],[11]])),LEN(Tabela1[[#This Row],[11]])-LEN(SUBSTITUTE(Tabela1[[#This Row],[11]],",",""))+1,1),"")</f>
        <v/>
      </c>
      <c r="AK347" t="str">
        <f>IF(Tabela1[[#This Row],[12]]&lt;&gt;"",IF(ISNUMBER(FIND(",",Tabela1[[#This Row],[12]])),LEN(Tabela1[[#This Row],[12]])-LEN(SUBSTITUTE(Tabela1[[#This Row],[12]],",",""))+1,1),"")</f>
        <v/>
      </c>
      <c r="AL347" t="str">
        <f>IF(Tabela1[[#This Row],[13]]&lt;&gt;"",IF(ISNUMBER(FIND(",",Tabela1[[#This Row],[13]])),LEN(Tabela1[[#This Row],[13]])-LEN(SUBSTITUTE(Tabela1[[#This Row],[13]],",",""))+1,1),"")</f>
        <v/>
      </c>
      <c r="AM347" t="str">
        <f>IF(Tabela1[[#This Row],[14]]&lt;&gt;"",IF(ISNUMBER(FIND(",",Tabela1[[#This Row],[14]])),LEN(Tabela1[[#This Row],[14]])-LEN(SUBSTITUTE(Tabela1[[#This Row],[14]],",",""))+1,1),"")</f>
        <v/>
      </c>
      <c r="AN347" t="str">
        <f>IF(Tabela1[[#This Row],[15]]&lt;&gt;"",IF(ISNUMBER(FIND(",",Tabela1[[#This Row],[15]])),LEN(Tabela1[[#This Row],[15]])-LEN(SUBSTITUTE(Tabela1[[#This Row],[15]],",",""))+1,1),"")</f>
        <v/>
      </c>
      <c r="AO347" t="str">
        <f>IF(Tabela1[[#This Row],[16]]&lt;&gt;"",IF(ISNUMBER(FIND(",",Tabela1[[#This Row],[16]])),LEN(Tabela1[[#This Row],[16]])-LEN(SUBSTITUTE(Tabela1[[#This Row],[16]],",",""))+1,1),"")</f>
        <v/>
      </c>
      <c r="AP347" t="str">
        <f>IF(Tabela1[[#This Row],[17]]&lt;&gt;"",IF(ISNUMBER(FIND(",",Tabela1[[#This Row],[17]])),LEN(Tabela1[[#This Row],[17]])-LEN(SUBSTITUTE(Tabela1[[#This Row],[17]],",",""))+1,1),"")</f>
        <v/>
      </c>
      <c r="AQ347" t="str">
        <f>IF(Tabela1[[#This Row],[18]]&lt;&gt;"",IF(ISNUMBER(FIND(",",Tabela1[[#This Row],[18]])),LEN(Tabela1[[#This Row],[18]])-LEN(SUBSTITUTE(Tabela1[[#This Row],[18]],",",""))+1,1),"")</f>
        <v/>
      </c>
      <c r="AR347" s="13" t="str">
        <f>IF(Tabela1[[#This Row],[19_LENGTH]]&lt;&gt;"",IF(ISNUMBER(FIND(",",Tabela1[[#This Row],[19_LENGTH]])),LEN(Tabela1[[#This Row],[19_LENGTH]])-LEN(SUBSTITUTE(Tabela1[[#This Row],[19_LENGTH]],",",""))+1,1),"")</f>
        <v/>
      </c>
      <c r="AS347" s="21">
        <f>SUM(Tabela1[[#This Row],[1_]:[19_]])</f>
        <v>1</v>
      </c>
    </row>
    <row r="348" spans="1:45" x14ac:dyDescent="0.25">
      <c r="A348" s="27" t="s">
        <v>1323</v>
      </c>
      <c r="B348" s="19" t="s">
        <v>483</v>
      </c>
      <c r="C348" s="19">
        <v>202</v>
      </c>
      <c r="D348" s="19" t="s">
        <v>1297</v>
      </c>
      <c r="E348" s="20">
        <v>43508</v>
      </c>
      <c r="F348" s="19"/>
      <c r="G348" s="19"/>
      <c r="H348" s="19"/>
      <c r="I348" s="19"/>
      <c r="J348" s="19"/>
      <c r="K348" s="19"/>
      <c r="L348" s="19"/>
      <c r="M348" s="19"/>
      <c r="N348" s="19"/>
      <c r="O348" s="19"/>
      <c r="P348" s="19"/>
      <c r="Q348" s="19"/>
      <c r="R348" s="19" t="s">
        <v>143</v>
      </c>
      <c r="S348" s="19"/>
      <c r="T348" s="19"/>
      <c r="U348" s="19"/>
      <c r="V348" s="19"/>
      <c r="W348" s="19"/>
      <c r="X348" s="19"/>
      <c r="Y348" s="19"/>
      <c r="Z348" t="str">
        <f>IF(Tabela1[[#This Row],[1]]&lt;&gt;"",IF(ISNUMBER(FIND(",",Tabela1[[#This Row],[1]])),LEN(Tabela1[[#This Row],[1]])-LEN(SUBSTITUTE(Tabela1[[#This Row],[1]],",",""))+1,1),"")</f>
        <v/>
      </c>
      <c r="AA348" t="str">
        <f>IF(Tabela1[[#This Row],[2]]&lt;&gt;"",IF(ISNUMBER(FIND(",",Tabela1[[#This Row],[2]])),LEN(Tabela1[[#This Row],[2]])-LEN(SUBSTITUTE(Tabela1[[#This Row],[2]],",",""))+1,1),"")</f>
        <v/>
      </c>
      <c r="AB348" t="str">
        <f>IF(Tabela1[[#This Row],[3]]&lt;&gt;"",IF(ISNUMBER(FIND(",",Tabela1[[#This Row],[3]])),LEN(Tabela1[[#This Row],[3]])-LEN(SUBSTITUTE(Tabela1[[#This Row],[3]],",",""))+1,1),"")</f>
        <v/>
      </c>
      <c r="AC348" t="str">
        <f>IF(Tabela1[[#This Row],[4]]&lt;&gt;"",IF(ISNUMBER(FIND(",",Tabela1[[#This Row],[4]])),LEN(Tabela1[[#This Row],[4]])-LEN(SUBSTITUTE(Tabela1[[#This Row],[4]],",",""))+1,1),"")</f>
        <v/>
      </c>
      <c r="AD348" t="str">
        <f>IF(Tabela1[[#This Row],[5]]&lt;&gt;"",IF(ISNUMBER(FIND(",",Tabela1[[#This Row],[5]])),LEN(Tabela1[[#This Row],[5]])-LEN(SUBSTITUTE(Tabela1[[#This Row],[5]],",",""))+1,1),"")</f>
        <v/>
      </c>
      <c r="AE348" t="str">
        <f>IF(Tabela1[[#This Row],[6]]&lt;&gt;"",IF(ISNUMBER(FIND(",",Tabela1[[#This Row],[6]])),LEN(Tabela1[[#This Row],[6]])-LEN(SUBSTITUTE(Tabela1[[#This Row],[6]],",",""))+1,1),"")</f>
        <v/>
      </c>
      <c r="AF348" t="str">
        <f>IF(Tabela1[[#This Row],[7]]&lt;&gt;"",IF(ISNUMBER(FIND(",",Tabela1[[#This Row],[7]])),LEN(Tabela1[[#This Row],[7]])-LEN(SUBSTITUTE(Tabela1[[#This Row],[7]],",",""))+1,1),"")</f>
        <v/>
      </c>
      <c r="AG348" t="str">
        <f>IF(Tabela1[[#This Row],[8]]&lt;&gt;"",IF(ISNUMBER(FIND(",",Tabela1[[#This Row],[8]])),LEN(Tabela1[[#This Row],[8]])-LEN(SUBSTITUTE(Tabela1[[#This Row],[8]],",",""))+1,1),"")</f>
        <v/>
      </c>
      <c r="AH348" t="str">
        <f>IF(Tabela1[[#This Row],[9]]&lt;&gt;"",IF(ISNUMBER(FIND(",",Tabela1[[#This Row],[9]])),LEN(Tabela1[[#This Row],[9]])-LEN(SUBSTITUTE(Tabela1[[#This Row],[9]],",",""))+1,1),"")</f>
        <v/>
      </c>
      <c r="AI348" t="str">
        <f>IF(Tabela1[[#This Row],[10]]&lt;&gt;"",IF(ISNUMBER(FIND(",",Tabela1[[#This Row],[10]])),LEN(Tabela1[[#This Row],[10]])-LEN(SUBSTITUTE(Tabela1[[#This Row],[10]],",",""))+1,1),"")</f>
        <v/>
      </c>
      <c r="AJ348" t="str">
        <f>IF(Tabela1[[#This Row],[11]]&lt;&gt;"",IF(ISNUMBER(FIND(",",Tabela1[[#This Row],[11]])),LEN(Tabela1[[#This Row],[11]])-LEN(SUBSTITUTE(Tabela1[[#This Row],[11]],",",""))+1,1),"")</f>
        <v/>
      </c>
      <c r="AK348" t="str">
        <f>IF(Tabela1[[#This Row],[12]]&lt;&gt;"",IF(ISNUMBER(FIND(",",Tabela1[[#This Row],[12]])),LEN(Tabela1[[#This Row],[12]])-LEN(SUBSTITUTE(Tabela1[[#This Row],[12]],",",""))+1,1),"")</f>
        <v/>
      </c>
      <c r="AL348">
        <f>IF(Tabela1[[#This Row],[13]]&lt;&gt;"",IF(ISNUMBER(FIND(",",Tabela1[[#This Row],[13]])),LEN(Tabela1[[#This Row],[13]])-LEN(SUBSTITUTE(Tabela1[[#This Row],[13]],",",""))+1,1),"")</f>
        <v>1</v>
      </c>
      <c r="AM348" t="str">
        <f>IF(Tabela1[[#This Row],[14]]&lt;&gt;"",IF(ISNUMBER(FIND(",",Tabela1[[#This Row],[14]])),LEN(Tabela1[[#This Row],[14]])-LEN(SUBSTITUTE(Tabela1[[#This Row],[14]],",",""))+1,1),"")</f>
        <v/>
      </c>
      <c r="AN348" t="str">
        <f>IF(Tabela1[[#This Row],[15]]&lt;&gt;"",IF(ISNUMBER(FIND(",",Tabela1[[#This Row],[15]])),LEN(Tabela1[[#This Row],[15]])-LEN(SUBSTITUTE(Tabela1[[#This Row],[15]],",",""))+1,1),"")</f>
        <v/>
      </c>
      <c r="AO348" t="str">
        <f>IF(Tabela1[[#This Row],[16]]&lt;&gt;"",IF(ISNUMBER(FIND(",",Tabela1[[#This Row],[16]])),LEN(Tabela1[[#This Row],[16]])-LEN(SUBSTITUTE(Tabela1[[#This Row],[16]],",",""))+1,1),"")</f>
        <v/>
      </c>
      <c r="AP348" t="str">
        <f>IF(Tabela1[[#This Row],[17]]&lt;&gt;"",IF(ISNUMBER(FIND(",",Tabela1[[#This Row],[17]])),LEN(Tabela1[[#This Row],[17]])-LEN(SUBSTITUTE(Tabela1[[#This Row],[17]],",",""))+1,1),"")</f>
        <v/>
      </c>
      <c r="AQ348" t="str">
        <f>IF(Tabela1[[#This Row],[18]]&lt;&gt;"",IF(ISNUMBER(FIND(",",Tabela1[[#This Row],[18]])),LEN(Tabela1[[#This Row],[18]])-LEN(SUBSTITUTE(Tabela1[[#This Row],[18]],",",""))+1,1),"")</f>
        <v/>
      </c>
      <c r="AR348" s="13" t="str">
        <f>IF(Tabela1[[#This Row],[19_LENGTH]]&lt;&gt;"",IF(ISNUMBER(FIND(",",Tabela1[[#This Row],[19_LENGTH]])),LEN(Tabela1[[#This Row],[19_LENGTH]])-LEN(SUBSTITUTE(Tabela1[[#This Row],[19_LENGTH]],",",""))+1,1),"")</f>
        <v/>
      </c>
      <c r="AS348" s="21">
        <f>SUM(Tabela1[[#This Row],[1_]:[19_]])</f>
        <v>1</v>
      </c>
    </row>
    <row r="349" spans="1:45" x14ac:dyDescent="0.25">
      <c r="A349" s="27" t="s">
        <v>1323</v>
      </c>
      <c r="B349" s="19" t="s">
        <v>484</v>
      </c>
      <c r="C349" s="19">
        <v>208</v>
      </c>
      <c r="D349" s="19" t="s">
        <v>1314</v>
      </c>
      <c r="E349" s="20">
        <v>43508</v>
      </c>
      <c r="F349" s="19"/>
      <c r="G349" s="19"/>
      <c r="H349" s="19"/>
      <c r="I349" s="19" t="s">
        <v>144</v>
      </c>
      <c r="J349" s="19">
        <v>96</v>
      </c>
      <c r="K349" s="19"/>
      <c r="L349" s="19"/>
      <c r="M349" s="19">
        <v>182</v>
      </c>
      <c r="N349" s="19"/>
      <c r="O349" s="19"/>
      <c r="P349" s="19"/>
      <c r="Q349" s="19"/>
      <c r="R349" s="19"/>
      <c r="S349" s="19"/>
      <c r="T349" s="19"/>
      <c r="U349" s="19"/>
      <c r="V349" s="19"/>
      <c r="W349" s="19"/>
      <c r="X349" s="19"/>
      <c r="Y349" s="19"/>
      <c r="Z349" t="str">
        <f>IF(Tabela1[[#This Row],[1]]&lt;&gt;"",IF(ISNUMBER(FIND(",",Tabela1[[#This Row],[1]])),LEN(Tabela1[[#This Row],[1]])-LEN(SUBSTITUTE(Tabela1[[#This Row],[1]],",",""))+1,1),"")</f>
        <v/>
      </c>
      <c r="AA349" t="str">
        <f>IF(Tabela1[[#This Row],[2]]&lt;&gt;"",IF(ISNUMBER(FIND(",",Tabela1[[#This Row],[2]])),LEN(Tabela1[[#This Row],[2]])-LEN(SUBSTITUTE(Tabela1[[#This Row],[2]],",",""))+1,1),"")</f>
        <v/>
      </c>
      <c r="AB349" t="str">
        <f>IF(Tabela1[[#This Row],[3]]&lt;&gt;"",IF(ISNUMBER(FIND(",",Tabela1[[#This Row],[3]])),LEN(Tabela1[[#This Row],[3]])-LEN(SUBSTITUTE(Tabela1[[#This Row],[3]],",",""))+1,1),"")</f>
        <v/>
      </c>
      <c r="AC349">
        <f>IF(Tabela1[[#This Row],[4]]&lt;&gt;"",IF(ISNUMBER(FIND(",",Tabela1[[#This Row],[4]])),LEN(Tabela1[[#This Row],[4]])-LEN(SUBSTITUTE(Tabela1[[#This Row],[4]],",",""))+1,1),"")</f>
        <v>2</v>
      </c>
      <c r="AD349">
        <f>IF(Tabela1[[#This Row],[5]]&lt;&gt;"",IF(ISNUMBER(FIND(",",Tabela1[[#This Row],[5]])),LEN(Tabela1[[#This Row],[5]])-LEN(SUBSTITUTE(Tabela1[[#This Row],[5]],",",""))+1,1),"")</f>
        <v>1</v>
      </c>
      <c r="AE349" t="str">
        <f>IF(Tabela1[[#This Row],[6]]&lt;&gt;"",IF(ISNUMBER(FIND(",",Tabela1[[#This Row],[6]])),LEN(Tabela1[[#This Row],[6]])-LEN(SUBSTITUTE(Tabela1[[#This Row],[6]],",",""))+1,1),"")</f>
        <v/>
      </c>
      <c r="AF349" t="str">
        <f>IF(Tabela1[[#This Row],[7]]&lt;&gt;"",IF(ISNUMBER(FIND(",",Tabela1[[#This Row],[7]])),LEN(Tabela1[[#This Row],[7]])-LEN(SUBSTITUTE(Tabela1[[#This Row],[7]],",",""))+1,1),"")</f>
        <v/>
      </c>
      <c r="AG349">
        <f>IF(Tabela1[[#This Row],[8]]&lt;&gt;"",IF(ISNUMBER(FIND(",",Tabela1[[#This Row],[8]])),LEN(Tabela1[[#This Row],[8]])-LEN(SUBSTITUTE(Tabela1[[#This Row],[8]],",",""))+1,1),"")</f>
        <v>1</v>
      </c>
      <c r="AH349" t="str">
        <f>IF(Tabela1[[#This Row],[9]]&lt;&gt;"",IF(ISNUMBER(FIND(",",Tabela1[[#This Row],[9]])),LEN(Tabela1[[#This Row],[9]])-LEN(SUBSTITUTE(Tabela1[[#This Row],[9]],",",""))+1,1),"")</f>
        <v/>
      </c>
      <c r="AI349" t="str">
        <f>IF(Tabela1[[#This Row],[10]]&lt;&gt;"",IF(ISNUMBER(FIND(",",Tabela1[[#This Row],[10]])),LEN(Tabela1[[#This Row],[10]])-LEN(SUBSTITUTE(Tabela1[[#This Row],[10]],",",""))+1,1),"")</f>
        <v/>
      </c>
      <c r="AJ349" t="str">
        <f>IF(Tabela1[[#This Row],[11]]&lt;&gt;"",IF(ISNUMBER(FIND(",",Tabela1[[#This Row],[11]])),LEN(Tabela1[[#This Row],[11]])-LEN(SUBSTITUTE(Tabela1[[#This Row],[11]],",",""))+1,1),"")</f>
        <v/>
      </c>
      <c r="AK349" t="str">
        <f>IF(Tabela1[[#This Row],[12]]&lt;&gt;"",IF(ISNUMBER(FIND(",",Tabela1[[#This Row],[12]])),LEN(Tabela1[[#This Row],[12]])-LEN(SUBSTITUTE(Tabela1[[#This Row],[12]],",",""))+1,1),"")</f>
        <v/>
      </c>
      <c r="AL349" t="str">
        <f>IF(Tabela1[[#This Row],[13]]&lt;&gt;"",IF(ISNUMBER(FIND(",",Tabela1[[#This Row],[13]])),LEN(Tabela1[[#This Row],[13]])-LEN(SUBSTITUTE(Tabela1[[#This Row],[13]],",",""))+1,1),"")</f>
        <v/>
      </c>
      <c r="AM349" t="str">
        <f>IF(Tabela1[[#This Row],[14]]&lt;&gt;"",IF(ISNUMBER(FIND(",",Tabela1[[#This Row],[14]])),LEN(Tabela1[[#This Row],[14]])-LEN(SUBSTITUTE(Tabela1[[#This Row],[14]],",",""))+1,1),"")</f>
        <v/>
      </c>
      <c r="AN349" t="str">
        <f>IF(Tabela1[[#This Row],[15]]&lt;&gt;"",IF(ISNUMBER(FIND(",",Tabela1[[#This Row],[15]])),LEN(Tabela1[[#This Row],[15]])-LEN(SUBSTITUTE(Tabela1[[#This Row],[15]],",",""))+1,1),"")</f>
        <v/>
      </c>
      <c r="AO349" t="str">
        <f>IF(Tabela1[[#This Row],[16]]&lt;&gt;"",IF(ISNUMBER(FIND(",",Tabela1[[#This Row],[16]])),LEN(Tabela1[[#This Row],[16]])-LEN(SUBSTITUTE(Tabela1[[#This Row],[16]],",",""))+1,1),"")</f>
        <v/>
      </c>
      <c r="AP349" t="str">
        <f>IF(Tabela1[[#This Row],[17]]&lt;&gt;"",IF(ISNUMBER(FIND(",",Tabela1[[#This Row],[17]])),LEN(Tabela1[[#This Row],[17]])-LEN(SUBSTITUTE(Tabela1[[#This Row],[17]],",",""))+1,1),"")</f>
        <v/>
      </c>
      <c r="AQ349" t="str">
        <f>IF(Tabela1[[#This Row],[18]]&lt;&gt;"",IF(ISNUMBER(FIND(",",Tabela1[[#This Row],[18]])),LEN(Tabela1[[#This Row],[18]])-LEN(SUBSTITUTE(Tabela1[[#This Row],[18]],",",""))+1,1),"")</f>
        <v/>
      </c>
      <c r="AR349" s="13" t="str">
        <f>IF(Tabela1[[#This Row],[19_LENGTH]]&lt;&gt;"",IF(ISNUMBER(FIND(",",Tabela1[[#This Row],[19_LENGTH]])),LEN(Tabela1[[#This Row],[19_LENGTH]])-LEN(SUBSTITUTE(Tabela1[[#This Row],[19_LENGTH]],",",""))+1,1),"")</f>
        <v/>
      </c>
      <c r="AS349" s="21">
        <f>SUM(Tabela1[[#This Row],[1_]:[19_]])</f>
        <v>4</v>
      </c>
    </row>
    <row r="350" spans="1:45" x14ac:dyDescent="0.25">
      <c r="A350" s="27" t="s">
        <v>1323</v>
      </c>
      <c r="B350" s="19" t="s">
        <v>802</v>
      </c>
      <c r="C350" s="19">
        <v>202</v>
      </c>
      <c r="D350" s="19" t="s">
        <v>1298</v>
      </c>
      <c r="E350" s="20">
        <v>43508</v>
      </c>
      <c r="F350" s="19"/>
      <c r="G350" s="19"/>
      <c r="H350" s="19"/>
      <c r="I350" s="19">
        <v>80</v>
      </c>
      <c r="J350" s="19"/>
      <c r="K350" s="19"/>
      <c r="L350" s="19"/>
      <c r="M350" s="19"/>
      <c r="N350" s="19"/>
      <c r="O350" s="19"/>
      <c r="P350" s="19"/>
      <c r="Q350" s="19"/>
      <c r="R350" s="19"/>
      <c r="S350" s="19"/>
      <c r="T350" s="19"/>
      <c r="U350" s="19"/>
      <c r="V350" s="19"/>
      <c r="W350" s="19"/>
      <c r="X350" s="19"/>
      <c r="Y350" s="19"/>
      <c r="Z350" t="str">
        <f>IF(Tabela1[[#This Row],[1]]&lt;&gt;"",IF(ISNUMBER(FIND(",",Tabela1[[#This Row],[1]])),LEN(Tabela1[[#This Row],[1]])-LEN(SUBSTITUTE(Tabela1[[#This Row],[1]],",",""))+1,1),"")</f>
        <v/>
      </c>
      <c r="AA350" t="str">
        <f>IF(Tabela1[[#This Row],[2]]&lt;&gt;"",IF(ISNUMBER(FIND(",",Tabela1[[#This Row],[2]])),LEN(Tabela1[[#This Row],[2]])-LEN(SUBSTITUTE(Tabela1[[#This Row],[2]],",",""))+1,1),"")</f>
        <v/>
      </c>
      <c r="AB350" t="str">
        <f>IF(Tabela1[[#This Row],[3]]&lt;&gt;"",IF(ISNUMBER(FIND(",",Tabela1[[#This Row],[3]])),LEN(Tabela1[[#This Row],[3]])-LEN(SUBSTITUTE(Tabela1[[#This Row],[3]],",",""))+1,1),"")</f>
        <v/>
      </c>
      <c r="AC350">
        <f>IF(Tabela1[[#This Row],[4]]&lt;&gt;"",IF(ISNUMBER(FIND(",",Tabela1[[#This Row],[4]])),LEN(Tabela1[[#This Row],[4]])-LEN(SUBSTITUTE(Tabela1[[#This Row],[4]],",",""))+1,1),"")</f>
        <v>1</v>
      </c>
      <c r="AD350" t="str">
        <f>IF(Tabela1[[#This Row],[5]]&lt;&gt;"",IF(ISNUMBER(FIND(",",Tabela1[[#This Row],[5]])),LEN(Tabela1[[#This Row],[5]])-LEN(SUBSTITUTE(Tabela1[[#This Row],[5]],",",""))+1,1),"")</f>
        <v/>
      </c>
      <c r="AE350" t="str">
        <f>IF(Tabela1[[#This Row],[6]]&lt;&gt;"",IF(ISNUMBER(FIND(",",Tabela1[[#This Row],[6]])),LEN(Tabela1[[#This Row],[6]])-LEN(SUBSTITUTE(Tabela1[[#This Row],[6]],",",""))+1,1),"")</f>
        <v/>
      </c>
      <c r="AF350" t="str">
        <f>IF(Tabela1[[#This Row],[7]]&lt;&gt;"",IF(ISNUMBER(FIND(",",Tabela1[[#This Row],[7]])),LEN(Tabela1[[#This Row],[7]])-LEN(SUBSTITUTE(Tabela1[[#This Row],[7]],",",""))+1,1),"")</f>
        <v/>
      </c>
      <c r="AG350" t="str">
        <f>IF(Tabela1[[#This Row],[8]]&lt;&gt;"",IF(ISNUMBER(FIND(",",Tabela1[[#This Row],[8]])),LEN(Tabela1[[#This Row],[8]])-LEN(SUBSTITUTE(Tabela1[[#This Row],[8]],",",""))+1,1),"")</f>
        <v/>
      </c>
      <c r="AH350" t="str">
        <f>IF(Tabela1[[#This Row],[9]]&lt;&gt;"",IF(ISNUMBER(FIND(",",Tabela1[[#This Row],[9]])),LEN(Tabela1[[#This Row],[9]])-LEN(SUBSTITUTE(Tabela1[[#This Row],[9]],",",""))+1,1),"")</f>
        <v/>
      </c>
      <c r="AI350" t="str">
        <f>IF(Tabela1[[#This Row],[10]]&lt;&gt;"",IF(ISNUMBER(FIND(",",Tabela1[[#This Row],[10]])),LEN(Tabela1[[#This Row],[10]])-LEN(SUBSTITUTE(Tabela1[[#This Row],[10]],",",""))+1,1),"")</f>
        <v/>
      </c>
      <c r="AJ350" t="str">
        <f>IF(Tabela1[[#This Row],[11]]&lt;&gt;"",IF(ISNUMBER(FIND(",",Tabela1[[#This Row],[11]])),LEN(Tabela1[[#This Row],[11]])-LEN(SUBSTITUTE(Tabela1[[#This Row],[11]],",",""))+1,1),"")</f>
        <v/>
      </c>
      <c r="AK350" t="str">
        <f>IF(Tabela1[[#This Row],[12]]&lt;&gt;"",IF(ISNUMBER(FIND(",",Tabela1[[#This Row],[12]])),LEN(Tabela1[[#This Row],[12]])-LEN(SUBSTITUTE(Tabela1[[#This Row],[12]],",",""))+1,1),"")</f>
        <v/>
      </c>
      <c r="AL350" t="str">
        <f>IF(Tabela1[[#This Row],[13]]&lt;&gt;"",IF(ISNUMBER(FIND(",",Tabela1[[#This Row],[13]])),LEN(Tabela1[[#This Row],[13]])-LEN(SUBSTITUTE(Tabela1[[#This Row],[13]],",",""))+1,1),"")</f>
        <v/>
      </c>
      <c r="AM350" t="str">
        <f>IF(Tabela1[[#This Row],[14]]&lt;&gt;"",IF(ISNUMBER(FIND(",",Tabela1[[#This Row],[14]])),LEN(Tabela1[[#This Row],[14]])-LEN(SUBSTITUTE(Tabela1[[#This Row],[14]],",",""))+1,1),"")</f>
        <v/>
      </c>
      <c r="AN350" t="str">
        <f>IF(Tabela1[[#This Row],[15]]&lt;&gt;"",IF(ISNUMBER(FIND(",",Tabela1[[#This Row],[15]])),LEN(Tabela1[[#This Row],[15]])-LEN(SUBSTITUTE(Tabela1[[#This Row],[15]],",",""))+1,1),"")</f>
        <v/>
      </c>
      <c r="AO350" t="str">
        <f>IF(Tabela1[[#This Row],[16]]&lt;&gt;"",IF(ISNUMBER(FIND(",",Tabela1[[#This Row],[16]])),LEN(Tabela1[[#This Row],[16]])-LEN(SUBSTITUTE(Tabela1[[#This Row],[16]],",",""))+1,1),"")</f>
        <v/>
      </c>
      <c r="AP350" t="str">
        <f>IF(Tabela1[[#This Row],[17]]&lt;&gt;"",IF(ISNUMBER(FIND(",",Tabela1[[#This Row],[17]])),LEN(Tabela1[[#This Row],[17]])-LEN(SUBSTITUTE(Tabela1[[#This Row],[17]],",",""))+1,1),"")</f>
        <v/>
      </c>
      <c r="AQ350" t="str">
        <f>IF(Tabela1[[#This Row],[18]]&lt;&gt;"",IF(ISNUMBER(FIND(",",Tabela1[[#This Row],[18]])),LEN(Tabela1[[#This Row],[18]])-LEN(SUBSTITUTE(Tabela1[[#This Row],[18]],",",""))+1,1),"")</f>
        <v/>
      </c>
      <c r="AR350" s="13" t="str">
        <f>IF(Tabela1[[#This Row],[19_LENGTH]]&lt;&gt;"",IF(ISNUMBER(FIND(",",Tabela1[[#This Row],[19_LENGTH]])),LEN(Tabela1[[#This Row],[19_LENGTH]])-LEN(SUBSTITUTE(Tabela1[[#This Row],[19_LENGTH]],",",""))+1,1),"")</f>
        <v/>
      </c>
      <c r="AS350" s="21">
        <f>SUM(Tabela1[[#This Row],[1_]:[19_]])</f>
        <v>1</v>
      </c>
    </row>
    <row r="351" spans="1:45" x14ac:dyDescent="0.25">
      <c r="A351" s="27" t="s">
        <v>1323</v>
      </c>
      <c r="B351" s="19" t="s">
        <v>803</v>
      </c>
      <c r="C351" s="19">
        <v>212</v>
      </c>
      <c r="D351" s="19" t="s">
        <v>1314</v>
      </c>
      <c r="E351" s="20">
        <v>43508</v>
      </c>
      <c r="F351" s="19"/>
      <c r="G351" s="19"/>
      <c r="H351" s="19" t="s">
        <v>145</v>
      </c>
      <c r="I351" s="19"/>
      <c r="J351" s="19"/>
      <c r="K351" s="19"/>
      <c r="L351" s="19"/>
      <c r="M351" s="19"/>
      <c r="N351" s="19"/>
      <c r="O351" s="19"/>
      <c r="P351" s="19"/>
      <c r="Q351" s="19"/>
      <c r="R351" s="19"/>
      <c r="S351" s="19"/>
      <c r="T351" s="19"/>
      <c r="U351" s="19"/>
      <c r="V351" s="19"/>
      <c r="W351" s="19"/>
      <c r="X351" s="19"/>
      <c r="Y351" s="19"/>
      <c r="Z351" t="str">
        <f>IF(Tabela1[[#This Row],[1]]&lt;&gt;"",IF(ISNUMBER(FIND(",",Tabela1[[#This Row],[1]])),LEN(Tabela1[[#This Row],[1]])-LEN(SUBSTITUTE(Tabela1[[#This Row],[1]],",",""))+1,1),"")</f>
        <v/>
      </c>
      <c r="AA351" t="str">
        <f>IF(Tabela1[[#This Row],[2]]&lt;&gt;"",IF(ISNUMBER(FIND(",",Tabela1[[#This Row],[2]])),LEN(Tabela1[[#This Row],[2]])-LEN(SUBSTITUTE(Tabela1[[#This Row],[2]],",",""))+1,1),"")</f>
        <v/>
      </c>
      <c r="AB351">
        <f>IF(Tabela1[[#This Row],[3]]&lt;&gt;"",IF(ISNUMBER(FIND(",",Tabela1[[#This Row],[3]])),LEN(Tabela1[[#This Row],[3]])-LEN(SUBSTITUTE(Tabela1[[#This Row],[3]],",",""))+1,1),"")</f>
        <v>2</v>
      </c>
      <c r="AC351" t="str">
        <f>IF(Tabela1[[#This Row],[4]]&lt;&gt;"",IF(ISNUMBER(FIND(",",Tabela1[[#This Row],[4]])),LEN(Tabela1[[#This Row],[4]])-LEN(SUBSTITUTE(Tabela1[[#This Row],[4]],",",""))+1,1),"")</f>
        <v/>
      </c>
      <c r="AD351" t="str">
        <f>IF(Tabela1[[#This Row],[5]]&lt;&gt;"",IF(ISNUMBER(FIND(",",Tabela1[[#This Row],[5]])),LEN(Tabela1[[#This Row],[5]])-LEN(SUBSTITUTE(Tabela1[[#This Row],[5]],",",""))+1,1),"")</f>
        <v/>
      </c>
      <c r="AE351" t="str">
        <f>IF(Tabela1[[#This Row],[6]]&lt;&gt;"",IF(ISNUMBER(FIND(",",Tabela1[[#This Row],[6]])),LEN(Tabela1[[#This Row],[6]])-LEN(SUBSTITUTE(Tabela1[[#This Row],[6]],",",""))+1,1),"")</f>
        <v/>
      </c>
      <c r="AF351" t="str">
        <f>IF(Tabela1[[#This Row],[7]]&lt;&gt;"",IF(ISNUMBER(FIND(",",Tabela1[[#This Row],[7]])),LEN(Tabela1[[#This Row],[7]])-LEN(SUBSTITUTE(Tabela1[[#This Row],[7]],",",""))+1,1),"")</f>
        <v/>
      </c>
      <c r="AG351" t="str">
        <f>IF(Tabela1[[#This Row],[8]]&lt;&gt;"",IF(ISNUMBER(FIND(",",Tabela1[[#This Row],[8]])),LEN(Tabela1[[#This Row],[8]])-LEN(SUBSTITUTE(Tabela1[[#This Row],[8]],",",""))+1,1),"")</f>
        <v/>
      </c>
      <c r="AH351" t="str">
        <f>IF(Tabela1[[#This Row],[9]]&lt;&gt;"",IF(ISNUMBER(FIND(",",Tabela1[[#This Row],[9]])),LEN(Tabela1[[#This Row],[9]])-LEN(SUBSTITUTE(Tabela1[[#This Row],[9]],",",""))+1,1),"")</f>
        <v/>
      </c>
      <c r="AI351" t="str">
        <f>IF(Tabela1[[#This Row],[10]]&lt;&gt;"",IF(ISNUMBER(FIND(",",Tabela1[[#This Row],[10]])),LEN(Tabela1[[#This Row],[10]])-LEN(SUBSTITUTE(Tabela1[[#This Row],[10]],",",""))+1,1),"")</f>
        <v/>
      </c>
      <c r="AJ351" t="str">
        <f>IF(Tabela1[[#This Row],[11]]&lt;&gt;"",IF(ISNUMBER(FIND(",",Tabela1[[#This Row],[11]])),LEN(Tabela1[[#This Row],[11]])-LEN(SUBSTITUTE(Tabela1[[#This Row],[11]],",",""))+1,1),"")</f>
        <v/>
      </c>
      <c r="AK351" t="str">
        <f>IF(Tabela1[[#This Row],[12]]&lt;&gt;"",IF(ISNUMBER(FIND(",",Tabela1[[#This Row],[12]])),LEN(Tabela1[[#This Row],[12]])-LEN(SUBSTITUTE(Tabela1[[#This Row],[12]],",",""))+1,1),"")</f>
        <v/>
      </c>
      <c r="AL351" t="str">
        <f>IF(Tabela1[[#This Row],[13]]&lt;&gt;"",IF(ISNUMBER(FIND(",",Tabela1[[#This Row],[13]])),LEN(Tabela1[[#This Row],[13]])-LEN(SUBSTITUTE(Tabela1[[#This Row],[13]],",",""))+1,1),"")</f>
        <v/>
      </c>
      <c r="AM351" t="str">
        <f>IF(Tabela1[[#This Row],[14]]&lt;&gt;"",IF(ISNUMBER(FIND(",",Tabela1[[#This Row],[14]])),LEN(Tabela1[[#This Row],[14]])-LEN(SUBSTITUTE(Tabela1[[#This Row],[14]],",",""))+1,1),"")</f>
        <v/>
      </c>
      <c r="AN351" t="str">
        <f>IF(Tabela1[[#This Row],[15]]&lt;&gt;"",IF(ISNUMBER(FIND(",",Tabela1[[#This Row],[15]])),LEN(Tabela1[[#This Row],[15]])-LEN(SUBSTITUTE(Tabela1[[#This Row],[15]],",",""))+1,1),"")</f>
        <v/>
      </c>
      <c r="AO351" t="str">
        <f>IF(Tabela1[[#This Row],[16]]&lt;&gt;"",IF(ISNUMBER(FIND(",",Tabela1[[#This Row],[16]])),LEN(Tabela1[[#This Row],[16]])-LEN(SUBSTITUTE(Tabela1[[#This Row],[16]],",",""))+1,1),"")</f>
        <v/>
      </c>
      <c r="AP351" t="str">
        <f>IF(Tabela1[[#This Row],[17]]&lt;&gt;"",IF(ISNUMBER(FIND(",",Tabela1[[#This Row],[17]])),LEN(Tabela1[[#This Row],[17]])-LEN(SUBSTITUTE(Tabela1[[#This Row],[17]],",",""))+1,1),"")</f>
        <v/>
      </c>
      <c r="AQ351" t="str">
        <f>IF(Tabela1[[#This Row],[18]]&lt;&gt;"",IF(ISNUMBER(FIND(",",Tabela1[[#This Row],[18]])),LEN(Tabela1[[#This Row],[18]])-LEN(SUBSTITUTE(Tabela1[[#This Row],[18]],",",""))+1,1),"")</f>
        <v/>
      </c>
      <c r="AR351" s="13" t="str">
        <f>IF(Tabela1[[#This Row],[19_LENGTH]]&lt;&gt;"",IF(ISNUMBER(FIND(",",Tabela1[[#This Row],[19_LENGTH]])),LEN(Tabela1[[#This Row],[19_LENGTH]])-LEN(SUBSTITUTE(Tabela1[[#This Row],[19_LENGTH]],",",""))+1,1),"")</f>
        <v/>
      </c>
      <c r="AS351" s="21">
        <f>SUM(Tabela1[[#This Row],[1_]:[19_]])</f>
        <v>2</v>
      </c>
    </row>
    <row r="352" spans="1:45" x14ac:dyDescent="0.25">
      <c r="A352" s="27" t="s">
        <v>1323</v>
      </c>
      <c r="B352" s="19" t="s">
        <v>804</v>
      </c>
      <c r="C352" s="19">
        <v>202</v>
      </c>
      <c r="D352" s="19" t="s">
        <v>1314</v>
      </c>
      <c r="E352" s="20">
        <v>43508</v>
      </c>
      <c r="F352" s="19"/>
      <c r="G352" s="19"/>
      <c r="H352" s="19"/>
      <c r="I352" s="19"/>
      <c r="J352" s="19"/>
      <c r="K352" s="19"/>
      <c r="L352" s="19"/>
      <c r="M352" s="19"/>
      <c r="N352" s="19"/>
      <c r="O352" s="19"/>
      <c r="P352" s="19"/>
      <c r="Q352" s="19"/>
      <c r="R352" s="19">
        <v>12</v>
      </c>
      <c r="S352" s="19"/>
      <c r="T352" s="19"/>
      <c r="U352" s="19"/>
      <c r="V352" s="19"/>
      <c r="W352" s="19"/>
      <c r="X352" s="19"/>
      <c r="Y352" s="19"/>
      <c r="Z352" t="str">
        <f>IF(Tabela1[[#This Row],[1]]&lt;&gt;"",IF(ISNUMBER(FIND(",",Tabela1[[#This Row],[1]])),LEN(Tabela1[[#This Row],[1]])-LEN(SUBSTITUTE(Tabela1[[#This Row],[1]],",",""))+1,1),"")</f>
        <v/>
      </c>
      <c r="AA352" t="str">
        <f>IF(Tabela1[[#This Row],[2]]&lt;&gt;"",IF(ISNUMBER(FIND(",",Tabela1[[#This Row],[2]])),LEN(Tabela1[[#This Row],[2]])-LEN(SUBSTITUTE(Tabela1[[#This Row],[2]],",",""))+1,1),"")</f>
        <v/>
      </c>
      <c r="AB352" t="str">
        <f>IF(Tabela1[[#This Row],[3]]&lt;&gt;"",IF(ISNUMBER(FIND(",",Tabela1[[#This Row],[3]])),LEN(Tabela1[[#This Row],[3]])-LEN(SUBSTITUTE(Tabela1[[#This Row],[3]],",",""))+1,1),"")</f>
        <v/>
      </c>
      <c r="AC352" t="str">
        <f>IF(Tabela1[[#This Row],[4]]&lt;&gt;"",IF(ISNUMBER(FIND(",",Tabela1[[#This Row],[4]])),LEN(Tabela1[[#This Row],[4]])-LEN(SUBSTITUTE(Tabela1[[#This Row],[4]],",",""))+1,1),"")</f>
        <v/>
      </c>
      <c r="AD352" t="str">
        <f>IF(Tabela1[[#This Row],[5]]&lt;&gt;"",IF(ISNUMBER(FIND(",",Tabela1[[#This Row],[5]])),LEN(Tabela1[[#This Row],[5]])-LEN(SUBSTITUTE(Tabela1[[#This Row],[5]],",",""))+1,1),"")</f>
        <v/>
      </c>
      <c r="AE352" t="str">
        <f>IF(Tabela1[[#This Row],[6]]&lt;&gt;"",IF(ISNUMBER(FIND(",",Tabela1[[#This Row],[6]])),LEN(Tabela1[[#This Row],[6]])-LEN(SUBSTITUTE(Tabela1[[#This Row],[6]],",",""))+1,1),"")</f>
        <v/>
      </c>
      <c r="AF352" t="str">
        <f>IF(Tabela1[[#This Row],[7]]&lt;&gt;"",IF(ISNUMBER(FIND(",",Tabela1[[#This Row],[7]])),LEN(Tabela1[[#This Row],[7]])-LEN(SUBSTITUTE(Tabela1[[#This Row],[7]],",",""))+1,1),"")</f>
        <v/>
      </c>
      <c r="AG352" t="str">
        <f>IF(Tabela1[[#This Row],[8]]&lt;&gt;"",IF(ISNUMBER(FIND(",",Tabela1[[#This Row],[8]])),LEN(Tabela1[[#This Row],[8]])-LEN(SUBSTITUTE(Tabela1[[#This Row],[8]],",",""))+1,1),"")</f>
        <v/>
      </c>
      <c r="AH352" t="str">
        <f>IF(Tabela1[[#This Row],[9]]&lt;&gt;"",IF(ISNUMBER(FIND(",",Tabela1[[#This Row],[9]])),LEN(Tabela1[[#This Row],[9]])-LEN(SUBSTITUTE(Tabela1[[#This Row],[9]],",",""))+1,1),"")</f>
        <v/>
      </c>
      <c r="AI352" t="str">
        <f>IF(Tabela1[[#This Row],[10]]&lt;&gt;"",IF(ISNUMBER(FIND(",",Tabela1[[#This Row],[10]])),LEN(Tabela1[[#This Row],[10]])-LEN(SUBSTITUTE(Tabela1[[#This Row],[10]],",",""))+1,1),"")</f>
        <v/>
      </c>
      <c r="AJ352" t="str">
        <f>IF(Tabela1[[#This Row],[11]]&lt;&gt;"",IF(ISNUMBER(FIND(",",Tabela1[[#This Row],[11]])),LEN(Tabela1[[#This Row],[11]])-LEN(SUBSTITUTE(Tabela1[[#This Row],[11]],",",""))+1,1),"")</f>
        <v/>
      </c>
      <c r="AK352" t="str">
        <f>IF(Tabela1[[#This Row],[12]]&lt;&gt;"",IF(ISNUMBER(FIND(",",Tabela1[[#This Row],[12]])),LEN(Tabela1[[#This Row],[12]])-LEN(SUBSTITUTE(Tabela1[[#This Row],[12]],",",""))+1,1),"")</f>
        <v/>
      </c>
      <c r="AL352">
        <f>IF(Tabela1[[#This Row],[13]]&lt;&gt;"",IF(ISNUMBER(FIND(",",Tabela1[[#This Row],[13]])),LEN(Tabela1[[#This Row],[13]])-LEN(SUBSTITUTE(Tabela1[[#This Row],[13]],",",""))+1,1),"")</f>
        <v>1</v>
      </c>
      <c r="AM352" t="str">
        <f>IF(Tabela1[[#This Row],[14]]&lt;&gt;"",IF(ISNUMBER(FIND(",",Tabela1[[#This Row],[14]])),LEN(Tabela1[[#This Row],[14]])-LEN(SUBSTITUTE(Tabela1[[#This Row],[14]],",",""))+1,1),"")</f>
        <v/>
      </c>
      <c r="AN352" t="str">
        <f>IF(Tabela1[[#This Row],[15]]&lt;&gt;"",IF(ISNUMBER(FIND(",",Tabela1[[#This Row],[15]])),LEN(Tabela1[[#This Row],[15]])-LEN(SUBSTITUTE(Tabela1[[#This Row],[15]],",",""))+1,1),"")</f>
        <v/>
      </c>
      <c r="AO352" t="str">
        <f>IF(Tabela1[[#This Row],[16]]&lt;&gt;"",IF(ISNUMBER(FIND(",",Tabela1[[#This Row],[16]])),LEN(Tabela1[[#This Row],[16]])-LEN(SUBSTITUTE(Tabela1[[#This Row],[16]],",",""))+1,1),"")</f>
        <v/>
      </c>
      <c r="AP352" t="str">
        <f>IF(Tabela1[[#This Row],[17]]&lt;&gt;"",IF(ISNUMBER(FIND(",",Tabela1[[#This Row],[17]])),LEN(Tabela1[[#This Row],[17]])-LEN(SUBSTITUTE(Tabela1[[#This Row],[17]],",",""))+1,1),"")</f>
        <v/>
      </c>
      <c r="AQ352" t="str">
        <f>IF(Tabela1[[#This Row],[18]]&lt;&gt;"",IF(ISNUMBER(FIND(",",Tabela1[[#This Row],[18]])),LEN(Tabela1[[#This Row],[18]])-LEN(SUBSTITUTE(Tabela1[[#This Row],[18]],",",""))+1,1),"")</f>
        <v/>
      </c>
      <c r="AR352" s="13" t="str">
        <f>IF(Tabela1[[#This Row],[19_LENGTH]]&lt;&gt;"",IF(ISNUMBER(FIND(",",Tabela1[[#This Row],[19_LENGTH]])),LEN(Tabela1[[#This Row],[19_LENGTH]])-LEN(SUBSTITUTE(Tabela1[[#This Row],[19_LENGTH]],",",""))+1,1),"")</f>
        <v/>
      </c>
      <c r="AS352" s="21">
        <f>SUM(Tabela1[[#This Row],[1_]:[19_]])</f>
        <v>1</v>
      </c>
    </row>
    <row r="353" spans="1:45" x14ac:dyDescent="0.25">
      <c r="A353" s="27" t="s">
        <v>1323</v>
      </c>
      <c r="B353" s="19" t="s">
        <v>805</v>
      </c>
      <c r="C353" s="19">
        <v>202</v>
      </c>
      <c r="D353" s="19" t="s">
        <v>1314</v>
      </c>
      <c r="E353" s="20">
        <v>43508</v>
      </c>
      <c r="F353" s="19"/>
      <c r="G353" s="19"/>
      <c r="H353" s="19"/>
      <c r="I353" s="19"/>
      <c r="J353" s="19"/>
      <c r="K353" s="19">
        <v>43</v>
      </c>
      <c r="L353" s="19"/>
      <c r="M353" s="19"/>
      <c r="N353" s="19"/>
      <c r="O353" s="19"/>
      <c r="P353" s="19"/>
      <c r="Q353" s="19"/>
      <c r="R353" s="19"/>
      <c r="S353" s="19"/>
      <c r="T353" s="19"/>
      <c r="U353" s="19"/>
      <c r="V353" s="19"/>
      <c r="W353" s="19"/>
      <c r="X353" s="19"/>
      <c r="Y353" s="19"/>
      <c r="Z353" t="str">
        <f>IF(Tabela1[[#This Row],[1]]&lt;&gt;"",IF(ISNUMBER(FIND(",",Tabela1[[#This Row],[1]])),LEN(Tabela1[[#This Row],[1]])-LEN(SUBSTITUTE(Tabela1[[#This Row],[1]],",",""))+1,1),"")</f>
        <v/>
      </c>
      <c r="AA353" t="str">
        <f>IF(Tabela1[[#This Row],[2]]&lt;&gt;"",IF(ISNUMBER(FIND(",",Tabela1[[#This Row],[2]])),LEN(Tabela1[[#This Row],[2]])-LEN(SUBSTITUTE(Tabela1[[#This Row],[2]],",",""))+1,1),"")</f>
        <v/>
      </c>
      <c r="AB353" t="str">
        <f>IF(Tabela1[[#This Row],[3]]&lt;&gt;"",IF(ISNUMBER(FIND(",",Tabela1[[#This Row],[3]])),LEN(Tabela1[[#This Row],[3]])-LEN(SUBSTITUTE(Tabela1[[#This Row],[3]],",",""))+1,1),"")</f>
        <v/>
      </c>
      <c r="AC353" t="str">
        <f>IF(Tabela1[[#This Row],[4]]&lt;&gt;"",IF(ISNUMBER(FIND(",",Tabela1[[#This Row],[4]])),LEN(Tabela1[[#This Row],[4]])-LEN(SUBSTITUTE(Tabela1[[#This Row],[4]],",",""))+1,1),"")</f>
        <v/>
      </c>
      <c r="AD353" t="str">
        <f>IF(Tabela1[[#This Row],[5]]&lt;&gt;"",IF(ISNUMBER(FIND(",",Tabela1[[#This Row],[5]])),LEN(Tabela1[[#This Row],[5]])-LEN(SUBSTITUTE(Tabela1[[#This Row],[5]],",",""))+1,1),"")</f>
        <v/>
      </c>
      <c r="AE353">
        <f>IF(Tabela1[[#This Row],[6]]&lt;&gt;"",IF(ISNUMBER(FIND(",",Tabela1[[#This Row],[6]])),LEN(Tabela1[[#This Row],[6]])-LEN(SUBSTITUTE(Tabela1[[#This Row],[6]],",",""))+1,1),"")</f>
        <v>1</v>
      </c>
      <c r="AF353" t="str">
        <f>IF(Tabela1[[#This Row],[7]]&lt;&gt;"",IF(ISNUMBER(FIND(",",Tabela1[[#This Row],[7]])),LEN(Tabela1[[#This Row],[7]])-LEN(SUBSTITUTE(Tabela1[[#This Row],[7]],",",""))+1,1),"")</f>
        <v/>
      </c>
      <c r="AG353" t="str">
        <f>IF(Tabela1[[#This Row],[8]]&lt;&gt;"",IF(ISNUMBER(FIND(",",Tabela1[[#This Row],[8]])),LEN(Tabela1[[#This Row],[8]])-LEN(SUBSTITUTE(Tabela1[[#This Row],[8]],",",""))+1,1),"")</f>
        <v/>
      </c>
      <c r="AH353" t="str">
        <f>IF(Tabela1[[#This Row],[9]]&lt;&gt;"",IF(ISNUMBER(FIND(",",Tabela1[[#This Row],[9]])),LEN(Tabela1[[#This Row],[9]])-LEN(SUBSTITUTE(Tabela1[[#This Row],[9]],",",""))+1,1),"")</f>
        <v/>
      </c>
      <c r="AI353" t="str">
        <f>IF(Tabela1[[#This Row],[10]]&lt;&gt;"",IF(ISNUMBER(FIND(",",Tabela1[[#This Row],[10]])),LEN(Tabela1[[#This Row],[10]])-LEN(SUBSTITUTE(Tabela1[[#This Row],[10]],",",""))+1,1),"")</f>
        <v/>
      </c>
      <c r="AJ353" t="str">
        <f>IF(Tabela1[[#This Row],[11]]&lt;&gt;"",IF(ISNUMBER(FIND(",",Tabela1[[#This Row],[11]])),LEN(Tabela1[[#This Row],[11]])-LEN(SUBSTITUTE(Tabela1[[#This Row],[11]],",",""))+1,1),"")</f>
        <v/>
      </c>
      <c r="AK353" t="str">
        <f>IF(Tabela1[[#This Row],[12]]&lt;&gt;"",IF(ISNUMBER(FIND(",",Tabela1[[#This Row],[12]])),LEN(Tabela1[[#This Row],[12]])-LEN(SUBSTITUTE(Tabela1[[#This Row],[12]],",",""))+1,1),"")</f>
        <v/>
      </c>
      <c r="AL353" t="str">
        <f>IF(Tabela1[[#This Row],[13]]&lt;&gt;"",IF(ISNUMBER(FIND(",",Tabela1[[#This Row],[13]])),LEN(Tabela1[[#This Row],[13]])-LEN(SUBSTITUTE(Tabela1[[#This Row],[13]],",",""))+1,1),"")</f>
        <v/>
      </c>
      <c r="AM353" t="str">
        <f>IF(Tabela1[[#This Row],[14]]&lt;&gt;"",IF(ISNUMBER(FIND(",",Tabela1[[#This Row],[14]])),LEN(Tabela1[[#This Row],[14]])-LEN(SUBSTITUTE(Tabela1[[#This Row],[14]],",",""))+1,1),"")</f>
        <v/>
      </c>
      <c r="AN353" t="str">
        <f>IF(Tabela1[[#This Row],[15]]&lt;&gt;"",IF(ISNUMBER(FIND(",",Tabela1[[#This Row],[15]])),LEN(Tabela1[[#This Row],[15]])-LEN(SUBSTITUTE(Tabela1[[#This Row],[15]],",",""))+1,1),"")</f>
        <v/>
      </c>
      <c r="AO353" t="str">
        <f>IF(Tabela1[[#This Row],[16]]&lt;&gt;"",IF(ISNUMBER(FIND(",",Tabela1[[#This Row],[16]])),LEN(Tabela1[[#This Row],[16]])-LEN(SUBSTITUTE(Tabela1[[#This Row],[16]],",",""))+1,1),"")</f>
        <v/>
      </c>
      <c r="AP353" t="str">
        <f>IF(Tabela1[[#This Row],[17]]&lt;&gt;"",IF(ISNUMBER(FIND(",",Tabela1[[#This Row],[17]])),LEN(Tabela1[[#This Row],[17]])-LEN(SUBSTITUTE(Tabela1[[#This Row],[17]],",",""))+1,1),"")</f>
        <v/>
      </c>
      <c r="AQ353" t="str">
        <f>IF(Tabela1[[#This Row],[18]]&lt;&gt;"",IF(ISNUMBER(FIND(",",Tabela1[[#This Row],[18]])),LEN(Tabela1[[#This Row],[18]])-LEN(SUBSTITUTE(Tabela1[[#This Row],[18]],",",""))+1,1),"")</f>
        <v/>
      </c>
      <c r="AR353" s="13" t="str">
        <f>IF(Tabela1[[#This Row],[19_LENGTH]]&lt;&gt;"",IF(ISNUMBER(FIND(",",Tabela1[[#This Row],[19_LENGTH]])),LEN(Tabela1[[#This Row],[19_LENGTH]])-LEN(SUBSTITUTE(Tabela1[[#This Row],[19_LENGTH]],",",""))+1,1),"")</f>
        <v/>
      </c>
      <c r="AS353" s="21">
        <f>SUM(Tabela1[[#This Row],[1_]:[19_]])</f>
        <v>1</v>
      </c>
    </row>
    <row r="354" spans="1:45" x14ac:dyDescent="0.25">
      <c r="A354" s="27" t="s">
        <v>1323</v>
      </c>
      <c r="B354" s="19" t="s">
        <v>485</v>
      </c>
      <c r="C354" s="19">
        <v>202</v>
      </c>
      <c r="D354" s="19" t="s">
        <v>1297</v>
      </c>
      <c r="E354" s="20">
        <v>43508</v>
      </c>
      <c r="F354" s="19"/>
      <c r="G354" s="19"/>
      <c r="H354" s="19"/>
      <c r="I354" s="19">
        <v>31</v>
      </c>
      <c r="J354" s="19"/>
      <c r="K354" s="19"/>
      <c r="L354" s="19"/>
      <c r="M354" s="19"/>
      <c r="N354" s="19"/>
      <c r="O354" s="19"/>
      <c r="P354" s="19"/>
      <c r="Q354" s="19"/>
      <c r="R354" s="19"/>
      <c r="S354" s="19"/>
      <c r="T354" s="19"/>
      <c r="U354" s="19"/>
      <c r="V354" s="19"/>
      <c r="W354" s="19"/>
      <c r="X354" s="19"/>
      <c r="Y354" s="19"/>
      <c r="Z354" t="str">
        <f>IF(Tabela1[[#This Row],[1]]&lt;&gt;"",IF(ISNUMBER(FIND(",",Tabela1[[#This Row],[1]])),LEN(Tabela1[[#This Row],[1]])-LEN(SUBSTITUTE(Tabela1[[#This Row],[1]],",",""))+1,1),"")</f>
        <v/>
      </c>
      <c r="AA354" t="str">
        <f>IF(Tabela1[[#This Row],[2]]&lt;&gt;"",IF(ISNUMBER(FIND(",",Tabela1[[#This Row],[2]])),LEN(Tabela1[[#This Row],[2]])-LEN(SUBSTITUTE(Tabela1[[#This Row],[2]],",",""))+1,1),"")</f>
        <v/>
      </c>
      <c r="AB354" t="str">
        <f>IF(Tabela1[[#This Row],[3]]&lt;&gt;"",IF(ISNUMBER(FIND(",",Tabela1[[#This Row],[3]])),LEN(Tabela1[[#This Row],[3]])-LEN(SUBSTITUTE(Tabela1[[#This Row],[3]],",",""))+1,1),"")</f>
        <v/>
      </c>
      <c r="AC354">
        <f>IF(Tabela1[[#This Row],[4]]&lt;&gt;"",IF(ISNUMBER(FIND(",",Tabela1[[#This Row],[4]])),LEN(Tabela1[[#This Row],[4]])-LEN(SUBSTITUTE(Tabela1[[#This Row],[4]],",",""))+1,1),"")</f>
        <v>1</v>
      </c>
      <c r="AD354" t="str">
        <f>IF(Tabela1[[#This Row],[5]]&lt;&gt;"",IF(ISNUMBER(FIND(",",Tabela1[[#This Row],[5]])),LEN(Tabela1[[#This Row],[5]])-LEN(SUBSTITUTE(Tabela1[[#This Row],[5]],",",""))+1,1),"")</f>
        <v/>
      </c>
      <c r="AE354" t="str">
        <f>IF(Tabela1[[#This Row],[6]]&lt;&gt;"",IF(ISNUMBER(FIND(",",Tabela1[[#This Row],[6]])),LEN(Tabela1[[#This Row],[6]])-LEN(SUBSTITUTE(Tabela1[[#This Row],[6]],",",""))+1,1),"")</f>
        <v/>
      </c>
      <c r="AF354" t="str">
        <f>IF(Tabela1[[#This Row],[7]]&lt;&gt;"",IF(ISNUMBER(FIND(",",Tabela1[[#This Row],[7]])),LEN(Tabela1[[#This Row],[7]])-LEN(SUBSTITUTE(Tabela1[[#This Row],[7]],",",""))+1,1),"")</f>
        <v/>
      </c>
      <c r="AG354" t="str">
        <f>IF(Tabela1[[#This Row],[8]]&lt;&gt;"",IF(ISNUMBER(FIND(",",Tabela1[[#This Row],[8]])),LEN(Tabela1[[#This Row],[8]])-LEN(SUBSTITUTE(Tabela1[[#This Row],[8]],",",""))+1,1),"")</f>
        <v/>
      </c>
      <c r="AH354" t="str">
        <f>IF(Tabela1[[#This Row],[9]]&lt;&gt;"",IF(ISNUMBER(FIND(",",Tabela1[[#This Row],[9]])),LEN(Tabela1[[#This Row],[9]])-LEN(SUBSTITUTE(Tabela1[[#This Row],[9]],",",""))+1,1),"")</f>
        <v/>
      </c>
      <c r="AI354" t="str">
        <f>IF(Tabela1[[#This Row],[10]]&lt;&gt;"",IF(ISNUMBER(FIND(",",Tabela1[[#This Row],[10]])),LEN(Tabela1[[#This Row],[10]])-LEN(SUBSTITUTE(Tabela1[[#This Row],[10]],",",""))+1,1),"")</f>
        <v/>
      </c>
      <c r="AJ354" t="str">
        <f>IF(Tabela1[[#This Row],[11]]&lt;&gt;"",IF(ISNUMBER(FIND(",",Tabela1[[#This Row],[11]])),LEN(Tabela1[[#This Row],[11]])-LEN(SUBSTITUTE(Tabela1[[#This Row],[11]],",",""))+1,1),"")</f>
        <v/>
      </c>
      <c r="AK354" t="str">
        <f>IF(Tabela1[[#This Row],[12]]&lt;&gt;"",IF(ISNUMBER(FIND(",",Tabela1[[#This Row],[12]])),LEN(Tabela1[[#This Row],[12]])-LEN(SUBSTITUTE(Tabela1[[#This Row],[12]],",",""))+1,1),"")</f>
        <v/>
      </c>
      <c r="AL354" t="str">
        <f>IF(Tabela1[[#This Row],[13]]&lt;&gt;"",IF(ISNUMBER(FIND(",",Tabela1[[#This Row],[13]])),LEN(Tabela1[[#This Row],[13]])-LEN(SUBSTITUTE(Tabela1[[#This Row],[13]],",",""))+1,1),"")</f>
        <v/>
      </c>
      <c r="AM354" t="str">
        <f>IF(Tabela1[[#This Row],[14]]&lt;&gt;"",IF(ISNUMBER(FIND(",",Tabela1[[#This Row],[14]])),LEN(Tabela1[[#This Row],[14]])-LEN(SUBSTITUTE(Tabela1[[#This Row],[14]],",",""))+1,1),"")</f>
        <v/>
      </c>
      <c r="AN354" t="str">
        <f>IF(Tabela1[[#This Row],[15]]&lt;&gt;"",IF(ISNUMBER(FIND(",",Tabela1[[#This Row],[15]])),LEN(Tabela1[[#This Row],[15]])-LEN(SUBSTITUTE(Tabela1[[#This Row],[15]],",",""))+1,1),"")</f>
        <v/>
      </c>
      <c r="AO354" t="str">
        <f>IF(Tabela1[[#This Row],[16]]&lt;&gt;"",IF(ISNUMBER(FIND(",",Tabela1[[#This Row],[16]])),LEN(Tabela1[[#This Row],[16]])-LEN(SUBSTITUTE(Tabela1[[#This Row],[16]],",",""))+1,1),"")</f>
        <v/>
      </c>
      <c r="AP354" t="str">
        <f>IF(Tabela1[[#This Row],[17]]&lt;&gt;"",IF(ISNUMBER(FIND(",",Tabela1[[#This Row],[17]])),LEN(Tabela1[[#This Row],[17]])-LEN(SUBSTITUTE(Tabela1[[#This Row],[17]],",",""))+1,1),"")</f>
        <v/>
      </c>
      <c r="AQ354" t="str">
        <f>IF(Tabela1[[#This Row],[18]]&lt;&gt;"",IF(ISNUMBER(FIND(",",Tabela1[[#This Row],[18]])),LEN(Tabela1[[#This Row],[18]])-LEN(SUBSTITUTE(Tabela1[[#This Row],[18]],",",""))+1,1),"")</f>
        <v/>
      </c>
      <c r="AR354" s="13" t="str">
        <f>IF(Tabela1[[#This Row],[19_LENGTH]]&lt;&gt;"",IF(ISNUMBER(FIND(",",Tabela1[[#This Row],[19_LENGTH]])),LEN(Tabela1[[#This Row],[19_LENGTH]])-LEN(SUBSTITUTE(Tabela1[[#This Row],[19_LENGTH]],",",""))+1,1),"")</f>
        <v/>
      </c>
      <c r="AS354" s="21">
        <f>SUM(Tabela1[[#This Row],[1_]:[19_]])</f>
        <v>1</v>
      </c>
    </row>
    <row r="355" spans="1:45" x14ac:dyDescent="0.25">
      <c r="A355" s="27" t="s">
        <v>1323</v>
      </c>
      <c r="B355" s="19" t="s">
        <v>486</v>
      </c>
      <c r="C355" s="19">
        <v>212</v>
      </c>
      <c r="D355" s="19" t="s">
        <v>1315</v>
      </c>
      <c r="E355" s="20">
        <v>43508</v>
      </c>
      <c r="F355" s="19"/>
      <c r="G355" s="19"/>
      <c r="H355" s="19"/>
      <c r="I355" s="19"/>
      <c r="J355" s="19"/>
      <c r="K355" s="19">
        <v>73</v>
      </c>
      <c r="L355" s="19"/>
      <c r="M355" s="19"/>
      <c r="N355" s="19"/>
      <c r="O355" s="19"/>
      <c r="P355" s="19"/>
      <c r="Q355" s="19"/>
      <c r="R355" s="19"/>
      <c r="S355" s="19"/>
      <c r="T355" s="19"/>
      <c r="U355" s="19"/>
      <c r="V355" s="19"/>
      <c r="W355" s="19"/>
      <c r="X355" s="19"/>
      <c r="Y355" s="19"/>
      <c r="Z355" t="str">
        <f>IF(Tabela1[[#This Row],[1]]&lt;&gt;"",IF(ISNUMBER(FIND(",",Tabela1[[#This Row],[1]])),LEN(Tabela1[[#This Row],[1]])-LEN(SUBSTITUTE(Tabela1[[#This Row],[1]],",",""))+1,1),"")</f>
        <v/>
      </c>
      <c r="AA355" t="str">
        <f>IF(Tabela1[[#This Row],[2]]&lt;&gt;"",IF(ISNUMBER(FIND(",",Tabela1[[#This Row],[2]])),LEN(Tabela1[[#This Row],[2]])-LEN(SUBSTITUTE(Tabela1[[#This Row],[2]],",",""))+1,1),"")</f>
        <v/>
      </c>
      <c r="AB355" t="str">
        <f>IF(Tabela1[[#This Row],[3]]&lt;&gt;"",IF(ISNUMBER(FIND(",",Tabela1[[#This Row],[3]])),LEN(Tabela1[[#This Row],[3]])-LEN(SUBSTITUTE(Tabela1[[#This Row],[3]],",",""))+1,1),"")</f>
        <v/>
      </c>
      <c r="AC355" t="str">
        <f>IF(Tabela1[[#This Row],[4]]&lt;&gt;"",IF(ISNUMBER(FIND(",",Tabela1[[#This Row],[4]])),LEN(Tabela1[[#This Row],[4]])-LEN(SUBSTITUTE(Tabela1[[#This Row],[4]],",",""))+1,1),"")</f>
        <v/>
      </c>
      <c r="AD355" t="str">
        <f>IF(Tabela1[[#This Row],[5]]&lt;&gt;"",IF(ISNUMBER(FIND(",",Tabela1[[#This Row],[5]])),LEN(Tabela1[[#This Row],[5]])-LEN(SUBSTITUTE(Tabela1[[#This Row],[5]],",",""))+1,1),"")</f>
        <v/>
      </c>
      <c r="AE355">
        <f>IF(Tabela1[[#This Row],[6]]&lt;&gt;"",IF(ISNUMBER(FIND(",",Tabela1[[#This Row],[6]])),LEN(Tabela1[[#This Row],[6]])-LEN(SUBSTITUTE(Tabela1[[#This Row],[6]],",",""))+1,1),"")</f>
        <v>1</v>
      </c>
      <c r="AF355" t="str">
        <f>IF(Tabela1[[#This Row],[7]]&lt;&gt;"",IF(ISNUMBER(FIND(",",Tabela1[[#This Row],[7]])),LEN(Tabela1[[#This Row],[7]])-LEN(SUBSTITUTE(Tabela1[[#This Row],[7]],",",""))+1,1),"")</f>
        <v/>
      </c>
      <c r="AG355" t="str">
        <f>IF(Tabela1[[#This Row],[8]]&lt;&gt;"",IF(ISNUMBER(FIND(",",Tabela1[[#This Row],[8]])),LEN(Tabela1[[#This Row],[8]])-LEN(SUBSTITUTE(Tabela1[[#This Row],[8]],",",""))+1,1),"")</f>
        <v/>
      </c>
      <c r="AH355" t="str">
        <f>IF(Tabela1[[#This Row],[9]]&lt;&gt;"",IF(ISNUMBER(FIND(",",Tabela1[[#This Row],[9]])),LEN(Tabela1[[#This Row],[9]])-LEN(SUBSTITUTE(Tabela1[[#This Row],[9]],",",""))+1,1),"")</f>
        <v/>
      </c>
      <c r="AI355" t="str">
        <f>IF(Tabela1[[#This Row],[10]]&lt;&gt;"",IF(ISNUMBER(FIND(",",Tabela1[[#This Row],[10]])),LEN(Tabela1[[#This Row],[10]])-LEN(SUBSTITUTE(Tabela1[[#This Row],[10]],",",""))+1,1),"")</f>
        <v/>
      </c>
      <c r="AJ355" t="str">
        <f>IF(Tabela1[[#This Row],[11]]&lt;&gt;"",IF(ISNUMBER(FIND(",",Tabela1[[#This Row],[11]])),LEN(Tabela1[[#This Row],[11]])-LEN(SUBSTITUTE(Tabela1[[#This Row],[11]],",",""))+1,1),"")</f>
        <v/>
      </c>
      <c r="AK355" t="str">
        <f>IF(Tabela1[[#This Row],[12]]&lt;&gt;"",IF(ISNUMBER(FIND(",",Tabela1[[#This Row],[12]])),LEN(Tabela1[[#This Row],[12]])-LEN(SUBSTITUTE(Tabela1[[#This Row],[12]],",",""))+1,1),"")</f>
        <v/>
      </c>
      <c r="AL355" t="str">
        <f>IF(Tabela1[[#This Row],[13]]&lt;&gt;"",IF(ISNUMBER(FIND(",",Tabela1[[#This Row],[13]])),LEN(Tabela1[[#This Row],[13]])-LEN(SUBSTITUTE(Tabela1[[#This Row],[13]],",",""))+1,1),"")</f>
        <v/>
      </c>
      <c r="AM355" t="str">
        <f>IF(Tabela1[[#This Row],[14]]&lt;&gt;"",IF(ISNUMBER(FIND(",",Tabela1[[#This Row],[14]])),LEN(Tabela1[[#This Row],[14]])-LEN(SUBSTITUTE(Tabela1[[#This Row],[14]],",",""))+1,1),"")</f>
        <v/>
      </c>
      <c r="AN355" t="str">
        <f>IF(Tabela1[[#This Row],[15]]&lt;&gt;"",IF(ISNUMBER(FIND(",",Tabela1[[#This Row],[15]])),LEN(Tabela1[[#This Row],[15]])-LEN(SUBSTITUTE(Tabela1[[#This Row],[15]],",",""))+1,1),"")</f>
        <v/>
      </c>
      <c r="AO355" t="str">
        <f>IF(Tabela1[[#This Row],[16]]&lt;&gt;"",IF(ISNUMBER(FIND(",",Tabela1[[#This Row],[16]])),LEN(Tabela1[[#This Row],[16]])-LEN(SUBSTITUTE(Tabela1[[#This Row],[16]],",",""))+1,1),"")</f>
        <v/>
      </c>
      <c r="AP355" t="str">
        <f>IF(Tabela1[[#This Row],[17]]&lt;&gt;"",IF(ISNUMBER(FIND(",",Tabela1[[#This Row],[17]])),LEN(Tabela1[[#This Row],[17]])-LEN(SUBSTITUTE(Tabela1[[#This Row],[17]],",",""))+1,1),"")</f>
        <v/>
      </c>
      <c r="AQ355" t="str">
        <f>IF(Tabela1[[#This Row],[18]]&lt;&gt;"",IF(ISNUMBER(FIND(",",Tabela1[[#This Row],[18]])),LEN(Tabela1[[#This Row],[18]])-LEN(SUBSTITUTE(Tabela1[[#This Row],[18]],",",""))+1,1),"")</f>
        <v/>
      </c>
      <c r="AR355" s="13" t="str">
        <f>IF(Tabela1[[#This Row],[19_LENGTH]]&lt;&gt;"",IF(ISNUMBER(FIND(",",Tabela1[[#This Row],[19_LENGTH]])),LEN(Tabela1[[#This Row],[19_LENGTH]])-LEN(SUBSTITUTE(Tabela1[[#This Row],[19_LENGTH]],",",""))+1,1),"")</f>
        <v/>
      </c>
      <c r="AS355" s="21">
        <f>SUM(Tabela1[[#This Row],[1_]:[19_]])</f>
        <v>1</v>
      </c>
    </row>
    <row r="356" spans="1:45" x14ac:dyDescent="0.25">
      <c r="A356" s="27" t="s">
        <v>1323</v>
      </c>
      <c r="B356" s="19" t="s">
        <v>487</v>
      </c>
      <c r="C356" s="19">
        <v>202</v>
      </c>
      <c r="D356" s="19" t="s">
        <v>1315</v>
      </c>
      <c r="E356" s="20">
        <v>43508</v>
      </c>
      <c r="F356" s="19"/>
      <c r="G356" s="19"/>
      <c r="H356" s="19"/>
      <c r="I356" s="19">
        <v>60</v>
      </c>
      <c r="J356" s="19"/>
      <c r="K356" s="19">
        <v>97</v>
      </c>
      <c r="L356" s="19"/>
      <c r="M356" s="19"/>
      <c r="N356" s="19"/>
      <c r="O356" s="19"/>
      <c r="P356" s="19"/>
      <c r="Q356" s="19"/>
      <c r="R356" s="19"/>
      <c r="S356" s="19"/>
      <c r="T356" s="19"/>
      <c r="U356" s="19"/>
      <c r="V356" s="19"/>
      <c r="W356" s="19"/>
      <c r="X356" s="19"/>
      <c r="Y356" s="19"/>
      <c r="Z356" t="str">
        <f>IF(Tabela1[[#This Row],[1]]&lt;&gt;"",IF(ISNUMBER(FIND(",",Tabela1[[#This Row],[1]])),LEN(Tabela1[[#This Row],[1]])-LEN(SUBSTITUTE(Tabela1[[#This Row],[1]],",",""))+1,1),"")</f>
        <v/>
      </c>
      <c r="AA356" t="str">
        <f>IF(Tabela1[[#This Row],[2]]&lt;&gt;"",IF(ISNUMBER(FIND(",",Tabela1[[#This Row],[2]])),LEN(Tabela1[[#This Row],[2]])-LEN(SUBSTITUTE(Tabela1[[#This Row],[2]],",",""))+1,1),"")</f>
        <v/>
      </c>
      <c r="AB356" t="str">
        <f>IF(Tabela1[[#This Row],[3]]&lt;&gt;"",IF(ISNUMBER(FIND(",",Tabela1[[#This Row],[3]])),LEN(Tabela1[[#This Row],[3]])-LEN(SUBSTITUTE(Tabela1[[#This Row],[3]],",",""))+1,1),"")</f>
        <v/>
      </c>
      <c r="AC356">
        <f>IF(Tabela1[[#This Row],[4]]&lt;&gt;"",IF(ISNUMBER(FIND(",",Tabela1[[#This Row],[4]])),LEN(Tabela1[[#This Row],[4]])-LEN(SUBSTITUTE(Tabela1[[#This Row],[4]],",",""))+1,1),"")</f>
        <v>1</v>
      </c>
      <c r="AD356" t="str">
        <f>IF(Tabela1[[#This Row],[5]]&lt;&gt;"",IF(ISNUMBER(FIND(",",Tabela1[[#This Row],[5]])),LEN(Tabela1[[#This Row],[5]])-LEN(SUBSTITUTE(Tabela1[[#This Row],[5]],",",""))+1,1),"")</f>
        <v/>
      </c>
      <c r="AE356">
        <f>IF(Tabela1[[#This Row],[6]]&lt;&gt;"",IF(ISNUMBER(FIND(",",Tabela1[[#This Row],[6]])),LEN(Tabela1[[#This Row],[6]])-LEN(SUBSTITUTE(Tabela1[[#This Row],[6]],",",""))+1,1),"")</f>
        <v>1</v>
      </c>
      <c r="AF356" t="str">
        <f>IF(Tabela1[[#This Row],[7]]&lt;&gt;"",IF(ISNUMBER(FIND(",",Tabela1[[#This Row],[7]])),LEN(Tabela1[[#This Row],[7]])-LEN(SUBSTITUTE(Tabela1[[#This Row],[7]],",",""))+1,1),"")</f>
        <v/>
      </c>
      <c r="AG356" t="str">
        <f>IF(Tabela1[[#This Row],[8]]&lt;&gt;"",IF(ISNUMBER(FIND(",",Tabela1[[#This Row],[8]])),LEN(Tabela1[[#This Row],[8]])-LEN(SUBSTITUTE(Tabela1[[#This Row],[8]],",",""))+1,1),"")</f>
        <v/>
      </c>
      <c r="AH356" t="str">
        <f>IF(Tabela1[[#This Row],[9]]&lt;&gt;"",IF(ISNUMBER(FIND(",",Tabela1[[#This Row],[9]])),LEN(Tabela1[[#This Row],[9]])-LEN(SUBSTITUTE(Tabela1[[#This Row],[9]],",",""))+1,1),"")</f>
        <v/>
      </c>
      <c r="AI356" t="str">
        <f>IF(Tabela1[[#This Row],[10]]&lt;&gt;"",IF(ISNUMBER(FIND(",",Tabela1[[#This Row],[10]])),LEN(Tabela1[[#This Row],[10]])-LEN(SUBSTITUTE(Tabela1[[#This Row],[10]],",",""))+1,1),"")</f>
        <v/>
      </c>
      <c r="AJ356" t="str">
        <f>IF(Tabela1[[#This Row],[11]]&lt;&gt;"",IF(ISNUMBER(FIND(",",Tabela1[[#This Row],[11]])),LEN(Tabela1[[#This Row],[11]])-LEN(SUBSTITUTE(Tabela1[[#This Row],[11]],",",""))+1,1),"")</f>
        <v/>
      </c>
      <c r="AK356" t="str">
        <f>IF(Tabela1[[#This Row],[12]]&lt;&gt;"",IF(ISNUMBER(FIND(",",Tabela1[[#This Row],[12]])),LEN(Tabela1[[#This Row],[12]])-LEN(SUBSTITUTE(Tabela1[[#This Row],[12]],",",""))+1,1),"")</f>
        <v/>
      </c>
      <c r="AL356" t="str">
        <f>IF(Tabela1[[#This Row],[13]]&lt;&gt;"",IF(ISNUMBER(FIND(",",Tabela1[[#This Row],[13]])),LEN(Tabela1[[#This Row],[13]])-LEN(SUBSTITUTE(Tabela1[[#This Row],[13]],",",""))+1,1),"")</f>
        <v/>
      </c>
      <c r="AM356" t="str">
        <f>IF(Tabela1[[#This Row],[14]]&lt;&gt;"",IF(ISNUMBER(FIND(",",Tabela1[[#This Row],[14]])),LEN(Tabela1[[#This Row],[14]])-LEN(SUBSTITUTE(Tabela1[[#This Row],[14]],",",""))+1,1),"")</f>
        <v/>
      </c>
      <c r="AN356" t="str">
        <f>IF(Tabela1[[#This Row],[15]]&lt;&gt;"",IF(ISNUMBER(FIND(",",Tabela1[[#This Row],[15]])),LEN(Tabela1[[#This Row],[15]])-LEN(SUBSTITUTE(Tabela1[[#This Row],[15]],",",""))+1,1),"")</f>
        <v/>
      </c>
      <c r="AO356" t="str">
        <f>IF(Tabela1[[#This Row],[16]]&lt;&gt;"",IF(ISNUMBER(FIND(",",Tabela1[[#This Row],[16]])),LEN(Tabela1[[#This Row],[16]])-LEN(SUBSTITUTE(Tabela1[[#This Row],[16]],",",""))+1,1),"")</f>
        <v/>
      </c>
      <c r="AP356" t="str">
        <f>IF(Tabela1[[#This Row],[17]]&lt;&gt;"",IF(ISNUMBER(FIND(",",Tabela1[[#This Row],[17]])),LEN(Tabela1[[#This Row],[17]])-LEN(SUBSTITUTE(Tabela1[[#This Row],[17]],",",""))+1,1),"")</f>
        <v/>
      </c>
      <c r="AQ356" t="str">
        <f>IF(Tabela1[[#This Row],[18]]&lt;&gt;"",IF(ISNUMBER(FIND(",",Tabela1[[#This Row],[18]])),LEN(Tabela1[[#This Row],[18]])-LEN(SUBSTITUTE(Tabela1[[#This Row],[18]],",",""))+1,1),"")</f>
        <v/>
      </c>
      <c r="AR356" s="13" t="str">
        <f>IF(Tabela1[[#This Row],[19_LENGTH]]&lt;&gt;"",IF(ISNUMBER(FIND(",",Tabela1[[#This Row],[19_LENGTH]])),LEN(Tabela1[[#This Row],[19_LENGTH]])-LEN(SUBSTITUTE(Tabela1[[#This Row],[19_LENGTH]],",",""))+1,1),"")</f>
        <v/>
      </c>
      <c r="AS356" s="21">
        <f>SUM(Tabela1[[#This Row],[1_]:[19_]])</f>
        <v>2</v>
      </c>
    </row>
    <row r="357" spans="1:45" x14ac:dyDescent="0.25">
      <c r="A357" s="27" t="s">
        <v>1324</v>
      </c>
      <c r="B357" s="19" t="s">
        <v>806</v>
      </c>
      <c r="C357" s="19">
        <v>102</v>
      </c>
      <c r="D357" s="19" t="s">
        <v>1303</v>
      </c>
      <c r="E357" s="20">
        <v>43508</v>
      </c>
      <c r="F357" s="19"/>
      <c r="G357" s="19"/>
      <c r="H357" s="19" t="s">
        <v>146</v>
      </c>
      <c r="I357" s="19"/>
      <c r="J357" s="19"/>
      <c r="K357" s="19"/>
      <c r="L357" s="19"/>
      <c r="M357" s="19"/>
      <c r="N357" s="19"/>
      <c r="O357" s="19"/>
      <c r="P357" s="19"/>
      <c r="Q357" s="19"/>
      <c r="R357" s="19"/>
      <c r="S357" s="19"/>
      <c r="T357" s="19"/>
      <c r="U357" s="19"/>
      <c r="V357" s="19"/>
      <c r="W357" s="19"/>
      <c r="X357" s="19"/>
      <c r="Y357" s="19"/>
      <c r="Z357" t="str">
        <f>IF(Tabela1[[#This Row],[1]]&lt;&gt;"",IF(ISNUMBER(FIND(",",Tabela1[[#This Row],[1]])),LEN(Tabela1[[#This Row],[1]])-LEN(SUBSTITUTE(Tabela1[[#This Row],[1]],",",""))+1,1),"")</f>
        <v/>
      </c>
      <c r="AA357" t="str">
        <f>IF(Tabela1[[#This Row],[2]]&lt;&gt;"",IF(ISNUMBER(FIND(",",Tabela1[[#This Row],[2]])),LEN(Tabela1[[#This Row],[2]])-LEN(SUBSTITUTE(Tabela1[[#This Row],[2]],",",""))+1,1),"")</f>
        <v/>
      </c>
      <c r="AB357">
        <f>IF(Tabela1[[#This Row],[3]]&lt;&gt;"",IF(ISNUMBER(FIND(",",Tabela1[[#This Row],[3]])),LEN(Tabela1[[#This Row],[3]])-LEN(SUBSTITUTE(Tabela1[[#This Row],[3]],",",""))+1,1),"")</f>
        <v>2</v>
      </c>
      <c r="AC357" t="str">
        <f>IF(Tabela1[[#This Row],[4]]&lt;&gt;"",IF(ISNUMBER(FIND(",",Tabela1[[#This Row],[4]])),LEN(Tabela1[[#This Row],[4]])-LEN(SUBSTITUTE(Tabela1[[#This Row],[4]],",",""))+1,1),"")</f>
        <v/>
      </c>
      <c r="AD357" t="str">
        <f>IF(Tabela1[[#This Row],[5]]&lt;&gt;"",IF(ISNUMBER(FIND(",",Tabela1[[#This Row],[5]])),LEN(Tabela1[[#This Row],[5]])-LEN(SUBSTITUTE(Tabela1[[#This Row],[5]],",",""))+1,1),"")</f>
        <v/>
      </c>
      <c r="AE357" t="str">
        <f>IF(Tabela1[[#This Row],[6]]&lt;&gt;"",IF(ISNUMBER(FIND(",",Tabela1[[#This Row],[6]])),LEN(Tabela1[[#This Row],[6]])-LEN(SUBSTITUTE(Tabela1[[#This Row],[6]],",",""))+1,1),"")</f>
        <v/>
      </c>
      <c r="AF357" t="str">
        <f>IF(Tabela1[[#This Row],[7]]&lt;&gt;"",IF(ISNUMBER(FIND(",",Tabela1[[#This Row],[7]])),LEN(Tabela1[[#This Row],[7]])-LEN(SUBSTITUTE(Tabela1[[#This Row],[7]],",",""))+1,1),"")</f>
        <v/>
      </c>
      <c r="AG357" t="str">
        <f>IF(Tabela1[[#This Row],[8]]&lt;&gt;"",IF(ISNUMBER(FIND(",",Tabela1[[#This Row],[8]])),LEN(Tabela1[[#This Row],[8]])-LEN(SUBSTITUTE(Tabela1[[#This Row],[8]],",",""))+1,1),"")</f>
        <v/>
      </c>
      <c r="AH357" t="str">
        <f>IF(Tabela1[[#This Row],[9]]&lt;&gt;"",IF(ISNUMBER(FIND(",",Tabela1[[#This Row],[9]])),LEN(Tabela1[[#This Row],[9]])-LEN(SUBSTITUTE(Tabela1[[#This Row],[9]],",",""))+1,1),"")</f>
        <v/>
      </c>
      <c r="AI357" t="str">
        <f>IF(Tabela1[[#This Row],[10]]&lt;&gt;"",IF(ISNUMBER(FIND(",",Tabela1[[#This Row],[10]])),LEN(Tabela1[[#This Row],[10]])-LEN(SUBSTITUTE(Tabela1[[#This Row],[10]],",",""))+1,1),"")</f>
        <v/>
      </c>
      <c r="AJ357" t="str">
        <f>IF(Tabela1[[#This Row],[11]]&lt;&gt;"",IF(ISNUMBER(FIND(",",Tabela1[[#This Row],[11]])),LEN(Tabela1[[#This Row],[11]])-LEN(SUBSTITUTE(Tabela1[[#This Row],[11]],",",""))+1,1),"")</f>
        <v/>
      </c>
      <c r="AK357" t="str">
        <f>IF(Tabela1[[#This Row],[12]]&lt;&gt;"",IF(ISNUMBER(FIND(",",Tabela1[[#This Row],[12]])),LEN(Tabela1[[#This Row],[12]])-LEN(SUBSTITUTE(Tabela1[[#This Row],[12]],",",""))+1,1),"")</f>
        <v/>
      </c>
      <c r="AL357" t="str">
        <f>IF(Tabela1[[#This Row],[13]]&lt;&gt;"",IF(ISNUMBER(FIND(",",Tabela1[[#This Row],[13]])),LEN(Tabela1[[#This Row],[13]])-LEN(SUBSTITUTE(Tabela1[[#This Row],[13]],",",""))+1,1),"")</f>
        <v/>
      </c>
      <c r="AM357" t="str">
        <f>IF(Tabela1[[#This Row],[14]]&lt;&gt;"",IF(ISNUMBER(FIND(",",Tabela1[[#This Row],[14]])),LEN(Tabela1[[#This Row],[14]])-LEN(SUBSTITUTE(Tabela1[[#This Row],[14]],",",""))+1,1),"")</f>
        <v/>
      </c>
      <c r="AN357" t="str">
        <f>IF(Tabela1[[#This Row],[15]]&lt;&gt;"",IF(ISNUMBER(FIND(",",Tabela1[[#This Row],[15]])),LEN(Tabela1[[#This Row],[15]])-LEN(SUBSTITUTE(Tabela1[[#This Row],[15]],",",""))+1,1),"")</f>
        <v/>
      </c>
      <c r="AO357" t="str">
        <f>IF(Tabela1[[#This Row],[16]]&lt;&gt;"",IF(ISNUMBER(FIND(",",Tabela1[[#This Row],[16]])),LEN(Tabela1[[#This Row],[16]])-LEN(SUBSTITUTE(Tabela1[[#This Row],[16]],",",""))+1,1),"")</f>
        <v/>
      </c>
      <c r="AP357" t="str">
        <f>IF(Tabela1[[#This Row],[17]]&lt;&gt;"",IF(ISNUMBER(FIND(",",Tabela1[[#This Row],[17]])),LEN(Tabela1[[#This Row],[17]])-LEN(SUBSTITUTE(Tabela1[[#This Row],[17]],",",""))+1,1),"")</f>
        <v/>
      </c>
      <c r="AQ357" t="str">
        <f>IF(Tabela1[[#This Row],[18]]&lt;&gt;"",IF(ISNUMBER(FIND(",",Tabela1[[#This Row],[18]])),LEN(Tabela1[[#This Row],[18]])-LEN(SUBSTITUTE(Tabela1[[#This Row],[18]],",",""))+1,1),"")</f>
        <v/>
      </c>
      <c r="AR357" s="13" t="str">
        <f>IF(Tabela1[[#This Row],[19_LENGTH]]&lt;&gt;"",IF(ISNUMBER(FIND(",",Tabela1[[#This Row],[19_LENGTH]])),LEN(Tabela1[[#This Row],[19_LENGTH]])-LEN(SUBSTITUTE(Tabela1[[#This Row],[19_LENGTH]],",",""))+1,1),"")</f>
        <v/>
      </c>
      <c r="AS357" s="21">
        <f>SUM(Tabela1[[#This Row],[1_]:[19_]])</f>
        <v>2</v>
      </c>
    </row>
    <row r="358" spans="1:45" x14ac:dyDescent="0.25">
      <c r="A358" s="27" t="s">
        <v>1324</v>
      </c>
      <c r="B358" s="19" t="s">
        <v>807</v>
      </c>
      <c r="C358" s="19">
        <v>102</v>
      </c>
      <c r="D358" s="19" t="s">
        <v>1303</v>
      </c>
      <c r="E358" s="20">
        <v>43508</v>
      </c>
      <c r="F358" s="19"/>
      <c r="G358" s="19">
        <v>42</v>
      </c>
      <c r="H358" s="19"/>
      <c r="I358" s="19"/>
      <c r="J358" s="19"/>
      <c r="K358" s="19">
        <v>89</v>
      </c>
      <c r="L358" s="19"/>
      <c r="M358" s="19"/>
      <c r="N358" s="19"/>
      <c r="O358" s="19"/>
      <c r="P358" s="19"/>
      <c r="Q358" s="19"/>
      <c r="R358" s="19"/>
      <c r="S358" s="19"/>
      <c r="T358" s="19"/>
      <c r="U358" s="19"/>
      <c r="V358" s="19"/>
      <c r="W358" s="19"/>
      <c r="X358" s="19"/>
      <c r="Y358" s="19"/>
      <c r="Z358" t="str">
        <f>IF(Tabela1[[#This Row],[1]]&lt;&gt;"",IF(ISNUMBER(FIND(",",Tabela1[[#This Row],[1]])),LEN(Tabela1[[#This Row],[1]])-LEN(SUBSTITUTE(Tabela1[[#This Row],[1]],",",""))+1,1),"")</f>
        <v/>
      </c>
      <c r="AA358">
        <f>IF(Tabela1[[#This Row],[2]]&lt;&gt;"",IF(ISNUMBER(FIND(",",Tabela1[[#This Row],[2]])),LEN(Tabela1[[#This Row],[2]])-LEN(SUBSTITUTE(Tabela1[[#This Row],[2]],",",""))+1,1),"")</f>
        <v>1</v>
      </c>
      <c r="AB358" t="str">
        <f>IF(Tabela1[[#This Row],[3]]&lt;&gt;"",IF(ISNUMBER(FIND(",",Tabela1[[#This Row],[3]])),LEN(Tabela1[[#This Row],[3]])-LEN(SUBSTITUTE(Tabela1[[#This Row],[3]],",",""))+1,1),"")</f>
        <v/>
      </c>
      <c r="AC358" t="str">
        <f>IF(Tabela1[[#This Row],[4]]&lt;&gt;"",IF(ISNUMBER(FIND(",",Tabela1[[#This Row],[4]])),LEN(Tabela1[[#This Row],[4]])-LEN(SUBSTITUTE(Tabela1[[#This Row],[4]],",",""))+1,1),"")</f>
        <v/>
      </c>
      <c r="AD358" t="str">
        <f>IF(Tabela1[[#This Row],[5]]&lt;&gt;"",IF(ISNUMBER(FIND(",",Tabela1[[#This Row],[5]])),LEN(Tabela1[[#This Row],[5]])-LEN(SUBSTITUTE(Tabela1[[#This Row],[5]],",",""))+1,1),"")</f>
        <v/>
      </c>
      <c r="AE358">
        <f>IF(Tabela1[[#This Row],[6]]&lt;&gt;"",IF(ISNUMBER(FIND(",",Tabela1[[#This Row],[6]])),LEN(Tabela1[[#This Row],[6]])-LEN(SUBSTITUTE(Tabela1[[#This Row],[6]],",",""))+1,1),"")</f>
        <v>1</v>
      </c>
      <c r="AF358" t="str">
        <f>IF(Tabela1[[#This Row],[7]]&lt;&gt;"",IF(ISNUMBER(FIND(",",Tabela1[[#This Row],[7]])),LEN(Tabela1[[#This Row],[7]])-LEN(SUBSTITUTE(Tabela1[[#This Row],[7]],",",""))+1,1),"")</f>
        <v/>
      </c>
      <c r="AG358" t="str">
        <f>IF(Tabela1[[#This Row],[8]]&lt;&gt;"",IF(ISNUMBER(FIND(",",Tabela1[[#This Row],[8]])),LEN(Tabela1[[#This Row],[8]])-LEN(SUBSTITUTE(Tabela1[[#This Row],[8]],",",""))+1,1),"")</f>
        <v/>
      </c>
      <c r="AH358" t="str">
        <f>IF(Tabela1[[#This Row],[9]]&lt;&gt;"",IF(ISNUMBER(FIND(",",Tabela1[[#This Row],[9]])),LEN(Tabela1[[#This Row],[9]])-LEN(SUBSTITUTE(Tabela1[[#This Row],[9]],",",""))+1,1),"")</f>
        <v/>
      </c>
      <c r="AI358" t="str">
        <f>IF(Tabela1[[#This Row],[10]]&lt;&gt;"",IF(ISNUMBER(FIND(",",Tabela1[[#This Row],[10]])),LEN(Tabela1[[#This Row],[10]])-LEN(SUBSTITUTE(Tabela1[[#This Row],[10]],",",""))+1,1),"")</f>
        <v/>
      </c>
      <c r="AJ358" t="str">
        <f>IF(Tabela1[[#This Row],[11]]&lt;&gt;"",IF(ISNUMBER(FIND(",",Tabela1[[#This Row],[11]])),LEN(Tabela1[[#This Row],[11]])-LEN(SUBSTITUTE(Tabela1[[#This Row],[11]],",",""))+1,1),"")</f>
        <v/>
      </c>
      <c r="AK358" t="str">
        <f>IF(Tabela1[[#This Row],[12]]&lt;&gt;"",IF(ISNUMBER(FIND(",",Tabela1[[#This Row],[12]])),LEN(Tabela1[[#This Row],[12]])-LEN(SUBSTITUTE(Tabela1[[#This Row],[12]],",",""))+1,1),"")</f>
        <v/>
      </c>
      <c r="AL358" t="str">
        <f>IF(Tabela1[[#This Row],[13]]&lt;&gt;"",IF(ISNUMBER(FIND(",",Tabela1[[#This Row],[13]])),LEN(Tabela1[[#This Row],[13]])-LEN(SUBSTITUTE(Tabela1[[#This Row],[13]],",",""))+1,1),"")</f>
        <v/>
      </c>
      <c r="AM358" t="str">
        <f>IF(Tabela1[[#This Row],[14]]&lt;&gt;"",IF(ISNUMBER(FIND(",",Tabela1[[#This Row],[14]])),LEN(Tabela1[[#This Row],[14]])-LEN(SUBSTITUTE(Tabela1[[#This Row],[14]],",",""))+1,1),"")</f>
        <v/>
      </c>
      <c r="AN358" t="str">
        <f>IF(Tabela1[[#This Row],[15]]&lt;&gt;"",IF(ISNUMBER(FIND(",",Tabela1[[#This Row],[15]])),LEN(Tabela1[[#This Row],[15]])-LEN(SUBSTITUTE(Tabela1[[#This Row],[15]],",",""))+1,1),"")</f>
        <v/>
      </c>
      <c r="AO358" t="str">
        <f>IF(Tabela1[[#This Row],[16]]&lt;&gt;"",IF(ISNUMBER(FIND(",",Tabela1[[#This Row],[16]])),LEN(Tabela1[[#This Row],[16]])-LEN(SUBSTITUTE(Tabela1[[#This Row],[16]],",",""))+1,1),"")</f>
        <v/>
      </c>
      <c r="AP358" t="str">
        <f>IF(Tabela1[[#This Row],[17]]&lt;&gt;"",IF(ISNUMBER(FIND(",",Tabela1[[#This Row],[17]])),LEN(Tabela1[[#This Row],[17]])-LEN(SUBSTITUTE(Tabela1[[#This Row],[17]],",",""))+1,1),"")</f>
        <v/>
      </c>
      <c r="AQ358" t="str">
        <f>IF(Tabela1[[#This Row],[18]]&lt;&gt;"",IF(ISNUMBER(FIND(",",Tabela1[[#This Row],[18]])),LEN(Tabela1[[#This Row],[18]])-LEN(SUBSTITUTE(Tabela1[[#This Row],[18]],",",""))+1,1),"")</f>
        <v/>
      </c>
      <c r="AR358" s="13" t="str">
        <f>IF(Tabela1[[#This Row],[19_LENGTH]]&lt;&gt;"",IF(ISNUMBER(FIND(",",Tabela1[[#This Row],[19_LENGTH]])),LEN(Tabela1[[#This Row],[19_LENGTH]])-LEN(SUBSTITUTE(Tabela1[[#This Row],[19_LENGTH]],",",""))+1,1),"")</f>
        <v/>
      </c>
      <c r="AS358" s="21">
        <f>SUM(Tabela1[[#This Row],[1_]:[19_]])</f>
        <v>2</v>
      </c>
    </row>
    <row r="359" spans="1:45" x14ac:dyDescent="0.25">
      <c r="A359" s="27" t="s">
        <v>1324</v>
      </c>
      <c r="B359" s="19" t="s">
        <v>808</v>
      </c>
      <c r="C359" s="19">
        <v>102</v>
      </c>
      <c r="D359" s="19" t="s">
        <v>1303</v>
      </c>
      <c r="E359" s="20">
        <v>43508</v>
      </c>
      <c r="F359" s="19"/>
      <c r="G359" s="19">
        <v>20</v>
      </c>
      <c r="H359" s="19"/>
      <c r="I359" s="19"/>
      <c r="J359" s="19"/>
      <c r="K359" s="19"/>
      <c r="L359" s="19"/>
      <c r="M359" s="19"/>
      <c r="N359" s="19"/>
      <c r="O359" s="19"/>
      <c r="P359" s="19"/>
      <c r="Q359" s="19"/>
      <c r="R359" s="19"/>
      <c r="S359" s="19"/>
      <c r="T359" s="19"/>
      <c r="U359" s="19"/>
      <c r="V359" s="19"/>
      <c r="W359" s="19"/>
      <c r="X359" s="19"/>
      <c r="Y359" s="19"/>
      <c r="Z359" t="str">
        <f>IF(Tabela1[[#This Row],[1]]&lt;&gt;"",IF(ISNUMBER(FIND(",",Tabela1[[#This Row],[1]])),LEN(Tabela1[[#This Row],[1]])-LEN(SUBSTITUTE(Tabela1[[#This Row],[1]],",",""))+1,1),"")</f>
        <v/>
      </c>
      <c r="AA359">
        <f>IF(Tabela1[[#This Row],[2]]&lt;&gt;"",IF(ISNUMBER(FIND(",",Tabela1[[#This Row],[2]])),LEN(Tabela1[[#This Row],[2]])-LEN(SUBSTITUTE(Tabela1[[#This Row],[2]],",",""))+1,1),"")</f>
        <v>1</v>
      </c>
      <c r="AB359" t="str">
        <f>IF(Tabela1[[#This Row],[3]]&lt;&gt;"",IF(ISNUMBER(FIND(",",Tabela1[[#This Row],[3]])),LEN(Tabela1[[#This Row],[3]])-LEN(SUBSTITUTE(Tabela1[[#This Row],[3]],",",""))+1,1),"")</f>
        <v/>
      </c>
      <c r="AC359" t="str">
        <f>IF(Tabela1[[#This Row],[4]]&lt;&gt;"",IF(ISNUMBER(FIND(",",Tabela1[[#This Row],[4]])),LEN(Tabela1[[#This Row],[4]])-LEN(SUBSTITUTE(Tabela1[[#This Row],[4]],",",""))+1,1),"")</f>
        <v/>
      </c>
      <c r="AD359" t="str">
        <f>IF(Tabela1[[#This Row],[5]]&lt;&gt;"",IF(ISNUMBER(FIND(",",Tabela1[[#This Row],[5]])),LEN(Tabela1[[#This Row],[5]])-LEN(SUBSTITUTE(Tabela1[[#This Row],[5]],",",""))+1,1),"")</f>
        <v/>
      </c>
      <c r="AE359" t="str">
        <f>IF(Tabela1[[#This Row],[6]]&lt;&gt;"",IF(ISNUMBER(FIND(",",Tabela1[[#This Row],[6]])),LEN(Tabela1[[#This Row],[6]])-LEN(SUBSTITUTE(Tabela1[[#This Row],[6]],",",""))+1,1),"")</f>
        <v/>
      </c>
      <c r="AF359" t="str">
        <f>IF(Tabela1[[#This Row],[7]]&lt;&gt;"",IF(ISNUMBER(FIND(",",Tabela1[[#This Row],[7]])),LEN(Tabela1[[#This Row],[7]])-LEN(SUBSTITUTE(Tabela1[[#This Row],[7]],",",""))+1,1),"")</f>
        <v/>
      </c>
      <c r="AG359" t="str">
        <f>IF(Tabela1[[#This Row],[8]]&lt;&gt;"",IF(ISNUMBER(FIND(",",Tabela1[[#This Row],[8]])),LEN(Tabela1[[#This Row],[8]])-LEN(SUBSTITUTE(Tabela1[[#This Row],[8]],",",""))+1,1),"")</f>
        <v/>
      </c>
      <c r="AH359" t="str">
        <f>IF(Tabela1[[#This Row],[9]]&lt;&gt;"",IF(ISNUMBER(FIND(",",Tabela1[[#This Row],[9]])),LEN(Tabela1[[#This Row],[9]])-LEN(SUBSTITUTE(Tabela1[[#This Row],[9]],",",""))+1,1),"")</f>
        <v/>
      </c>
      <c r="AI359" t="str">
        <f>IF(Tabela1[[#This Row],[10]]&lt;&gt;"",IF(ISNUMBER(FIND(",",Tabela1[[#This Row],[10]])),LEN(Tabela1[[#This Row],[10]])-LEN(SUBSTITUTE(Tabela1[[#This Row],[10]],",",""))+1,1),"")</f>
        <v/>
      </c>
      <c r="AJ359" t="str">
        <f>IF(Tabela1[[#This Row],[11]]&lt;&gt;"",IF(ISNUMBER(FIND(",",Tabela1[[#This Row],[11]])),LEN(Tabela1[[#This Row],[11]])-LEN(SUBSTITUTE(Tabela1[[#This Row],[11]],",",""))+1,1),"")</f>
        <v/>
      </c>
      <c r="AK359" t="str">
        <f>IF(Tabela1[[#This Row],[12]]&lt;&gt;"",IF(ISNUMBER(FIND(",",Tabela1[[#This Row],[12]])),LEN(Tabela1[[#This Row],[12]])-LEN(SUBSTITUTE(Tabela1[[#This Row],[12]],",",""))+1,1),"")</f>
        <v/>
      </c>
      <c r="AL359" t="str">
        <f>IF(Tabela1[[#This Row],[13]]&lt;&gt;"",IF(ISNUMBER(FIND(",",Tabela1[[#This Row],[13]])),LEN(Tabela1[[#This Row],[13]])-LEN(SUBSTITUTE(Tabela1[[#This Row],[13]],",",""))+1,1),"")</f>
        <v/>
      </c>
      <c r="AM359" t="str">
        <f>IF(Tabela1[[#This Row],[14]]&lt;&gt;"",IF(ISNUMBER(FIND(",",Tabela1[[#This Row],[14]])),LEN(Tabela1[[#This Row],[14]])-LEN(SUBSTITUTE(Tabela1[[#This Row],[14]],",",""))+1,1),"")</f>
        <v/>
      </c>
      <c r="AN359" t="str">
        <f>IF(Tabela1[[#This Row],[15]]&lt;&gt;"",IF(ISNUMBER(FIND(",",Tabela1[[#This Row],[15]])),LEN(Tabela1[[#This Row],[15]])-LEN(SUBSTITUTE(Tabela1[[#This Row],[15]],",",""))+1,1),"")</f>
        <v/>
      </c>
      <c r="AO359" t="str">
        <f>IF(Tabela1[[#This Row],[16]]&lt;&gt;"",IF(ISNUMBER(FIND(",",Tabela1[[#This Row],[16]])),LEN(Tabela1[[#This Row],[16]])-LEN(SUBSTITUTE(Tabela1[[#This Row],[16]],",",""))+1,1),"")</f>
        <v/>
      </c>
      <c r="AP359" t="str">
        <f>IF(Tabela1[[#This Row],[17]]&lt;&gt;"",IF(ISNUMBER(FIND(",",Tabela1[[#This Row],[17]])),LEN(Tabela1[[#This Row],[17]])-LEN(SUBSTITUTE(Tabela1[[#This Row],[17]],",",""))+1,1),"")</f>
        <v/>
      </c>
      <c r="AQ359" t="str">
        <f>IF(Tabela1[[#This Row],[18]]&lt;&gt;"",IF(ISNUMBER(FIND(",",Tabela1[[#This Row],[18]])),LEN(Tabela1[[#This Row],[18]])-LEN(SUBSTITUTE(Tabela1[[#This Row],[18]],",",""))+1,1),"")</f>
        <v/>
      </c>
      <c r="AR359" s="13" t="str">
        <f>IF(Tabela1[[#This Row],[19_LENGTH]]&lt;&gt;"",IF(ISNUMBER(FIND(",",Tabela1[[#This Row],[19_LENGTH]])),LEN(Tabela1[[#This Row],[19_LENGTH]])-LEN(SUBSTITUTE(Tabela1[[#This Row],[19_LENGTH]],",",""))+1,1),"")</f>
        <v/>
      </c>
      <c r="AS359" s="21">
        <f>SUM(Tabela1[[#This Row],[1_]:[19_]])</f>
        <v>1</v>
      </c>
    </row>
    <row r="360" spans="1:45" x14ac:dyDescent="0.25">
      <c r="A360" s="27" t="s">
        <v>1323</v>
      </c>
      <c r="B360" s="19" t="s">
        <v>809</v>
      </c>
      <c r="C360" s="19">
        <v>202</v>
      </c>
      <c r="D360" s="19" t="s">
        <v>1314</v>
      </c>
      <c r="E360" s="20">
        <v>43516</v>
      </c>
      <c r="F360" s="19"/>
      <c r="G360" s="19">
        <v>7</v>
      </c>
      <c r="H360" s="19"/>
      <c r="I360" s="19"/>
      <c r="J360" s="19"/>
      <c r="K360" s="19"/>
      <c r="L360" s="19"/>
      <c r="M360" s="19"/>
      <c r="N360" s="19"/>
      <c r="O360" s="19"/>
      <c r="P360" s="19"/>
      <c r="Q360" s="19"/>
      <c r="R360" s="19"/>
      <c r="S360" s="19"/>
      <c r="T360" s="19"/>
      <c r="U360" s="19"/>
      <c r="V360" s="19"/>
      <c r="W360" s="19"/>
      <c r="X360" s="19"/>
      <c r="Y360" s="19"/>
      <c r="Z360" t="str">
        <f>IF(Tabela1[[#This Row],[1]]&lt;&gt;"",IF(ISNUMBER(FIND(",",Tabela1[[#This Row],[1]])),LEN(Tabela1[[#This Row],[1]])-LEN(SUBSTITUTE(Tabela1[[#This Row],[1]],",",""))+1,1),"")</f>
        <v/>
      </c>
      <c r="AA360">
        <f>IF(Tabela1[[#This Row],[2]]&lt;&gt;"",IF(ISNUMBER(FIND(",",Tabela1[[#This Row],[2]])),LEN(Tabela1[[#This Row],[2]])-LEN(SUBSTITUTE(Tabela1[[#This Row],[2]],",",""))+1,1),"")</f>
        <v>1</v>
      </c>
      <c r="AB360" t="str">
        <f>IF(Tabela1[[#This Row],[3]]&lt;&gt;"",IF(ISNUMBER(FIND(",",Tabela1[[#This Row],[3]])),LEN(Tabela1[[#This Row],[3]])-LEN(SUBSTITUTE(Tabela1[[#This Row],[3]],",",""))+1,1),"")</f>
        <v/>
      </c>
      <c r="AC360" t="str">
        <f>IF(Tabela1[[#This Row],[4]]&lt;&gt;"",IF(ISNUMBER(FIND(",",Tabela1[[#This Row],[4]])),LEN(Tabela1[[#This Row],[4]])-LEN(SUBSTITUTE(Tabela1[[#This Row],[4]],",",""))+1,1),"")</f>
        <v/>
      </c>
      <c r="AD360" t="str">
        <f>IF(Tabela1[[#This Row],[5]]&lt;&gt;"",IF(ISNUMBER(FIND(",",Tabela1[[#This Row],[5]])),LEN(Tabela1[[#This Row],[5]])-LEN(SUBSTITUTE(Tabela1[[#This Row],[5]],",",""))+1,1),"")</f>
        <v/>
      </c>
      <c r="AE360" t="str">
        <f>IF(Tabela1[[#This Row],[6]]&lt;&gt;"",IF(ISNUMBER(FIND(",",Tabela1[[#This Row],[6]])),LEN(Tabela1[[#This Row],[6]])-LEN(SUBSTITUTE(Tabela1[[#This Row],[6]],",",""))+1,1),"")</f>
        <v/>
      </c>
      <c r="AF360" t="str">
        <f>IF(Tabela1[[#This Row],[7]]&lt;&gt;"",IF(ISNUMBER(FIND(",",Tabela1[[#This Row],[7]])),LEN(Tabela1[[#This Row],[7]])-LEN(SUBSTITUTE(Tabela1[[#This Row],[7]],",",""))+1,1),"")</f>
        <v/>
      </c>
      <c r="AG360" t="str">
        <f>IF(Tabela1[[#This Row],[8]]&lt;&gt;"",IF(ISNUMBER(FIND(",",Tabela1[[#This Row],[8]])),LEN(Tabela1[[#This Row],[8]])-LEN(SUBSTITUTE(Tabela1[[#This Row],[8]],",",""))+1,1),"")</f>
        <v/>
      </c>
      <c r="AH360" t="str">
        <f>IF(Tabela1[[#This Row],[9]]&lt;&gt;"",IF(ISNUMBER(FIND(",",Tabela1[[#This Row],[9]])),LEN(Tabela1[[#This Row],[9]])-LEN(SUBSTITUTE(Tabela1[[#This Row],[9]],",",""))+1,1),"")</f>
        <v/>
      </c>
      <c r="AI360" t="str">
        <f>IF(Tabela1[[#This Row],[10]]&lt;&gt;"",IF(ISNUMBER(FIND(",",Tabela1[[#This Row],[10]])),LEN(Tabela1[[#This Row],[10]])-LEN(SUBSTITUTE(Tabela1[[#This Row],[10]],",",""))+1,1),"")</f>
        <v/>
      </c>
      <c r="AJ360" t="str">
        <f>IF(Tabela1[[#This Row],[11]]&lt;&gt;"",IF(ISNUMBER(FIND(",",Tabela1[[#This Row],[11]])),LEN(Tabela1[[#This Row],[11]])-LEN(SUBSTITUTE(Tabela1[[#This Row],[11]],",",""))+1,1),"")</f>
        <v/>
      </c>
      <c r="AK360" t="str">
        <f>IF(Tabela1[[#This Row],[12]]&lt;&gt;"",IF(ISNUMBER(FIND(",",Tabela1[[#This Row],[12]])),LEN(Tabela1[[#This Row],[12]])-LEN(SUBSTITUTE(Tabela1[[#This Row],[12]],",",""))+1,1),"")</f>
        <v/>
      </c>
      <c r="AL360" t="str">
        <f>IF(Tabela1[[#This Row],[13]]&lt;&gt;"",IF(ISNUMBER(FIND(",",Tabela1[[#This Row],[13]])),LEN(Tabela1[[#This Row],[13]])-LEN(SUBSTITUTE(Tabela1[[#This Row],[13]],",",""))+1,1),"")</f>
        <v/>
      </c>
      <c r="AM360" t="str">
        <f>IF(Tabela1[[#This Row],[14]]&lt;&gt;"",IF(ISNUMBER(FIND(",",Tabela1[[#This Row],[14]])),LEN(Tabela1[[#This Row],[14]])-LEN(SUBSTITUTE(Tabela1[[#This Row],[14]],",",""))+1,1),"")</f>
        <v/>
      </c>
      <c r="AN360" t="str">
        <f>IF(Tabela1[[#This Row],[15]]&lt;&gt;"",IF(ISNUMBER(FIND(",",Tabela1[[#This Row],[15]])),LEN(Tabela1[[#This Row],[15]])-LEN(SUBSTITUTE(Tabela1[[#This Row],[15]],",",""))+1,1),"")</f>
        <v/>
      </c>
      <c r="AO360" t="str">
        <f>IF(Tabela1[[#This Row],[16]]&lt;&gt;"",IF(ISNUMBER(FIND(",",Tabela1[[#This Row],[16]])),LEN(Tabela1[[#This Row],[16]])-LEN(SUBSTITUTE(Tabela1[[#This Row],[16]],",",""))+1,1),"")</f>
        <v/>
      </c>
      <c r="AP360" t="str">
        <f>IF(Tabela1[[#This Row],[17]]&lt;&gt;"",IF(ISNUMBER(FIND(",",Tabela1[[#This Row],[17]])),LEN(Tabela1[[#This Row],[17]])-LEN(SUBSTITUTE(Tabela1[[#This Row],[17]],",",""))+1,1),"")</f>
        <v/>
      </c>
      <c r="AQ360" t="str">
        <f>IF(Tabela1[[#This Row],[18]]&lt;&gt;"",IF(ISNUMBER(FIND(",",Tabela1[[#This Row],[18]])),LEN(Tabela1[[#This Row],[18]])-LEN(SUBSTITUTE(Tabela1[[#This Row],[18]],",",""))+1,1),"")</f>
        <v/>
      </c>
      <c r="AR360" s="13" t="str">
        <f>IF(Tabela1[[#This Row],[19_LENGTH]]&lt;&gt;"",IF(ISNUMBER(FIND(",",Tabela1[[#This Row],[19_LENGTH]])),LEN(Tabela1[[#This Row],[19_LENGTH]])-LEN(SUBSTITUTE(Tabela1[[#This Row],[19_LENGTH]],",",""))+1,1),"")</f>
        <v/>
      </c>
      <c r="AS360" s="21">
        <f>SUM(Tabela1[[#This Row],[1_]:[19_]])</f>
        <v>1</v>
      </c>
    </row>
    <row r="361" spans="1:45" x14ac:dyDescent="0.25">
      <c r="A361" s="27" t="s">
        <v>1323</v>
      </c>
      <c r="B361" s="19" t="s">
        <v>810</v>
      </c>
      <c r="C361" s="19">
        <v>206</v>
      </c>
      <c r="D361" s="19" t="s">
        <v>1314</v>
      </c>
      <c r="E361" s="20">
        <v>43515</v>
      </c>
      <c r="F361" s="19"/>
      <c r="G361" s="19"/>
      <c r="H361" s="19"/>
      <c r="I361" s="19"/>
      <c r="J361" s="19"/>
      <c r="K361" s="19">
        <v>94</v>
      </c>
      <c r="L361" s="19"/>
      <c r="M361" s="19">
        <v>130</v>
      </c>
      <c r="N361" s="19"/>
      <c r="O361" s="19"/>
      <c r="P361" s="19"/>
      <c r="Q361" s="19"/>
      <c r="R361" s="19"/>
      <c r="S361" s="19"/>
      <c r="T361" s="19"/>
      <c r="U361" s="19"/>
      <c r="V361" s="19"/>
      <c r="W361" s="19"/>
      <c r="X361" s="19"/>
      <c r="Y361" s="19"/>
      <c r="Z361" t="str">
        <f>IF(Tabela1[[#This Row],[1]]&lt;&gt;"",IF(ISNUMBER(FIND(",",Tabela1[[#This Row],[1]])),LEN(Tabela1[[#This Row],[1]])-LEN(SUBSTITUTE(Tabela1[[#This Row],[1]],",",""))+1,1),"")</f>
        <v/>
      </c>
      <c r="AA361" t="str">
        <f>IF(Tabela1[[#This Row],[2]]&lt;&gt;"",IF(ISNUMBER(FIND(",",Tabela1[[#This Row],[2]])),LEN(Tabela1[[#This Row],[2]])-LEN(SUBSTITUTE(Tabela1[[#This Row],[2]],",",""))+1,1),"")</f>
        <v/>
      </c>
      <c r="AB361" t="str">
        <f>IF(Tabela1[[#This Row],[3]]&lt;&gt;"",IF(ISNUMBER(FIND(",",Tabela1[[#This Row],[3]])),LEN(Tabela1[[#This Row],[3]])-LEN(SUBSTITUTE(Tabela1[[#This Row],[3]],",",""))+1,1),"")</f>
        <v/>
      </c>
      <c r="AC361" t="str">
        <f>IF(Tabela1[[#This Row],[4]]&lt;&gt;"",IF(ISNUMBER(FIND(",",Tabela1[[#This Row],[4]])),LEN(Tabela1[[#This Row],[4]])-LEN(SUBSTITUTE(Tabela1[[#This Row],[4]],",",""))+1,1),"")</f>
        <v/>
      </c>
      <c r="AD361" t="str">
        <f>IF(Tabela1[[#This Row],[5]]&lt;&gt;"",IF(ISNUMBER(FIND(",",Tabela1[[#This Row],[5]])),LEN(Tabela1[[#This Row],[5]])-LEN(SUBSTITUTE(Tabela1[[#This Row],[5]],",",""))+1,1),"")</f>
        <v/>
      </c>
      <c r="AE361">
        <f>IF(Tabela1[[#This Row],[6]]&lt;&gt;"",IF(ISNUMBER(FIND(",",Tabela1[[#This Row],[6]])),LEN(Tabela1[[#This Row],[6]])-LEN(SUBSTITUTE(Tabela1[[#This Row],[6]],",",""))+1,1),"")</f>
        <v>1</v>
      </c>
      <c r="AF361" t="str">
        <f>IF(Tabela1[[#This Row],[7]]&lt;&gt;"",IF(ISNUMBER(FIND(",",Tabela1[[#This Row],[7]])),LEN(Tabela1[[#This Row],[7]])-LEN(SUBSTITUTE(Tabela1[[#This Row],[7]],",",""))+1,1),"")</f>
        <v/>
      </c>
      <c r="AG361">
        <f>IF(Tabela1[[#This Row],[8]]&lt;&gt;"",IF(ISNUMBER(FIND(",",Tabela1[[#This Row],[8]])),LEN(Tabela1[[#This Row],[8]])-LEN(SUBSTITUTE(Tabela1[[#This Row],[8]],",",""))+1,1),"")</f>
        <v>1</v>
      </c>
      <c r="AH361" t="str">
        <f>IF(Tabela1[[#This Row],[9]]&lt;&gt;"",IF(ISNUMBER(FIND(",",Tabela1[[#This Row],[9]])),LEN(Tabela1[[#This Row],[9]])-LEN(SUBSTITUTE(Tabela1[[#This Row],[9]],",",""))+1,1),"")</f>
        <v/>
      </c>
      <c r="AI361" t="str">
        <f>IF(Tabela1[[#This Row],[10]]&lt;&gt;"",IF(ISNUMBER(FIND(",",Tabela1[[#This Row],[10]])),LEN(Tabela1[[#This Row],[10]])-LEN(SUBSTITUTE(Tabela1[[#This Row],[10]],",",""))+1,1),"")</f>
        <v/>
      </c>
      <c r="AJ361" t="str">
        <f>IF(Tabela1[[#This Row],[11]]&lt;&gt;"",IF(ISNUMBER(FIND(",",Tabela1[[#This Row],[11]])),LEN(Tabela1[[#This Row],[11]])-LEN(SUBSTITUTE(Tabela1[[#This Row],[11]],",",""))+1,1),"")</f>
        <v/>
      </c>
      <c r="AK361" t="str">
        <f>IF(Tabela1[[#This Row],[12]]&lt;&gt;"",IF(ISNUMBER(FIND(",",Tabela1[[#This Row],[12]])),LEN(Tabela1[[#This Row],[12]])-LEN(SUBSTITUTE(Tabela1[[#This Row],[12]],",",""))+1,1),"")</f>
        <v/>
      </c>
      <c r="AL361" t="str">
        <f>IF(Tabela1[[#This Row],[13]]&lt;&gt;"",IF(ISNUMBER(FIND(",",Tabela1[[#This Row],[13]])),LEN(Tabela1[[#This Row],[13]])-LEN(SUBSTITUTE(Tabela1[[#This Row],[13]],",",""))+1,1),"")</f>
        <v/>
      </c>
      <c r="AM361" t="str">
        <f>IF(Tabela1[[#This Row],[14]]&lt;&gt;"",IF(ISNUMBER(FIND(",",Tabela1[[#This Row],[14]])),LEN(Tabela1[[#This Row],[14]])-LEN(SUBSTITUTE(Tabela1[[#This Row],[14]],",",""))+1,1),"")</f>
        <v/>
      </c>
      <c r="AN361" t="str">
        <f>IF(Tabela1[[#This Row],[15]]&lt;&gt;"",IF(ISNUMBER(FIND(",",Tabela1[[#This Row],[15]])),LEN(Tabela1[[#This Row],[15]])-LEN(SUBSTITUTE(Tabela1[[#This Row],[15]],",",""))+1,1),"")</f>
        <v/>
      </c>
      <c r="AO361" t="str">
        <f>IF(Tabela1[[#This Row],[16]]&lt;&gt;"",IF(ISNUMBER(FIND(",",Tabela1[[#This Row],[16]])),LEN(Tabela1[[#This Row],[16]])-LEN(SUBSTITUTE(Tabela1[[#This Row],[16]],",",""))+1,1),"")</f>
        <v/>
      </c>
      <c r="AP361" t="str">
        <f>IF(Tabela1[[#This Row],[17]]&lt;&gt;"",IF(ISNUMBER(FIND(",",Tabela1[[#This Row],[17]])),LEN(Tabela1[[#This Row],[17]])-LEN(SUBSTITUTE(Tabela1[[#This Row],[17]],",",""))+1,1),"")</f>
        <v/>
      </c>
      <c r="AQ361" t="str">
        <f>IF(Tabela1[[#This Row],[18]]&lt;&gt;"",IF(ISNUMBER(FIND(",",Tabela1[[#This Row],[18]])),LEN(Tabela1[[#This Row],[18]])-LEN(SUBSTITUTE(Tabela1[[#This Row],[18]],",",""))+1,1),"")</f>
        <v/>
      </c>
      <c r="AR361" s="13" t="str">
        <f>IF(Tabela1[[#This Row],[19_LENGTH]]&lt;&gt;"",IF(ISNUMBER(FIND(",",Tabela1[[#This Row],[19_LENGTH]])),LEN(Tabela1[[#This Row],[19_LENGTH]])-LEN(SUBSTITUTE(Tabela1[[#This Row],[19_LENGTH]],",",""))+1,1),"")</f>
        <v/>
      </c>
      <c r="AS361" s="21">
        <f>SUM(Tabela1[[#This Row],[1_]:[19_]])</f>
        <v>2</v>
      </c>
    </row>
    <row r="362" spans="1:45" x14ac:dyDescent="0.25">
      <c r="A362" s="27" t="s">
        <v>1323</v>
      </c>
      <c r="B362" s="19" t="s">
        <v>811</v>
      </c>
      <c r="C362" s="19">
        <v>202</v>
      </c>
      <c r="D362" s="19" t="s">
        <v>1314</v>
      </c>
      <c r="E362" s="20">
        <v>43515</v>
      </c>
      <c r="F362" s="19"/>
      <c r="G362" s="19"/>
      <c r="H362" s="19"/>
      <c r="I362" s="19">
        <v>84</v>
      </c>
      <c r="J362" s="19"/>
      <c r="K362" s="19">
        <v>147</v>
      </c>
      <c r="L362" s="19"/>
      <c r="M362" s="19">
        <v>110</v>
      </c>
      <c r="N362" s="19"/>
      <c r="O362" s="19"/>
      <c r="P362" s="19"/>
      <c r="Q362" s="19"/>
      <c r="R362" s="19"/>
      <c r="S362" s="19"/>
      <c r="T362" s="19"/>
      <c r="U362" s="19"/>
      <c r="V362" s="19"/>
      <c r="W362" s="19"/>
      <c r="X362" s="19"/>
      <c r="Y362" s="19"/>
      <c r="Z362" t="str">
        <f>IF(Tabela1[[#This Row],[1]]&lt;&gt;"",IF(ISNUMBER(FIND(",",Tabela1[[#This Row],[1]])),LEN(Tabela1[[#This Row],[1]])-LEN(SUBSTITUTE(Tabela1[[#This Row],[1]],",",""))+1,1),"")</f>
        <v/>
      </c>
      <c r="AA362" t="str">
        <f>IF(Tabela1[[#This Row],[2]]&lt;&gt;"",IF(ISNUMBER(FIND(",",Tabela1[[#This Row],[2]])),LEN(Tabela1[[#This Row],[2]])-LEN(SUBSTITUTE(Tabela1[[#This Row],[2]],",",""))+1,1),"")</f>
        <v/>
      </c>
      <c r="AB362" t="str">
        <f>IF(Tabela1[[#This Row],[3]]&lt;&gt;"",IF(ISNUMBER(FIND(",",Tabela1[[#This Row],[3]])),LEN(Tabela1[[#This Row],[3]])-LEN(SUBSTITUTE(Tabela1[[#This Row],[3]],",",""))+1,1),"")</f>
        <v/>
      </c>
      <c r="AC362">
        <f>IF(Tabela1[[#This Row],[4]]&lt;&gt;"",IF(ISNUMBER(FIND(",",Tabela1[[#This Row],[4]])),LEN(Tabela1[[#This Row],[4]])-LEN(SUBSTITUTE(Tabela1[[#This Row],[4]],",",""))+1,1),"")</f>
        <v>1</v>
      </c>
      <c r="AD362" t="str">
        <f>IF(Tabela1[[#This Row],[5]]&lt;&gt;"",IF(ISNUMBER(FIND(",",Tabela1[[#This Row],[5]])),LEN(Tabela1[[#This Row],[5]])-LEN(SUBSTITUTE(Tabela1[[#This Row],[5]],",",""))+1,1),"")</f>
        <v/>
      </c>
      <c r="AE362">
        <f>IF(Tabela1[[#This Row],[6]]&lt;&gt;"",IF(ISNUMBER(FIND(",",Tabela1[[#This Row],[6]])),LEN(Tabela1[[#This Row],[6]])-LEN(SUBSTITUTE(Tabela1[[#This Row],[6]],",",""))+1,1),"")</f>
        <v>1</v>
      </c>
      <c r="AF362" t="str">
        <f>IF(Tabela1[[#This Row],[7]]&lt;&gt;"",IF(ISNUMBER(FIND(",",Tabela1[[#This Row],[7]])),LEN(Tabela1[[#This Row],[7]])-LEN(SUBSTITUTE(Tabela1[[#This Row],[7]],",",""))+1,1),"")</f>
        <v/>
      </c>
      <c r="AG362">
        <f>IF(Tabela1[[#This Row],[8]]&lt;&gt;"",IF(ISNUMBER(FIND(",",Tabela1[[#This Row],[8]])),LEN(Tabela1[[#This Row],[8]])-LEN(SUBSTITUTE(Tabela1[[#This Row],[8]],",",""))+1,1),"")</f>
        <v>1</v>
      </c>
      <c r="AH362" t="str">
        <f>IF(Tabela1[[#This Row],[9]]&lt;&gt;"",IF(ISNUMBER(FIND(",",Tabela1[[#This Row],[9]])),LEN(Tabela1[[#This Row],[9]])-LEN(SUBSTITUTE(Tabela1[[#This Row],[9]],",",""))+1,1),"")</f>
        <v/>
      </c>
      <c r="AI362" t="str">
        <f>IF(Tabela1[[#This Row],[10]]&lt;&gt;"",IF(ISNUMBER(FIND(",",Tabela1[[#This Row],[10]])),LEN(Tabela1[[#This Row],[10]])-LEN(SUBSTITUTE(Tabela1[[#This Row],[10]],",",""))+1,1),"")</f>
        <v/>
      </c>
      <c r="AJ362" t="str">
        <f>IF(Tabela1[[#This Row],[11]]&lt;&gt;"",IF(ISNUMBER(FIND(",",Tabela1[[#This Row],[11]])),LEN(Tabela1[[#This Row],[11]])-LEN(SUBSTITUTE(Tabela1[[#This Row],[11]],",",""))+1,1),"")</f>
        <v/>
      </c>
      <c r="AK362" t="str">
        <f>IF(Tabela1[[#This Row],[12]]&lt;&gt;"",IF(ISNUMBER(FIND(",",Tabela1[[#This Row],[12]])),LEN(Tabela1[[#This Row],[12]])-LEN(SUBSTITUTE(Tabela1[[#This Row],[12]],",",""))+1,1),"")</f>
        <v/>
      </c>
      <c r="AL362" t="str">
        <f>IF(Tabela1[[#This Row],[13]]&lt;&gt;"",IF(ISNUMBER(FIND(",",Tabela1[[#This Row],[13]])),LEN(Tabela1[[#This Row],[13]])-LEN(SUBSTITUTE(Tabela1[[#This Row],[13]],",",""))+1,1),"")</f>
        <v/>
      </c>
      <c r="AM362" t="str">
        <f>IF(Tabela1[[#This Row],[14]]&lt;&gt;"",IF(ISNUMBER(FIND(",",Tabela1[[#This Row],[14]])),LEN(Tabela1[[#This Row],[14]])-LEN(SUBSTITUTE(Tabela1[[#This Row],[14]],",",""))+1,1),"")</f>
        <v/>
      </c>
      <c r="AN362" t="str">
        <f>IF(Tabela1[[#This Row],[15]]&lt;&gt;"",IF(ISNUMBER(FIND(",",Tabela1[[#This Row],[15]])),LEN(Tabela1[[#This Row],[15]])-LEN(SUBSTITUTE(Tabela1[[#This Row],[15]],",",""))+1,1),"")</f>
        <v/>
      </c>
      <c r="AO362" t="str">
        <f>IF(Tabela1[[#This Row],[16]]&lt;&gt;"",IF(ISNUMBER(FIND(",",Tabela1[[#This Row],[16]])),LEN(Tabela1[[#This Row],[16]])-LEN(SUBSTITUTE(Tabela1[[#This Row],[16]],",",""))+1,1),"")</f>
        <v/>
      </c>
      <c r="AP362" t="str">
        <f>IF(Tabela1[[#This Row],[17]]&lt;&gt;"",IF(ISNUMBER(FIND(",",Tabela1[[#This Row],[17]])),LEN(Tabela1[[#This Row],[17]])-LEN(SUBSTITUTE(Tabela1[[#This Row],[17]],",",""))+1,1),"")</f>
        <v/>
      </c>
      <c r="AQ362" t="str">
        <f>IF(Tabela1[[#This Row],[18]]&lt;&gt;"",IF(ISNUMBER(FIND(",",Tabela1[[#This Row],[18]])),LEN(Tabela1[[#This Row],[18]])-LEN(SUBSTITUTE(Tabela1[[#This Row],[18]],",",""))+1,1),"")</f>
        <v/>
      </c>
      <c r="AR362" s="13" t="str">
        <f>IF(Tabela1[[#This Row],[19_LENGTH]]&lt;&gt;"",IF(ISNUMBER(FIND(",",Tabela1[[#This Row],[19_LENGTH]])),LEN(Tabela1[[#This Row],[19_LENGTH]])-LEN(SUBSTITUTE(Tabela1[[#This Row],[19_LENGTH]],",",""))+1,1),"")</f>
        <v/>
      </c>
      <c r="AS362" s="21">
        <f>SUM(Tabela1[[#This Row],[1_]:[19_]])</f>
        <v>3</v>
      </c>
    </row>
    <row r="363" spans="1:45" x14ac:dyDescent="0.25">
      <c r="A363" s="27" t="s">
        <v>1323</v>
      </c>
      <c r="B363" s="19" t="s">
        <v>483</v>
      </c>
      <c r="C363" s="19">
        <v>197</v>
      </c>
      <c r="D363" s="19" t="s">
        <v>1297</v>
      </c>
      <c r="E363" s="20">
        <v>43514</v>
      </c>
      <c r="F363" s="19"/>
      <c r="G363" s="19"/>
      <c r="H363" s="19"/>
      <c r="I363" s="19"/>
      <c r="J363" s="19"/>
      <c r="K363" s="19"/>
      <c r="L363" s="19"/>
      <c r="M363" s="19"/>
      <c r="N363" s="19"/>
      <c r="O363" s="19"/>
      <c r="P363" s="19"/>
      <c r="Q363" s="19"/>
      <c r="R363" s="19" t="s">
        <v>147</v>
      </c>
      <c r="S363" s="19"/>
      <c r="T363" s="19"/>
      <c r="U363" s="19"/>
      <c r="V363" s="19"/>
      <c r="W363" s="19"/>
      <c r="X363" s="19"/>
      <c r="Y363" s="19"/>
      <c r="Z363" t="str">
        <f>IF(Tabela1[[#This Row],[1]]&lt;&gt;"",IF(ISNUMBER(FIND(",",Tabela1[[#This Row],[1]])),LEN(Tabela1[[#This Row],[1]])-LEN(SUBSTITUTE(Tabela1[[#This Row],[1]],",",""))+1,1),"")</f>
        <v/>
      </c>
      <c r="AA363" t="str">
        <f>IF(Tabela1[[#This Row],[2]]&lt;&gt;"",IF(ISNUMBER(FIND(",",Tabela1[[#This Row],[2]])),LEN(Tabela1[[#This Row],[2]])-LEN(SUBSTITUTE(Tabela1[[#This Row],[2]],",",""))+1,1),"")</f>
        <v/>
      </c>
      <c r="AB363" t="str">
        <f>IF(Tabela1[[#This Row],[3]]&lt;&gt;"",IF(ISNUMBER(FIND(",",Tabela1[[#This Row],[3]])),LEN(Tabela1[[#This Row],[3]])-LEN(SUBSTITUTE(Tabela1[[#This Row],[3]],",",""))+1,1),"")</f>
        <v/>
      </c>
      <c r="AC363" t="str">
        <f>IF(Tabela1[[#This Row],[4]]&lt;&gt;"",IF(ISNUMBER(FIND(",",Tabela1[[#This Row],[4]])),LEN(Tabela1[[#This Row],[4]])-LEN(SUBSTITUTE(Tabela1[[#This Row],[4]],",",""))+1,1),"")</f>
        <v/>
      </c>
      <c r="AD363" t="str">
        <f>IF(Tabela1[[#This Row],[5]]&lt;&gt;"",IF(ISNUMBER(FIND(",",Tabela1[[#This Row],[5]])),LEN(Tabela1[[#This Row],[5]])-LEN(SUBSTITUTE(Tabela1[[#This Row],[5]],",",""))+1,1),"")</f>
        <v/>
      </c>
      <c r="AE363" t="str">
        <f>IF(Tabela1[[#This Row],[6]]&lt;&gt;"",IF(ISNUMBER(FIND(",",Tabela1[[#This Row],[6]])),LEN(Tabela1[[#This Row],[6]])-LEN(SUBSTITUTE(Tabela1[[#This Row],[6]],",",""))+1,1),"")</f>
        <v/>
      </c>
      <c r="AF363" t="str">
        <f>IF(Tabela1[[#This Row],[7]]&lt;&gt;"",IF(ISNUMBER(FIND(",",Tabela1[[#This Row],[7]])),LEN(Tabela1[[#This Row],[7]])-LEN(SUBSTITUTE(Tabela1[[#This Row],[7]],",",""))+1,1),"")</f>
        <v/>
      </c>
      <c r="AG363" t="str">
        <f>IF(Tabela1[[#This Row],[8]]&lt;&gt;"",IF(ISNUMBER(FIND(",",Tabela1[[#This Row],[8]])),LEN(Tabela1[[#This Row],[8]])-LEN(SUBSTITUTE(Tabela1[[#This Row],[8]],",",""))+1,1),"")</f>
        <v/>
      </c>
      <c r="AH363" t="str">
        <f>IF(Tabela1[[#This Row],[9]]&lt;&gt;"",IF(ISNUMBER(FIND(",",Tabela1[[#This Row],[9]])),LEN(Tabela1[[#This Row],[9]])-LEN(SUBSTITUTE(Tabela1[[#This Row],[9]],",",""))+1,1),"")</f>
        <v/>
      </c>
      <c r="AI363" t="str">
        <f>IF(Tabela1[[#This Row],[10]]&lt;&gt;"",IF(ISNUMBER(FIND(",",Tabela1[[#This Row],[10]])),LEN(Tabela1[[#This Row],[10]])-LEN(SUBSTITUTE(Tabela1[[#This Row],[10]],",",""))+1,1),"")</f>
        <v/>
      </c>
      <c r="AJ363" t="str">
        <f>IF(Tabela1[[#This Row],[11]]&lt;&gt;"",IF(ISNUMBER(FIND(",",Tabela1[[#This Row],[11]])),LEN(Tabela1[[#This Row],[11]])-LEN(SUBSTITUTE(Tabela1[[#This Row],[11]],",",""))+1,1),"")</f>
        <v/>
      </c>
      <c r="AK363" t="str">
        <f>IF(Tabela1[[#This Row],[12]]&lt;&gt;"",IF(ISNUMBER(FIND(",",Tabela1[[#This Row],[12]])),LEN(Tabela1[[#This Row],[12]])-LEN(SUBSTITUTE(Tabela1[[#This Row],[12]],",",""))+1,1),"")</f>
        <v/>
      </c>
      <c r="AL363">
        <f>IF(Tabela1[[#This Row],[13]]&lt;&gt;"",IF(ISNUMBER(FIND(",",Tabela1[[#This Row],[13]])),LEN(Tabela1[[#This Row],[13]])-LEN(SUBSTITUTE(Tabela1[[#This Row],[13]],",",""))+1,1),"")</f>
        <v>1</v>
      </c>
      <c r="AM363" t="str">
        <f>IF(Tabela1[[#This Row],[14]]&lt;&gt;"",IF(ISNUMBER(FIND(",",Tabela1[[#This Row],[14]])),LEN(Tabela1[[#This Row],[14]])-LEN(SUBSTITUTE(Tabela1[[#This Row],[14]],",",""))+1,1),"")</f>
        <v/>
      </c>
      <c r="AN363" t="str">
        <f>IF(Tabela1[[#This Row],[15]]&lt;&gt;"",IF(ISNUMBER(FIND(",",Tabela1[[#This Row],[15]])),LEN(Tabela1[[#This Row],[15]])-LEN(SUBSTITUTE(Tabela1[[#This Row],[15]],",",""))+1,1),"")</f>
        <v/>
      </c>
      <c r="AO363" t="str">
        <f>IF(Tabela1[[#This Row],[16]]&lt;&gt;"",IF(ISNUMBER(FIND(",",Tabela1[[#This Row],[16]])),LEN(Tabela1[[#This Row],[16]])-LEN(SUBSTITUTE(Tabela1[[#This Row],[16]],",",""))+1,1),"")</f>
        <v/>
      </c>
      <c r="AP363" t="str">
        <f>IF(Tabela1[[#This Row],[17]]&lt;&gt;"",IF(ISNUMBER(FIND(",",Tabela1[[#This Row],[17]])),LEN(Tabela1[[#This Row],[17]])-LEN(SUBSTITUTE(Tabela1[[#This Row],[17]],",",""))+1,1),"")</f>
        <v/>
      </c>
      <c r="AQ363" t="str">
        <f>IF(Tabela1[[#This Row],[18]]&lt;&gt;"",IF(ISNUMBER(FIND(",",Tabela1[[#This Row],[18]])),LEN(Tabela1[[#This Row],[18]])-LEN(SUBSTITUTE(Tabela1[[#This Row],[18]],",",""))+1,1),"")</f>
        <v/>
      </c>
      <c r="AR363" s="13" t="str">
        <f>IF(Tabela1[[#This Row],[19_LENGTH]]&lt;&gt;"",IF(ISNUMBER(FIND(",",Tabela1[[#This Row],[19_LENGTH]])),LEN(Tabela1[[#This Row],[19_LENGTH]])-LEN(SUBSTITUTE(Tabela1[[#This Row],[19_LENGTH]],",",""))+1,1),"")</f>
        <v/>
      </c>
      <c r="AS363" s="21">
        <f>SUM(Tabela1[[#This Row],[1_]:[19_]])</f>
        <v>1</v>
      </c>
    </row>
    <row r="364" spans="1:45" x14ac:dyDescent="0.25">
      <c r="A364" s="27" t="s">
        <v>1323</v>
      </c>
      <c r="B364" s="19" t="s">
        <v>812</v>
      </c>
      <c r="C364" s="19">
        <v>214</v>
      </c>
      <c r="D364" s="19" t="s">
        <v>1314</v>
      </c>
      <c r="E364" s="20">
        <v>43511</v>
      </c>
      <c r="F364" s="19"/>
      <c r="G364" s="19" t="s">
        <v>148</v>
      </c>
      <c r="H364" s="19"/>
      <c r="I364" s="19" t="s">
        <v>149</v>
      </c>
      <c r="J364" s="19"/>
      <c r="K364" s="19"/>
      <c r="L364" s="19"/>
      <c r="M364" s="19"/>
      <c r="N364" s="19"/>
      <c r="O364" s="19"/>
      <c r="P364" s="19"/>
      <c r="Q364" s="19"/>
      <c r="R364" s="19"/>
      <c r="S364" s="19"/>
      <c r="T364" s="19"/>
      <c r="U364" s="19"/>
      <c r="V364" s="19"/>
      <c r="W364" s="19"/>
      <c r="X364" s="19"/>
      <c r="Y364" s="19"/>
      <c r="Z364" t="str">
        <f>IF(Tabela1[[#This Row],[1]]&lt;&gt;"",IF(ISNUMBER(FIND(",",Tabela1[[#This Row],[1]])),LEN(Tabela1[[#This Row],[1]])-LEN(SUBSTITUTE(Tabela1[[#This Row],[1]],",",""))+1,1),"")</f>
        <v/>
      </c>
      <c r="AA364">
        <f>IF(Tabela1[[#This Row],[2]]&lt;&gt;"",IF(ISNUMBER(FIND(",",Tabela1[[#This Row],[2]])),LEN(Tabela1[[#This Row],[2]])-LEN(SUBSTITUTE(Tabela1[[#This Row],[2]],",",""))+1,1),"")</f>
        <v>2</v>
      </c>
      <c r="AB364" t="str">
        <f>IF(Tabela1[[#This Row],[3]]&lt;&gt;"",IF(ISNUMBER(FIND(",",Tabela1[[#This Row],[3]])),LEN(Tabela1[[#This Row],[3]])-LEN(SUBSTITUTE(Tabela1[[#This Row],[3]],",",""))+1,1),"")</f>
        <v/>
      </c>
      <c r="AC364">
        <f>IF(Tabela1[[#This Row],[4]]&lt;&gt;"",IF(ISNUMBER(FIND(",",Tabela1[[#This Row],[4]])),LEN(Tabela1[[#This Row],[4]])-LEN(SUBSTITUTE(Tabela1[[#This Row],[4]],",",""))+1,1),"")</f>
        <v>3</v>
      </c>
      <c r="AD364" t="str">
        <f>IF(Tabela1[[#This Row],[5]]&lt;&gt;"",IF(ISNUMBER(FIND(",",Tabela1[[#This Row],[5]])),LEN(Tabela1[[#This Row],[5]])-LEN(SUBSTITUTE(Tabela1[[#This Row],[5]],",",""))+1,1),"")</f>
        <v/>
      </c>
      <c r="AE364" t="str">
        <f>IF(Tabela1[[#This Row],[6]]&lt;&gt;"",IF(ISNUMBER(FIND(",",Tabela1[[#This Row],[6]])),LEN(Tabela1[[#This Row],[6]])-LEN(SUBSTITUTE(Tabela1[[#This Row],[6]],",",""))+1,1),"")</f>
        <v/>
      </c>
      <c r="AF364" t="str">
        <f>IF(Tabela1[[#This Row],[7]]&lt;&gt;"",IF(ISNUMBER(FIND(",",Tabela1[[#This Row],[7]])),LEN(Tabela1[[#This Row],[7]])-LEN(SUBSTITUTE(Tabela1[[#This Row],[7]],",",""))+1,1),"")</f>
        <v/>
      </c>
      <c r="AG364" t="str">
        <f>IF(Tabela1[[#This Row],[8]]&lt;&gt;"",IF(ISNUMBER(FIND(",",Tabela1[[#This Row],[8]])),LEN(Tabela1[[#This Row],[8]])-LEN(SUBSTITUTE(Tabela1[[#This Row],[8]],",",""))+1,1),"")</f>
        <v/>
      </c>
      <c r="AH364" t="str">
        <f>IF(Tabela1[[#This Row],[9]]&lt;&gt;"",IF(ISNUMBER(FIND(",",Tabela1[[#This Row],[9]])),LEN(Tabela1[[#This Row],[9]])-LEN(SUBSTITUTE(Tabela1[[#This Row],[9]],",",""))+1,1),"")</f>
        <v/>
      </c>
      <c r="AI364" t="str">
        <f>IF(Tabela1[[#This Row],[10]]&lt;&gt;"",IF(ISNUMBER(FIND(",",Tabela1[[#This Row],[10]])),LEN(Tabela1[[#This Row],[10]])-LEN(SUBSTITUTE(Tabela1[[#This Row],[10]],",",""))+1,1),"")</f>
        <v/>
      </c>
      <c r="AJ364" t="str">
        <f>IF(Tabela1[[#This Row],[11]]&lt;&gt;"",IF(ISNUMBER(FIND(",",Tabela1[[#This Row],[11]])),LEN(Tabela1[[#This Row],[11]])-LEN(SUBSTITUTE(Tabela1[[#This Row],[11]],",",""))+1,1),"")</f>
        <v/>
      </c>
      <c r="AK364" t="str">
        <f>IF(Tabela1[[#This Row],[12]]&lt;&gt;"",IF(ISNUMBER(FIND(",",Tabela1[[#This Row],[12]])),LEN(Tabela1[[#This Row],[12]])-LEN(SUBSTITUTE(Tabela1[[#This Row],[12]],",",""))+1,1),"")</f>
        <v/>
      </c>
      <c r="AL364" t="str">
        <f>IF(Tabela1[[#This Row],[13]]&lt;&gt;"",IF(ISNUMBER(FIND(",",Tabela1[[#This Row],[13]])),LEN(Tabela1[[#This Row],[13]])-LEN(SUBSTITUTE(Tabela1[[#This Row],[13]],",",""))+1,1),"")</f>
        <v/>
      </c>
      <c r="AM364" t="str">
        <f>IF(Tabela1[[#This Row],[14]]&lt;&gt;"",IF(ISNUMBER(FIND(",",Tabela1[[#This Row],[14]])),LEN(Tabela1[[#This Row],[14]])-LEN(SUBSTITUTE(Tabela1[[#This Row],[14]],",",""))+1,1),"")</f>
        <v/>
      </c>
      <c r="AN364" t="str">
        <f>IF(Tabela1[[#This Row],[15]]&lt;&gt;"",IF(ISNUMBER(FIND(",",Tabela1[[#This Row],[15]])),LEN(Tabela1[[#This Row],[15]])-LEN(SUBSTITUTE(Tabela1[[#This Row],[15]],",",""))+1,1),"")</f>
        <v/>
      </c>
      <c r="AO364" t="str">
        <f>IF(Tabela1[[#This Row],[16]]&lt;&gt;"",IF(ISNUMBER(FIND(",",Tabela1[[#This Row],[16]])),LEN(Tabela1[[#This Row],[16]])-LEN(SUBSTITUTE(Tabela1[[#This Row],[16]],",",""))+1,1),"")</f>
        <v/>
      </c>
      <c r="AP364" t="str">
        <f>IF(Tabela1[[#This Row],[17]]&lt;&gt;"",IF(ISNUMBER(FIND(",",Tabela1[[#This Row],[17]])),LEN(Tabela1[[#This Row],[17]])-LEN(SUBSTITUTE(Tabela1[[#This Row],[17]],",",""))+1,1),"")</f>
        <v/>
      </c>
      <c r="AQ364" t="str">
        <f>IF(Tabela1[[#This Row],[18]]&lt;&gt;"",IF(ISNUMBER(FIND(",",Tabela1[[#This Row],[18]])),LEN(Tabela1[[#This Row],[18]])-LEN(SUBSTITUTE(Tabela1[[#This Row],[18]],",",""))+1,1),"")</f>
        <v/>
      </c>
      <c r="AR364" s="13" t="str">
        <f>IF(Tabela1[[#This Row],[19_LENGTH]]&lt;&gt;"",IF(ISNUMBER(FIND(",",Tabela1[[#This Row],[19_LENGTH]])),LEN(Tabela1[[#This Row],[19_LENGTH]])-LEN(SUBSTITUTE(Tabela1[[#This Row],[19_LENGTH]],",",""))+1,1),"")</f>
        <v/>
      </c>
      <c r="AS364" s="21">
        <f>SUM(Tabela1[[#This Row],[1_]:[19_]])</f>
        <v>5</v>
      </c>
    </row>
    <row r="365" spans="1:45" x14ac:dyDescent="0.25">
      <c r="A365" s="27" t="s">
        <v>1323</v>
      </c>
      <c r="B365" s="19" t="s">
        <v>813</v>
      </c>
      <c r="C365" s="19">
        <v>202</v>
      </c>
      <c r="D365" s="19" t="s">
        <v>1314</v>
      </c>
      <c r="E365" s="20">
        <v>43511</v>
      </c>
      <c r="F365" s="19"/>
      <c r="G365" s="19"/>
      <c r="H365" s="19"/>
      <c r="I365" s="19">
        <v>32</v>
      </c>
      <c r="J365" s="19"/>
      <c r="K365" s="19"/>
      <c r="L365" s="19"/>
      <c r="M365" s="19"/>
      <c r="N365" s="19"/>
      <c r="O365" s="19"/>
      <c r="P365" s="19"/>
      <c r="Q365" s="19"/>
      <c r="R365" s="19"/>
      <c r="S365" s="19"/>
      <c r="T365" s="19"/>
      <c r="U365" s="19"/>
      <c r="V365" s="19"/>
      <c r="W365" s="19"/>
      <c r="X365" s="19"/>
      <c r="Y365" s="19"/>
      <c r="Z365" t="str">
        <f>IF(Tabela1[[#This Row],[1]]&lt;&gt;"",IF(ISNUMBER(FIND(",",Tabela1[[#This Row],[1]])),LEN(Tabela1[[#This Row],[1]])-LEN(SUBSTITUTE(Tabela1[[#This Row],[1]],",",""))+1,1),"")</f>
        <v/>
      </c>
      <c r="AA365" t="str">
        <f>IF(Tabela1[[#This Row],[2]]&lt;&gt;"",IF(ISNUMBER(FIND(",",Tabela1[[#This Row],[2]])),LEN(Tabela1[[#This Row],[2]])-LEN(SUBSTITUTE(Tabela1[[#This Row],[2]],",",""))+1,1),"")</f>
        <v/>
      </c>
      <c r="AB365" t="str">
        <f>IF(Tabela1[[#This Row],[3]]&lt;&gt;"",IF(ISNUMBER(FIND(",",Tabela1[[#This Row],[3]])),LEN(Tabela1[[#This Row],[3]])-LEN(SUBSTITUTE(Tabela1[[#This Row],[3]],",",""))+1,1),"")</f>
        <v/>
      </c>
      <c r="AC365">
        <f>IF(Tabela1[[#This Row],[4]]&lt;&gt;"",IF(ISNUMBER(FIND(",",Tabela1[[#This Row],[4]])),LEN(Tabela1[[#This Row],[4]])-LEN(SUBSTITUTE(Tabela1[[#This Row],[4]],",",""))+1,1),"")</f>
        <v>1</v>
      </c>
      <c r="AD365" t="str">
        <f>IF(Tabela1[[#This Row],[5]]&lt;&gt;"",IF(ISNUMBER(FIND(",",Tabela1[[#This Row],[5]])),LEN(Tabela1[[#This Row],[5]])-LEN(SUBSTITUTE(Tabela1[[#This Row],[5]],",",""))+1,1),"")</f>
        <v/>
      </c>
      <c r="AE365" t="str">
        <f>IF(Tabela1[[#This Row],[6]]&lt;&gt;"",IF(ISNUMBER(FIND(",",Tabela1[[#This Row],[6]])),LEN(Tabela1[[#This Row],[6]])-LEN(SUBSTITUTE(Tabela1[[#This Row],[6]],",",""))+1,1),"")</f>
        <v/>
      </c>
      <c r="AF365" t="str">
        <f>IF(Tabela1[[#This Row],[7]]&lt;&gt;"",IF(ISNUMBER(FIND(",",Tabela1[[#This Row],[7]])),LEN(Tabela1[[#This Row],[7]])-LEN(SUBSTITUTE(Tabela1[[#This Row],[7]],",",""))+1,1),"")</f>
        <v/>
      </c>
      <c r="AG365" t="str">
        <f>IF(Tabela1[[#This Row],[8]]&lt;&gt;"",IF(ISNUMBER(FIND(",",Tabela1[[#This Row],[8]])),LEN(Tabela1[[#This Row],[8]])-LEN(SUBSTITUTE(Tabela1[[#This Row],[8]],",",""))+1,1),"")</f>
        <v/>
      </c>
      <c r="AH365" t="str">
        <f>IF(Tabela1[[#This Row],[9]]&lt;&gt;"",IF(ISNUMBER(FIND(",",Tabela1[[#This Row],[9]])),LEN(Tabela1[[#This Row],[9]])-LEN(SUBSTITUTE(Tabela1[[#This Row],[9]],",",""))+1,1),"")</f>
        <v/>
      </c>
      <c r="AI365" t="str">
        <f>IF(Tabela1[[#This Row],[10]]&lt;&gt;"",IF(ISNUMBER(FIND(",",Tabela1[[#This Row],[10]])),LEN(Tabela1[[#This Row],[10]])-LEN(SUBSTITUTE(Tabela1[[#This Row],[10]],",",""))+1,1),"")</f>
        <v/>
      </c>
      <c r="AJ365" t="str">
        <f>IF(Tabela1[[#This Row],[11]]&lt;&gt;"",IF(ISNUMBER(FIND(",",Tabela1[[#This Row],[11]])),LEN(Tabela1[[#This Row],[11]])-LEN(SUBSTITUTE(Tabela1[[#This Row],[11]],",",""))+1,1),"")</f>
        <v/>
      </c>
      <c r="AK365" t="str">
        <f>IF(Tabela1[[#This Row],[12]]&lt;&gt;"",IF(ISNUMBER(FIND(",",Tabela1[[#This Row],[12]])),LEN(Tabela1[[#This Row],[12]])-LEN(SUBSTITUTE(Tabela1[[#This Row],[12]],",",""))+1,1),"")</f>
        <v/>
      </c>
      <c r="AL365" t="str">
        <f>IF(Tabela1[[#This Row],[13]]&lt;&gt;"",IF(ISNUMBER(FIND(",",Tabela1[[#This Row],[13]])),LEN(Tabela1[[#This Row],[13]])-LEN(SUBSTITUTE(Tabela1[[#This Row],[13]],",",""))+1,1),"")</f>
        <v/>
      </c>
      <c r="AM365" t="str">
        <f>IF(Tabela1[[#This Row],[14]]&lt;&gt;"",IF(ISNUMBER(FIND(",",Tabela1[[#This Row],[14]])),LEN(Tabela1[[#This Row],[14]])-LEN(SUBSTITUTE(Tabela1[[#This Row],[14]],",",""))+1,1),"")</f>
        <v/>
      </c>
      <c r="AN365" t="str">
        <f>IF(Tabela1[[#This Row],[15]]&lt;&gt;"",IF(ISNUMBER(FIND(",",Tabela1[[#This Row],[15]])),LEN(Tabela1[[#This Row],[15]])-LEN(SUBSTITUTE(Tabela1[[#This Row],[15]],",",""))+1,1),"")</f>
        <v/>
      </c>
      <c r="AO365" t="str">
        <f>IF(Tabela1[[#This Row],[16]]&lt;&gt;"",IF(ISNUMBER(FIND(",",Tabela1[[#This Row],[16]])),LEN(Tabela1[[#This Row],[16]])-LEN(SUBSTITUTE(Tabela1[[#This Row],[16]],",",""))+1,1),"")</f>
        <v/>
      </c>
      <c r="AP365" t="str">
        <f>IF(Tabela1[[#This Row],[17]]&lt;&gt;"",IF(ISNUMBER(FIND(",",Tabela1[[#This Row],[17]])),LEN(Tabela1[[#This Row],[17]])-LEN(SUBSTITUTE(Tabela1[[#This Row],[17]],",",""))+1,1),"")</f>
        <v/>
      </c>
      <c r="AQ365" t="str">
        <f>IF(Tabela1[[#This Row],[18]]&lt;&gt;"",IF(ISNUMBER(FIND(",",Tabela1[[#This Row],[18]])),LEN(Tabela1[[#This Row],[18]])-LEN(SUBSTITUTE(Tabela1[[#This Row],[18]],",",""))+1,1),"")</f>
        <v/>
      </c>
      <c r="AR365" s="13" t="str">
        <f>IF(Tabela1[[#This Row],[19_LENGTH]]&lt;&gt;"",IF(ISNUMBER(FIND(",",Tabela1[[#This Row],[19_LENGTH]])),LEN(Tabela1[[#This Row],[19_LENGTH]])-LEN(SUBSTITUTE(Tabela1[[#This Row],[19_LENGTH]],",",""))+1,1),"")</f>
        <v/>
      </c>
      <c r="AS365" s="21">
        <f>SUM(Tabela1[[#This Row],[1_]:[19_]])</f>
        <v>1</v>
      </c>
    </row>
    <row r="366" spans="1:45" x14ac:dyDescent="0.25">
      <c r="A366" s="27" t="s">
        <v>1323</v>
      </c>
      <c r="B366" s="19" t="s">
        <v>488</v>
      </c>
      <c r="C366" s="19">
        <v>206</v>
      </c>
      <c r="D366" s="19" t="s">
        <v>1298</v>
      </c>
      <c r="E366" s="20">
        <v>43516</v>
      </c>
      <c r="F366" s="19"/>
      <c r="G366" s="19">
        <v>140</v>
      </c>
      <c r="H366" s="19"/>
      <c r="I366" s="19"/>
      <c r="J366" s="19"/>
      <c r="K366" s="19"/>
      <c r="L366" s="19"/>
      <c r="M366" s="19"/>
      <c r="N366" s="19"/>
      <c r="O366" s="19"/>
      <c r="P366" s="19"/>
      <c r="Q366" s="19"/>
      <c r="R366" s="19"/>
      <c r="S366" s="19"/>
      <c r="T366" s="19"/>
      <c r="U366" s="19"/>
      <c r="V366" s="19"/>
      <c r="W366" s="19"/>
      <c r="X366" s="19"/>
      <c r="Y366" s="19"/>
      <c r="Z366" t="str">
        <f>IF(Tabela1[[#This Row],[1]]&lt;&gt;"",IF(ISNUMBER(FIND(",",Tabela1[[#This Row],[1]])),LEN(Tabela1[[#This Row],[1]])-LEN(SUBSTITUTE(Tabela1[[#This Row],[1]],",",""))+1,1),"")</f>
        <v/>
      </c>
      <c r="AA366">
        <f>IF(Tabela1[[#This Row],[2]]&lt;&gt;"",IF(ISNUMBER(FIND(",",Tabela1[[#This Row],[2]])),LEN(Tabela1[[#This Row],[2]])-LEN(SUBSTITUTE(Tabela1[[#This Row],[2]],",",""))+1,1),"")</f>
        <v>1</v>
      </c>
      <c r="AB366" t="str">
        <f>IF(Tabela1[[#This Row],[3]]&lt;&gt;"",IF(ISNUMBER(FIND(",",Tabela1[[#This Row],[3]])),LEN(Tabela1[[#This Row],[3]])-LEN(SUBSTITUTE(Tabela1[[#This Row],[3]],",",""))+1,1),"")</f>
        <v/>
      </c>
      <c r="AC366" t="str">
        <f>IF(Tabela1[[#This Row],[4]]&lt;&gt;"",IF(ISNUMBER(FIND(",",Tabela1[[#This Row],[4]])),LEN(Tabela1[[#This Row],[4]])-LEN(SUBSTITUTE(Tabela1[[#This Row],[4]],",",""))+1,1),"")</f>
        <v/>
      </c>
      <c r="AD366" t="str">
        <f>IF(Tabela1[[#This Row],[5]]&lt;&gt;"",IF(ISNUMBER(FIND(",",Tabela1[[#This Row],[5]])),LEN(Tabela1[[#This Row],[5]])-LEN(SUBSTITUTE(Tabela1[[#This Row],[5]],",",""))+1,1),"")</f>
        <v/>
      </c>
      <c r="AE366" t="str">
        <f>IF(Tabela1[[#This Row],[6]]&lt;&gt;"",IF(ISNUMBER(FIND(",",Tabela1[[#This Row],[6]])),LEN(Tabela1[[#This Row],[6]])-LEN(SUBSTITUTE(Tabela1[[#This Row],[6]],",",""))+1,1),"")</f>
        <v/>
      </c>
      <c r="AF366" t="str">
        <f>IF(Tabela1[[#This Row],[7]]&lt;&gt;"",IF(ISNUMBER(FIND(",",Tabela1[[#This Row],[7]])),LEN(Tabela1[[#This Row],[7]])-LEN(SUBSTITUTE(Tabela1[[#This Row],[7]],",",""))+1,1),"")</f>
        <v/>
      </c>
      <c r="AG366" t="str">
        <f>IF(Tabela1[[#This Row],[8]]&lt;&gt;"",IF(ISNUMBER(FIND(",",Tabela1[[#This Row],[8]])),LEN(Tabela1[[#This Row],[8]])-LEN(SUBSTITUTE(Tabela1[[#This Row],[8]],",",""))+1,1),"")</f>
        <v/>
      </c>
      <c r="AH366" t="str">
        <f>IF(Tabela1[[#This Row],[9]]&lt;&gt;"",IF(ISNUMBER(FIND(",",Tabela1[[#This Row],[9]])),LEN(Tabela1[[#This Row],[9]])-LEN(SUBSTITUTE(Tabela1[[#This Row],[9]],",",""))+1,1),"")</f>
        <v/>
      </c>
      <c r="AI366" t="str">
        <f>IF(Tabela1[[#This Row],[10]]&lt;&gt;"",IF(ISNUMBER(FIND(",",Tabela1[[#This Row],[10]])),LEN(Tabela1[[#This Row],[10]])-LEN(SUBSTITUTE(Tabela1[[#This Row],[10]],",",""))+1,1),"")</f>
        <v/>
      </c>
      <c r="AJ366" t="str">
        <f>IF(Tabela1[[#This Row],[11]]&lt;&gt;"",IF(ISNUMBER(FIND(",",Tabela1[[#This Row],[11]])),LEN(Tabela1[[#This Row],[11]])-LEN(SUBSTITUTE(Tabela1[[#This Row],[11]],",",""))+1,1),"")</f>
        <v/>
      </c>
      <c r="AK366" t="str">
        <f>IF(Tabela1[[#This Row],[12]]&lt;&gt;"",IF(ISNUMBER(FIND(",",Tabela1[[#This Row],[12]])),LEN(Tabela1[[#This Row],[12]])-LEN(SUBSTITUTE(Tabela1[[#This Row],[12]],",",""))+1,1),"")</f>
        <v/>
      </c>
      <c r="AL366" t="str">
        <f>IF(Tabela1[[#This Row],[13]]&lt;&gt;"",IF(ISNUMBER(FIND(",",Tabela1[[#This Row],[13]])),LEN(Tabela1[[#This Row],[13]])-LEN(SUBSTITUTE(Tabela1[[#This Row],[13]],",",""))+1,1),"")</f>
        <v/>
      </c>
      <c r="AM366" t="str">
        <f>IF(Tabela1[[#This Row],[14]]&lt;&gt;"",IF(ISNUMBER(FIND(",",Tabela1[[#This Row],[14]])),LEN(Tabela1[[#This Row],[14]])-LEN(SUBSTITUTE(Tabela1[[#This Row],[14]],",",""))+1,1),"")</f>
        <v/>
      </c>
      <c r="AN366" t="str">
        <f>IF(Tabela1[[#This Row],[15]]&lt;&gt;"",IF(ISNUMBER(FIND(",",Tabela1[[#This Row],[15]])),LEN(Tabela1[[#This Row],[15]])-LEN(SUBSTITUTE(Tabela1[[#This Row],[15]],",",""))+1,1),"")</f>
        <v/>
      </c>
      <c r="AO366" t="str">
        <f>IF(Tabela1[[#This Row],[16]]&lt;&gt;"",IF(ISNUMBER(FIND(",",Tabela1[[#This Row],[16]])),LEN(Tabela1[[#This Row],[16]])-LEN(SUBSTITUTE(Tabela1[[#This Row],[16]],",",""))+1,1),"")</f>
        <v/>
      </c>
      <c r="AP366" t="str">
        <f>IF(Tabela1[[#This Row],[17]]&lt;&gt;"",IF(ISNUMBER(FIND(",",Tabela1[[#This Row],[17]])),LEN(Tabela1[[#This Row],[17]])-LEN(SUBSTITUTE(Tabela1[[#This Row],[17]],",",""))+1,1),"")</f>
        <v/>
      </c>
      <c r="AQ366" t="str">
        <f>IF(Tabela1[[#This Row],[18]]&lt;&gt;"",IF(ISNUMBER(FIND(",",Tabela1[[#This Row],[18]])),LEN(Tabela1[[#This Row],[18]])-LEN(SUBSTITUTE(Tabela1[[#This Row],[18]],",",""))+1,1),"")</f>
        <v/>
      </c>
      <c r="AR366" s="13" t="str">
        <f>IF(Tabela1[[#This Row],[19_LENGTH]]&lt;&gt;"",IF(ISNUMBER(FIND(",",Tabela1[[#This Row],[19_LENGTH]])),LEN(Tabela1[[#This Row],[19_LENGTH]])-LEN(SUBSTITUTE(Tabela1[[#This Row],[19_LENGTH]],",",""))+1,1),"")</f>
        <v/>
      </c>
      <c r="AS366" s="21">
        <f>SUM(Tabela1[[#This Row],[1_]:[19_]])</f>
        <v>1</v>
      </c>
    </row>
    <row r="367" spans="1:45" x14ac:dyDescent="0.25">
      <c r="A367" s="27" t="s">
        <v>1323</v>
      </c>
      <c r="B367" s="19" t="s">
        <v>489</v>
      </c>
      <c r="C367" s="19">
        <v>202</v>
      </c>
      <c r="D367" s="19" t="s">
        <v>1315</v>
      </c>
      <c r="E367" s="20">
        <v>43516</v>
      </c>
      <c r="F367" s="19"/>
      <c r="G367" s="19"/>
      <c r="H367" s="19"/>
      <c r="I367" s="19">
        <v>115</v>
      </c>
      <c r="J367" s="19"/>
      <c r="K367" s="19"/>
      <c r="L367" s="19"/>
      <c r="M367" s="19"/>
      <c r="N367" s="19"/>
      <c r="O367" s="19"/>
      <c r="P367" s="19"/>
      <c r="Q367" s="19"/>
      <c r="R367" s="19"/>
      <c r="S367" s="19"/>
      <c r="T367" s="19"/>
      <c r="U367" s="19"/>
      <c r="V367" s="19"/>
      <c r="W367" s="19"/>
      <c r="X367" s="19"/>
      <c r="Y367" s="19"/>
      <c r="Z367" t="str">
        <f>IF(Tabela1[[#This Row],[1]]&lt;&gt;"",IF(ISNUMBER(FIND(",",Tabela1[[#This Row],[1]])),LEN(Tabela1[[#This Row],[1]])-LEN(SUBSTITUTE(Tabela1[[#This Row],[1]],",",""))+1,1),"")</f>
        <v/>
      </c>
      <c r="AA367" t="str">
        <f>IF(Tabela1[[#This Row],[2]]&lt;&gt;"",IF(ISNUMBER(FIND(",",Tabela1[[#This Row],[2]])),LEN(Tabela1[[#This Row],[2]])-LEN(SUBSTITUTE(Tabela1[[#This Row],[2]],",",""))+1,1),"")</f>
        <v/>
      </c>
      <c r="AB367" t="str">
        <f>IF(Tabela1[[#This Row],[3]]&lt;&gt;"",IF(ISNUMBER(FIND(",",Tabela1[[#This Row],[3]])),LEN(Tabela1[[#This Row],[3]])-LEN(SUBSTITUTE(Tabela1[[#This Row],[3]],",",""))+1,1),"")</f>
        <v/>
      </c>
      <c r="AC367">
        <f>IF(Tabela1[[#This Row],[4]]&lt;&gt;"",IF(ISNUMBER(FIND(",",Tabela1[[#This Row],[4]])),LEN(Tabela1[[#This Row],[4]])-LEN(SUBSTITUTE(Tabela1[[#This Row],[4]],",",""))+1,1),"")</f>
        <v>1</v>
      </c>
      <c r="AD367" t="str">
        <f>IF(Tabela1[[#This Row],[5]]&lt;&gt;"",IF(ISNUMBER(FIND(",",Tabela1[[#This Row],[5]])),LEN(Tabela1[[#This Row],[5]])-LEN(SUBSTITUTE(Tabela1[[#This Row],[5]],",",""))+1,1),"")</f>
        <v/>
      </c>
      <c r="AE367" t="str">
        <f>IF(Tabela1[[#This Row],[6]]&lt;&gt;"",IF(ISNUMBER(FIND(",",Tabela1[[#This Row],[6]])),LEN(Tabela1[[#This Row],[6]])-LEN(SUBSTITUTE(Tabela1[[#This Row],[6]],",",""))+1,1),"")</f>
        <v/>
      </c>
      <c r="AF367" t="str">
        <f>IF(Tabela1[[#This Row],[7]]&lt;&gt;"",IF(ISNUMBER(FIND(",",Tabela1[[#This Row],[7]])),LEN(Tabela1[[#This Row],[7]])-LEN(SUBSTITUTE(Tabela1[[#This Row],[7]],",",""))+1,1),"")</f>
        <v/>
      </c>
      <c r="AG367" t="str">
        <f>IF(Tabela1[[#This Row],[8]]&lt;&gt;"",IF(ISNUMBER(FIND(",",Tabela1[[#This Row],[8]])),LEN(Tabela1[[#This Row],[8]])-LEN(SUBSTITUTE(Tabela1[[#This Row],[8]],",",""))+1,1),"")</f>
        <v/>
      </c>
      <c r="AH367" t="str">
        <f>IF(Tabela1[[#This Row],[9]]&lt;&gt;"",IF(ISNUMBER(FIND(",",Tabela1[[#This Row],[9]])),LEN(Tabela1[[#This Row],[9]])-LEN(SUBSTITUTE(Tabela1[[#This Row],[9]],",",""))+1,1),"")</f>
        <v/>
      </c>
      <c r="AI367" t="str">
        <f>IF(Tabela1[[#This Row],[10]]&lt;&gt;"",IF(ISNUMBER(FIND(",",Tabela1[[#This Row],[10]])),LEN(Tabela1[[#This Row],[10]])-LEN(SUBSTITUTE(Tabela1[[#This Row],[10]],",",""))+1,1),"")</f>
        <v/>
      </c>
      <c r="AJ367" t="str">
        <f>IF(Tabela1[[#This Row],[11]]&lt;&gt;"",IF(ISNUMBER(FIND(",",Tabela1[[#This Row],[11]])),LEN(Tabela1[[#This Row],[11]])-LEN(SUBSTITUTE(Tabela1[[#This Row],[11]],",",""))+1,1),"")</f>
        <v/>
      </c>
      <c r="AK367" t="str">
        <f>IF(Tabela1[[#This Row],[12]]&lt;&gt;"",IF(ISNUMBER(FIND(",",Tabela1[[#This Row],[12]])),LEN(Tabela1[[#This Row],[12]])-LEN(SUBSTITUTE(Tabela1[[#This Row],[12]],",",""))+1,1),"")</f>
        <v/>
      </c>
      <c r="AL367" t="str">
        <f>IF(Tabela1[[#This Row],[13]]&lt;&gt;"",IF(ISNUMBER(FIND(",",Tabela1[[#This Row],[13]])),LEN(Tabela1[[#This Row],[13]])-LEN(SUBSTITUTE(Tabela1[[#This Row],[13]],",",""))+1,1),"")</f>
        <v/>
      </c>
      <c r="AM367" t="str">
        <f>IF(Tabela1[[#This Row],[14]]&lt;&gt;"",IF(ISNUMBER(FIND(",",Tabela1[[#This Row],[14]])),LEN(Tabela1[[#This Row],[14]])-LEN(SUBSTITUTE(Tabela1[[#This Row],[14]],",",""))+1,1),"")</f>
        <v/>
      </c>
      <c r="AN367" t="str">
        <f>IF(Tabela1[[#This Row],[15]]&lt;&gt;"",IF(ISNUMBER(FIND(",",Tabela1[[#This Row],[15]])),LEN(Tabela1[[#This Row],[15]])-LEN(SUBSTITUTE(Tabela1[[#This Row],[15]],",",""))+1,1),"")</f>
        <v/>
      </c>
      <c r="AO367" t="str">
        <f>IF(Tabela1[[#This Row],[16]]&lt;&gt;"",IF(ISNUMBER(FIND(",",Tabela1[[#This Row],[16]])),LEN(Tabela1[[#This Row],[16]])-LEN(SUBSTITUTE(Tabela1[[#This Row],[16]],",",""))+1,1),"")</f>
        <v/>
      </c>
      <c r="AP367" t="str">
        <f>IF(Tabela1[[#This Row],[17]]&lt;&gt;"",IF(ISNUMBER(FIND(",",Tabela1[[#This Row],[17]])),LEN(Tabela1[[#This Row],[17]])-LEN(SUBSTITUTE(Tabela1[[#This Row],[17]],",",""))+1,1),"")</f>
        <v/>
      </c>
      <c r="AQ367" t="str">
        <f>IF(Tabela1[[#This Row],[18]]&lt;&gt;"",IF(ISNUMBER(FIND(",",Tabela1[[#This Row],[18]])),LEN(Tabela1[[#This Row],[18]])-LEN(SUBSTITUTE(Tabela1[[#This Row],[18]],",",""))+1,1),"")</f>
        <v/>
      </c>
      <c r="AR367" s="13" t="str">
        <f>IF(Tabela1[[#This Row],[19_LENGTH]]&lt;&gt;"",IF(ISNUMBER(FIND(",",Tabela1[[#This Row],[19_LENGTH]])),LEN(Tabela1[[#This Row],[19_LENGTH]])-LEN(SUBSTITUTE(Tabela1[[#This Row],[19_LENGTH]],",",""))+1,1),"")</f>
        <v/>
      </c>
      <c r="AS367" s="21">
        <f>SUM(Tabela1[[#This Row],[1_]:[19_]])</f>
        <v>1</v>
      </c>
    </row>
    <row r="368" spans="1:45" x14ac:dyDescent="0.25">
      <c r="A368" s="27" t="s">
        <v>1323</v>
      </c>
      <c r="B368" s="19" t="s">
        <v>490</v>
      </c>
      <c r="C368" s="19">
        <v>202</v>
      </c>
      <c r="D368" s="19" t="s">
        <v>1315</v>
      </c>
      <c r="E368" s="20">
        <v>43516</v>
      </c>
      <c r="F368" s="19"/>
      <c r="G368" s="19"/>
      <c r="H368" s="19"/>
      <c r="I368" s="19">
        <v>184</v>
      </c>
      <c r="J368" s="19"/>
      <c r="K368" s="19"/>
      <c r="L368" s="19"/>
      <c r="M368" s="19"/>
      <c r="N368" s="19"/>
      <c r="O368" s="19"/>
      <c r="P368" s="19"/>
      <c r="Q368" s="19"/>
      <c r="R368" s="19"/>
      <c r="S368" s="19"/>
      <c r="T368" s="19"/>
      <c r="U368" s="19"/>
      <c r="V368" s="19"/>
      <c r="W368" s="19"/>
      <c r="X368" s="19"/>
      <c r="Y368" s="19"/>
      <c r="Z368" t="str">
        <f>IF(Tabela1[[#This Row],[1]]&lt;&gt;"",IF(ISNUMBER(FIND(",",Tabela1[[#This Row],[1]])),LEN(Tabela1[[#This Row],[1]])-LEN(SUBSTITUTE(Tabela1[[#This Row],[1]],",",""))+1,1),"")</f>
        <v/>
      </c>
      <c r="AA368" t="str">
        <f>IF(Tabela1[[#This Row],[2]]&lt;&gt;"",IF(ISNUMBER(FIND(",",Tabela1[[#This Row],[2]])),LEN(Tabela1[[#This Row],[2]])-LEN(SUBSTITUTE(Tabela1[[#This Row],[2]],",",""))+1,1),"")</f>
        <v/>
      </c>
      <c r="AB368" t="str">
        <f>IF(Tabela1[[#This Row],[3]]&lt;&gt;"",IF(ISNUMBER(FIND(",",Tabela1[[#This Row],[3]])),LEN(Tabela1[[#This Row],[3]])-LEN(SUBSTITUTE(Tabela1[[#This Row],[3]],",",""))+1,1),"")</f>
        <v/>
      </c>
      <c r="AC368">
        <f>IF(Tabela1[[#This Row],[4]]&lt;&gt;"",IF(ISNUMBER(FIND(",",Tabela1[[#This Row],[4]])),LEN(Tabela1[[#This Row],[4]])-LEN(SUBSTITUTE(Tabela1[[#This Row],[4]],",",""))+1,1),"")</f>
        <v>1</v>
      </c>
      <c r="AD368" t="str">
        <f>IF(Tabela1[[#This Row],[5]]&lt;&gt;"",IF(ISNUMBER(FIND(",",Tabela1[[#This Row],[5]])),LEN(Tabela1[[#This Row],[5]])-LEN(SUBSTITUTE(Tabela1[[#This Row],[5]],",",""))+1,1),"")</f>
        <v/>
      </c>
      <c r="AE368" t="str">
        <f>IF(Tabela1[[#This Row],[6]]&lt;&gt;"",IF(ISNUMBER(FIND(",",Tabela1[[#This Row],[6]])),LEN(Tabela1[[#This Row],[6]])-LEN(SUBSTITUTE(Tabela1[[#This Row],[6]],",",""))+1,1),"")</f>
        <v/>
      </c>
      <c r="AF368" t="str">
        <f>IF(Tabela1[[#This Row],[7]]&lt;&gt;"",IF(ISNUMBER(FIND(",",Tabela1[[#This Row],[7]])),LEN(Tabela1[[#This Row],[7]])-LEN(SUBSTITUTE(Tabela1[[#This Row],[7]],",",""))+1,1),"")</f>
        <v/>
      </c>
      <c r="AG368" t="str">
        <f>IF(Tabela1[[#This Row],[8]]&lt;&gt;"",IF(ISNUMBER(FIND(",",Tabela1[[#This Row],[8]])),LEN(Tabela1[[#This Row],[8]])-LEN(SUBSTITUTE(Tabela1[[#This Row],[8]],",",""))+1,1),"")</f>
        <v/>
      </c>
      <c r="AH368" t="str">
        <f>IF(Tabela1[[#This Row],[9]]&lt;&gt;"",IF(ISNUMBER(FIND(",",Tabela1[[#This Row],[9]])),LEN(Tabela1[[#This Row],[9]])-LEN(SUBSTITUTE(Tabela1[[#This Row],[9]],",",""))+1,1),"")</f>
        <v/>
      </c>
      <c r="AI368" t="str">
        <f>IF(Tabela1[[#This Row],[10]]&lt;&gt;"",IF(ISNUMBER(FIND(",",Tabela1[[#This Row],[10]])),LEN(Tabela1[[#This Row],[10]])-LEN(SUBSTITUTE(Tabela1[[#This Row],[10]],",",""))+1,1),"")</f>
        <v/>
      </c>
      <c r="AJ368" t="str">
        <f>IF(Tabela1[[#This Row],[11]]&lt;&gt;"",IF(ISNUMBER(FIND(",",Tabela1[[#This Row],[11]])),LEN(Tabela1[[#This Row],[11]])-LEN(SUBSTITUTE(Tabela1[[#This Row],[11]],",",""))+1,1),"")</f>
        <v/>
      </c>
      <c r="AK368" t="str">
        <f>IF(Tabela1[[#This Row],[12]]&lt;&gt;"",IF(ISNUMBER(FIND(",",Tabela1[[#This Row],[12]])),LEN(Tabela1[[#This Row],[12]])-LEN(SUBSTITUTE(Tabela1[[#This Row],[12]],",",""))+1,1),"")</f>
        <v/>
      </c>
      <c r="AL368" t="str">
        <f>IF(Tabela1[[#This Row],[13]]&lt;&gt;"",IF(ISNUMBER(FIND(",",Tabela1[[#This Row],[13]])),LEN(Tabela1[[#This Row],[13]])-LEN(SUBSTITUTE(Tabela1[[#This Row],[13]],",",""))+1,1),"")</f>
        <v/>
      </c>
      <c r="AM368" t="str">
        <f>IF(Tabela1[[#This Row],[14]]&lt;&gt;"",IF(ISNUMBER(FIND(",",Tabela1[[#This Row],[14]])),LEN(Tabela1[[#This Row],[14]])-LEN(SUBSTITUTE(Tabela1[[#This Row],[14]],",",""))+1,1),"")</f>
        <v/>
      </c>
      <c r="AN368" t="str">
        <f>IF(Tabela1[[#This Row],[15]]&lt;&gt;"",IF(ISNUMBER(FIND(",",Tabela1[[#This Row],[15]])),LEN(Tabela1[[#This Row],[15]])-LEN(SUBSTITUTE(Tabela1[[#This Row],[15]],",",""))+1,1),"")</f>
        <v/>
      </c>
      <c r="AO368" t="str">
        <f>IF(Tabela1[[#This Row],[16]]&lt;&gt;"",IF(ISNUMBER(FIND(",",Tabela1[[#This Row],[16]])),LEN(Tabela1[[#This Row],[16]])-LEN(SUBSTITUTE(Tabela1[[#This Row],[16]],",",""))+1,1),"")</f>
        <v/>
      </c>
      <c r="AP368" t="str">
        <f>IF(Tabela1[[#This Row],[17]]&lt;&gt;"",IF(ISNUMBER(FIND(",",Tabela1[[#This Row],[17]])),LEN(Tabela1[[#This Row],[17]])-LEN(SUBSTITUTE(Tabela1[[#This Row],[17]],",",""))+1,1),"")</f>
        <v/>
      </c>
      <c r="AQ368" t="str">
        <f>IF(Tabela1[[#This Row],[18]]&lt;&gt;"",IF(ISNUMBER(FIND(",",Tabela1[[#This Row],[18]])),LEN(Tabela1[[#This Row],[18]])-LEN(SUBSTITUTE(Tabela1[[#This Row],[18]],",",""))+1,1),"")</f>
        <v/>
      </c>
      <c r="AR368" s="13" t="str">
        <f>IF(Tabela1[[#This Row],[19_LENGTH]]&lt;&gt;"",IF(ISNUMBER(FIND(",",Tabela1[[#This Row],[19_LENGTH]])),LEN(Tabela1[[#This Row],[19_LENGTH]])-LEN(SUBSTITUTE(Tabela1[[#This Row],[19_LENGTH]],",",""))+1,1),"")</f>
        <v/>
      </c>
      <c r="AS368" s="21">
        <f>SUM(Tabela1[[#This Row],[1_]:[19_]])</f>
        <v>1</v>
      </c>
    </row>
    <row r="369" spans="1:45" x14ac:dyDescent="0.25">
      <c r="A369" s="27" t="s">
        <v>1323</v>
      </c>
      <c r="B369" s="19" t="s">
        <v>491</v>
      </c>
      <c r="C369" s="19">
        <v>202</v>
      </c>
      <c r="D369" s="19" t="s">
        <v>1315</v>
      </c>
      <c r="E369" s="20">
        <v>43516</v>
      </c>
      <c r="F369" s="19"/>
      <c r="G369" s="19">
        <v>92</v>
      </c>
      <c r="H369" s="19"/>
      <c r="I369" s="19"/>
      <c r="J369" s="19"/>
      <c r="K369" s="19"/>
      <c r="L369" s="19"/>
      <c r="M369" s="19"/>
      <c r="N369" s="19"/>
      <c r="O369" s="19"/>
      <c r="P369" s="19"/>
      <c r="Q369" s="19"/>
      <c r="R369" s="19"/>
      <c r="S369" s="19"/>
      <c r="T369" s="19"/>
      <c r="U369" s="19"/>
      <c r="V369" s="19"/>
      <c r="W369" s="19"/>
      <c r="X369" s="19"/>
      <c r="Y369" s="19"/>
      <c r="Z369" t="str">
        <f>IF(Tabela1[[#This Row],[1]]&lt;&gt;"",IF(ISNUMBER(FIND(",",Tabela1[[#This Row],[1]])),LEN(Tabela1[[#This Row],[1]])-LEN(SUBSTITUTE(Tabela1[[#This Row],[1]],",",""))+1,1),"")</f>
        <v/>
      </c>
      <c r="AA369">
        <f>IF(Tabela1[[#This Row],[2]]&lt;&gt;"",IF(ISNUMBER(FIND(",",Tabela1[[#This Row],[2]])),LEN(Tabela1[[#This Row],[2]])-LEN(SUBSTITUTE(Tabela1[[#This Row],[2]],",",""))+1,1),"")</f>
        <v>1</v>
      </c>
      <c r="AB369" t="str">
        <f>IF(Tabela1[[#This Row],[3]]&lt;&gt;"",IF(ISNUMBER(FIND(",",Tabela1[[#This Row],[3]])),LEN(Tabela1[[#This Row],[3]])-LEN(SUBSTITUTE(Tabela1[[#This Row],[3]],",",""))+1,1),"")</f>
        <v/>
      </c>
      <c r="AC369" t="str">
        <f>IF(Tabela1[[#This Row],[4]]&lt;&gt;"",IF(ISNUMBER(FIND(",",Tabela1[[#This Row],[4]])),LEN(Tabela1[[#This Row],[4]])-LEN(SUBSTITUTE(Tabela1[[#This Row],[4]],",",""))+1,1),"")</f>
        <v/>
      </c>
      <c r="AD369" t="str">
        <f>IF(Tabela1[[#This Row],[5]]&lt;&gt;"",IF(ISNUMBER(FIND(",",Tabela1[[#This Row],[5]])),LEN(Tabela1[[#This Row],[5]])-LEN(SUBSTITUTE(Tabela1[[#This Row],[5]],",",""))+1,1),"")</f>
        <v/>
      </c>
      <c r="AE369" t="str">
        <f>IF(Tabela1[[#This Row],[6]]&lt;&gt;"",IF(ISNUMBER(FIND(",",Tabela1[[#This Row],[6]])),LEN(Tabela1[[#This Row],[6]])-LEN(SUBSTITUTE(Tabela1[[#This Row],[6]],",",""))+1,1),"")</f>
        <v/>
      </c>
      <c r="AF369" t="str">
        <f>IF(Tabela1[[#This Row],[7]]&lt;&gt;"",IF(ISNUMBER(FIND(",",Tabela1[[#This Row],[7]])),LEN(Tabela1[[#This Row],[7]])-LEN(SUBSTITUTE(Tabela1[[#This Row],[7]],",",""))+1,1),"")</f>
        <v/>
      </c>
      <c r="AG369" t="str">
        <f>IF(Tabela1[[#This Row],[8]]&lt;&gt;"",IF(ISNUMBER(FIND(",",Tabela1[[#This Row],[8]])),LEN(Tabela1[[#This Row],[8]])-LEN(SUBSTITUTE(Tabela1[[#This Row],[8]],",",""))+1,1),"")</f>
        <v/>
      </c>
      <c r="AH369" t="str">
        <f>IF(Tabela1[[#This Row],[9]]&lt;&gt;"",IF(ISNUMBER(FIND(",",Tabela1[[#This Row],[9]])),LEN(Tabela1[[#This Row],[9]])-LEN(SUBSTITUTE(Tabela1[[#This Row],[9]],",",""))+1,1),"")</f>
        <v/>
      </c>
      <c r="AI369" t="str">
        <f>IF(Tabela1[[#This Row],[10]]&lt;&gt;"",IF(ISNUMBER(FIND(",",Tabela1[[#This Row],[10]])),LEN(Tabela1[[#This Row],[10]])-LEN(SUBSTITUTE(Tabela1[[#This Row],[10]],",",""))+1,1),"")</f>
        <v/>
      </c>
      <c r="AJ369" t="str">
        <f>IF(Tabela1[[#This Row],[11]]&lt;&gt;"",IF(ISNUMBER(FIND(",",Tabela1[[#This Row],[11]])),LEN(Tabela1[[#This Row],[11]])-LEN(SUBSTITUTE(Tabela1[[#This Row],[11]],",",""))+1,1),"")</f>
        <v/>
      </c>
      <c r="AK369" t="str">
        <f>IF(Tabela1[[#This Row],[12]]&lt;&gt;"",IF(ISNUMBER(FIND(",",Tabela1[[#This Row],[12]])),LEN(Tabela1[[#This Row],[12]])-LEN(SUBSTITUTE(Tabela1[[#This Row],[12]],",",""))+1,1),"")</f>
        <v/>
      </c>
      <c r="AL369" t="str">
        <f>IF(Tabela1[[#This Row],[13]]&lt;&gt;"",IF(ISNUMBER(FIND(",",Tabela1[[#This Row],[13]])),LEN(Tabela1[[#This Row],[13]])-LEN(SUBSTITUTE(Tabela1[[#This Row],[13]],",",""))+1,1),"")</f>
        <v/>
      </c>
      <c r="AM369" t="str">
        <f>IF(Tabela1[[#This Row],[14]]&lt;&gt;"",IF(ISNUMBER(FIND(",",Tabela1[[#This Row],[14]])),LEN(Tabela1[[#This Row],[14]])-LEN(SUBSTITUTE(Tabela1[[#This Row],[14]],",",""))+1,1),"")</f>
        <v/>
      </c>
      <c r="AN369" t="str">
        <f>IF(Tabela1[[#This Row],[15]]&lt;&gt;"",IF(ISNUMBER(FIND(",",Tabela1[[#This Row],[15]])),LEN(Tabela1[[#This Row],[15]])-LEN(SUBSTITUTE(Tabela1[[#This Row],[15]],",",""))+1,1),"")</f>
        <v/>
      </c>
      <c r="AO369" t="str">
        <f>IF(Tabela1[[#This Row],[16]]&lt;&gt;"",IF(ISNUMBER(FIND(",",Tabela1[[#This Row],[16]])),LEN(Tabela1[[#This Row],[16]])-LEN(SUBSTITUTE(Tabela1[[#This Row],[16]],",",""))+1,1),"")</f>
        <v/>
      </c>
      <c r="AP369" t="str">
        <f>IF(Tabela1[[#This Row],[17]]&lt;&gt;"",IF(ISNUMBER(FIND(",",Tabela1[[#This Row],[17]])),LEN(Tabela1[[#This Row],[17]])-LEN(SUBSTITUTE(Tabela1[[#This Row],[17]],",",""))+1,1),"")</f>
        <v/>
      </c>
      <c r="AQ369" t="str">
        <f>IF(Tabela1[[#This Row],[18]]&lt;&gt;"",IF(ISNUMBER(FIND(",",Tabela1[[#This Row],[18]])),LEN(Tabela1[[#This Row],[18]])-LEN(SUBSTITUTE(Tabela1[[#This Row],[18]],",",""))+1,1),"")</f>
        <v/>
      </c>
      <c r="AR369" s="13" t="str">
        <f>IF(Tabela1[[#This Row],[19_LENGTH]]&lt;&gt;"",IF(ISNUMBER(FIND(",",Tabela1[[#This Row],[19_LENGTH]])),LEN(Tabela1[[#This Row],[19_LENGTH]])-LEN(SUBSTITUTE(Tabela1[[#This Row],[19_LENGTH]],",",""))+1,1),"")</f>
        <v/>
      </c>
      <c r="AS369" s="21">
        <f>SUM(Tabela1[[#This Row],[1_]:[19_]])</f>
        <v>1</v>
      </c>
    </row>
    <row r="370" spans="1:45" x14ac:dyDescent="0.25">
      <c r="A370" s="27" t="s">
        <v>1323</v>
      </c>
      <c r="B370" s="19" t="s">
        <v>492</v>
      </c>
      <c r="C370" s="19">
        <v>202</v>
      </c>
      <c r="D370" s="19" t="s">
        <v>1315</v>
      </c>
      <c r="E370" s="20">
        <v>43516</v>
      </c>
      <c r="F370" s="19"/>
      <c r="G370" s="19"/>
      <c r="H370" s="19"/>
      <c r="I370" s="19"/>
      <c r="J370" s="19"/>
      <c r="K370" s="19"/>
      <c r="L370" s="19"/>
      <c r="M370" s="19"/>
      <c r="N370" s="19"/>
      <c r="O370" s="19"/>
      <c r="P370" s="19"/>
      <c r="Q370" s="19"/>
      <c r="R370" s="19"/>
      <c r="S370" s="19"/>
      <c r="T370" s="19"/>
      <c r="U370" s="19">
        <v>109</v>
      </c>
      <c r="V370" s="19"/>
      <c r="W370" s="19"/>
      <c r="X370" s="19"/>
      <c r="Y370" s="19"/>
      <c r="Z370" t="str">
        <f>IF(Tabela1[[#This Row],[1]]&lt;&gt;"",IF(ISNUMBER(FIND(",",Tabela1[[#This Row],[1]])),LEN(Tabela1[[#This Row],[1]])-LEN(SUBSTITUTE(Tabela1[[#This Row],[1]],",",""))+1,1),"")</f>
        <v/>
      </c>
      <c r="AA370" t="str">
        <f>IF(Tabela1[[#This Row],[2]]&lt;&gt;"",IF(ISNUMBER(FIND(",",Tabela1[[#This Row],[2]])),LEN(Tabela1[[#This Row],[2]])-LEN(SUBSTITUTE(Tabela1[[#This Row],[2]],",",""))+1,1),"")</f>
        <v/>
      </c>
      <c r="AB370" t="str">
        <f>IF(Tabela1[[#This Row],[3]]&lt;&gt;"",IF(ISNUMBER(FIND(",",Tabela1[[#This Row],[3]])),LEN(Tabela1[[#This Row],[3]])-LEN(SUBSTITUTE(Tabela1[[#This Row],[3]],",",""))+1,1),"")</f>
        <v/>
      </c>
      <c r="AC370" t="str">
        <f>IF(Tabela1[[#This Row],[4]]&lt;&gt;"",IF(ISNUMBER(FIND(",",Tabela1[[#This Row],[4]])),LEN(Tabela1[[#This Row],[4]])-LEN(SUBSTITUTE(Tabela1[[#This Row],[4]],",",""))+1,1),"")</f>
        <v/>
      </c>
      <c r="AD370" t="str">
        <f>IF(Tabela1[[#This Row],[5]]&lt;&gt;"",IF(ISNUMBER(FIND(",",Tabela1[[#This Row],[5]])),LEN(Tabela1[[#This Row],[5]])-LEN(SUBSTITUTE(Tabela1[[#This Row],[5]],",",""))+1,1),"")</f>
        <v/>
      </c>
      <c r="AE370" t="str">
        <f>IF(Tabela1[[#This Row],[6]]&lt;&gt;"",IF(ISNUMBER(FIND(",",Tabela1[[#This Row],[6]])),LEN(Tabela1[[#This Row],[6]])-LEN(SUBSTITUTE(Tabela1[[#This Row],[6]],",",""))+1,1),"")</f>
        <v/>
      </c>
      <c r="AF370" t="str">
        <f>IF(Tabela1[[#This Row],[7]]&lt;&gt;"",IF(ISNUMBER(FIND(",",Tabela1[[#This Row],[7]])),LEN(Tabela1[[#This Row],[7]])-LEN(SUBSTITUTE(Tabela1[[#This Row],[7]],",",""))+1,1),"")</f>
        <v/>
      </c>
      <c r="AG370" t="str">
        <f>IF(Tabela1[[#This Row],[8]]&lt;&gt;"",IF(ISNUMBER(FIND(",",Tabela1[[#This Row],[8]])),LEN(Tabela1[[#This Row],[8]])-LEN(SUBSTITUTE(Tabela1[[#This Row],[8]],",",""))+1,1),"")</f>
        <v/>
      </c>
      <c r="AH370" t="str">
        <f>IF(Tabela1[[#This Row],[9]]&lt;&gt;"",IF(ISNUMBER(FIND(",",Tabela1[[#This Row],[9]])),LEN(Tabela1[[#This Row],[9]])-LEN(SUBSTITUTE(Tabela1[[#This Row],[9]],",",""))+1,1),"")</f>
        <v/>
      </c>
      <c r="AI370" t="str">
        <f>IF(Tabela1[[#This Row],[10]]&lt;&gt;"",IF(ISNUMBER(FIND(",",Tabela1[[#This Row],[10]])),LEN(Tabela1[[#This Row],[10]])-LEN(SUBSTITUTE(Tabela1[[#This Row],[10]],",",""))+1,1),"")</f>
        <v/>
      </c>
      <c r="AJ370" t="str">
        <f>IF(Tabela1[[#This Row],[11]]&lt;&gt;"",IF(ISNUMBER(FIND(",",Tabela1[[#This Row],[11]])),LEN(Tabela1[[#This Row],[11]])-LEN(SUBSTITUTE(Tabela1[[#This Row],[11]],",",""))+1,1),"")</f>
        <v/>
      </c>
      <c r="AK370" t="str">
        <f>IF(Tabela1[[#This Row],[12]]&lt;&gt;"",IF(ISNUMBER(FIND(",",Tabela1[[#This Row],[12]])),LEN(Tabela1[[#This Row],[12]])-LEN(SUBSTITUTE(Tabela1[[#This Row],[12]],",",""))+1,1),"")</f>
        <v/>
      </c>
      <c r="AL370" t="str">
        <f>IF(Tabela1[[#This Row],[13]]&lt;&gt;"",IF(ISNUMBER(FIND(",",Tabela1[[#This Row],[13]])),LEN(Tabela1[[#This Row],[13]])-LEN(SUBSTITUTE(Tabela1[[#This Row],[13]],",",""))+1,1),"")</f>
        <v/>
      </c>
      <c r="AM370" t="str">
        <f>IF(Tabela1[[#This Row],[14]]&lt;&gt;"",IF(ISNUMBER(FIND(",",Tabela1[[#This Row],[14]])),LEN(Tabela1[[#This Row],[14]])-LEN(SUBSTITUTE(Tabela1[[#This Row],[14]],",",""))+1,1),"")</f>
        <v/>
      </c>
      <c r="AN370" t="str">
        <f>IF(Tabela1[[#This Row],[15]]&lt;&gt;"",IF(ISNUMBER(FIND(",",Tabela1[[#This Row],[15]])),LEN(Tabela1[[#This Row],[15]])-LEN(SUBSTITUTE(Tabela1[[#This Row],[15]],",",""))+1,1),"")</f>
        <v/>
      </c>
      <c r="AO370">
        <f>IF(Tabela1[[#This Row],[16]]&lt;&gt;"",IF(ISNUMBER(FIND(",",Tabela1[[#This Row],[16]])),LEN(Tabela1[[#This Row],[16]])-LEN(SUBSTITUTE(Tabela1[[#This Row],[16]],",",""))+1,1),"")</f>
        <v>1</v>
      </c>
      <c r="AP370" t="str">
        <f>IF(Tabela1[[#This Row],[17]]&lt;&gt;"",IF(ISNUMBER(FIND(",",Tabela1[[#This Row],[17]])),LEN(Tabela1[[#This Row],[17]])-LEN(SUBSTITUTE(Tabela1[[#This Row],[17]],",",""))+1,1),"")</f>
        <v/>
      </c>
      <c r="AQ370" t="str">
        <f>IF(Tabela1[[#This Row],[18]]&lt;&gt;"",IF(ISNUMBER(FIND(",",Tabela1[[#This Row],[18]])),LEN(Tabela1[[#This Row],[18]])-LEN(SUBSTITUTE(Tabela1[[#This Row],[18]],",",""))+1,1),"")</f>
        <v/>
      </c>
      <c r="AR370" s="13" t="str">
        <f>IF(Tabela1[[#This Row],[19_LENGTH]]&lt;&gt;"",IF(ISNUMBER(FIND(",",Tabela1[[#This Row],[19_LENGTH]])),LEN(Tabela1[[#This Row],[19_LENGTH]])-LEN(SUBSTITUTE(Tabela1[[#This Row],[19_LENGTH]],",",""))+1,1),"")</f>
        <v/>
      </c>
      <c r="AS370" s="21">
        <f>SUM(Tabela1[[#This Row],[1_]:[19_]])</f>
        <v>1</v>
      </c>
    </row>
    <row r="371" spans="1:45" x14ac:dyDescent="0.25">
      <c r="A371" s="27" t="s">
        <v>1323</v>
      </c>
      <c r="B371" s="19" t="s">
        <v>927</v>
      </c>
      <c r="C371" s="19">
        <v>202</v>
      </c>
      <c r="D371" s="19" t="s">
        <v>1315</v>
      </c>
      <c r="E371" s="20">
        <v>43516</v>
      </c>
      <c r="F371" s="19"/>
      <c r="G371" s="19"/>
      <c r="H371" s="19"/>
      <c r="I371" s="19">
        <v>6</v>
      </c>
      <c r="J371" s="19"/>
      <c r="K371" s="19"/>
      <c r="L371" s="19"/>
      <c r="M371" s="19"/>
      <c r="N371" s="19"/>
      <c r="O371" s="19"/>
      <c r="P371" s="19"/>
      <c r="Q371" s="19"/>
      <c r="R371" s="19"/>
      <c r="S371" s="19"/>
      <c r="T371" s="19"/>
      <c r="U371" s="19"/>
      <c r="V371" s="19"/>
      <c r="W371" s="19"/>
      <c r="X371" s="19"/>
      <c r="Y371" s="19"/>
      <c r="Z371" t="str">
        <f>IF(Tabela1[[#This Row],[1]]&lt;&gt;"",IF(ISNUMBER(FIND(",",Tabela1[[#This Row],[1]])),LEN(Tabela1[[#This Row],[1]])-LEN(SUBSTITUTE(Tabela1[[#This Row],[1]],",",""))+1,1),"")</f>
        <v/>
      </c>
      <c r="AA371" t="str">
        <f>IF(Tabela1[[#This Row],[2]]&lt;&gt;"",IF(ISNUMBER(FIND(",",Tabela1[[#This Row],[2]])),LEN(Tabela1[[#This Row],[2]])-LEN(SUBSTITUTE(Tabela1[[#This Row],[2]],",",""))+1,1),"")</f>
        <v/>
      </c>
      <c r="AB371" t="str">
        <f>IF(Tabela1[[#This Row],[3]]&lt;&gt;"",IF(ISNUMBER(FIND(",",Tabela1[[#This Row],[3]])),LEN(Tabela1[[#This Row],[3]])-LEN(SUBSTITUTE(Tabela1[[#This Row],[3]],",",""))+1,1),"")</f>
        <v/>
      </c>
      <c r="AC371">
        <f>IF(Tabela1[[#This Row],[4]]&lt;&gt;"",IF(ISNUMBER(FIND(",",Tabela1[[#This Row],[4]])),LEN(Tabela1[[#This Row],[4]])-LEN(SUBSTITUTE(Tabela1[[#This Row],[4]],",",""))+1,1),"")</f>
        <v>1</v>
      </c>
      <c r="AD371" t="str">
        <f>IF(Tabela1[[#This Row],[5]]&lt;&gt;"",IF(ISNUMBER(FIND(",",Tabela1[[#This Row],[5]])),LEN(Tabela1[[#This Row],[5]])-LEN(SUBSTITUTE(Tabela1[[#This Row],[5]],",",""))+1,1),"")</f>
        <v/>
      </c>
      <c r="AE371" t="str">
        <f>IF(Tabela1[[#This Row],[6]]&lt;&gt;"",IF(ISNUMBER(FIND(",",Tabela1[[#This Row],[6]])),LEN(Tabela1[[#This Row],[6]])-LEN(SUBSTITUTE(Tabela1[[#This Row],[6]],",",""))+1,1),"")</f>
        <v/>
      </c>
      <c r="AF371" t="str">
        <f>IF(Tabela1[[#This Row],[7]]&lt;&gt;"",IF(ISNUMBER(FIND(",",Tabela1[[#This Row],[7]])),LEN(Tabela1[[#This Row],[7]])-LEN(SUBSTITUTE(Tabela1[[#This Row],[7]],",",""))+1,1),"")</f>
        <v/>
      </c>
      <c r="AG371" t="str">
        <f>IF(Tabela1[[#This Row],[8]]&lt;&gt;"",IF(ISNUMBER(FIND(",",Tabela1[[#This Row],[8]])),LEN(Tabela1[[#This Row],[8]])-LEN(SUBSTITUTE(Tabela1[[#This Row],[8]],",",""))+1,1),"")</f>
        <v/>
      </c>
      <c r="AH371" t="str">
        <f>IF(Tabela1[[#This Row],[9]]&lt;&gt;"",IF(ISNUMBER(FIND(",",Tabela1[[#This Row],[9]])),LEN(Tabela1[[#This Row],[9]])-LEN(SUBSTITUTE(Tabela1[[#This Row],[9]],",",""))+1,1),"")</f>
        <v/>
      </c>
      <c r="AI371" t="str">
        <f>IF(Tabela1[[#This Row],[10]]&lt;&gt;"",IF(ISNUMBER(FIND(",",Tabela1[[#This Row],[10]])),LEN(Tabela1[[#This Row],[10]])-LEN(SUBSTITUTE(Tabela1[[#This Row],[10]],",",""))+1,1),"")</f>
        <v/>
      </c>
      <c r="AJ371" t="str">
        <f>IF(Tabela1[[#This Row],[11]]&lt;&gt;"",IF(ISNUMBER(FIND(",",Tabela1[[#This Row],[11]])),LEN(Tabela1[[#This Row],[11]])-LEN(SUBSTITUTE(Tabela1[[#This Row],[11]],",",""))+1,1),"")</f>
        <v/>
      </c>
      <c r="AK371" t="str">
        <f>IF(Tabela1[[#This Row],[12]]&lt;&gt;"",IF(ISNUMBER(FIND(",",Tabela1[[#This Row],[12]])),LEN(Tabela1[[#This Row],[12]])-LEN(SUBSTITUTE(Tabela1[[#This Row],[12]],",",""))+1,1),"")</f>
        <v/>
      </c>
      <c r="AL371" t="str">
        <f>IF(Tabela1[[#This Row],[13]]&lt;&gt;"",IF(ISNUMBER(FIND(",",Tabela1[[#This Row],[13]])),LEN(Tabela1[[#This Row],[13]])-LEN(SUBSTITUTE(Tabela1[[#This Row],[13]],",",""))+1,1),"")</f>
        <v/>
      </c>
      <c r="AM371" t="str">
        <f>IF(Tabela1[[#This Row],[14]]&lt;&gt;"",IF(ISNUMBER(FIND(",",Tabela1[[#This Row],[14]])),LEN(Tabela1[[#This Row],[14]])-LEN(SUBSTITUTE(Tabela1[[#This Row],[14]],",",""))+1,1),"")</f>
        <v/>
      </c>
      <c r="AN371" t="str">
        <f>IF(Tabela1[[#This Row],[15]]&lt;&gt;"",IF(ISNUMBER(FIND(",",Tabela1[[#This Row],[15]])),LEN(Tabela1[[#This Row],[15]])-LEN(SUBSTITUTE(Tabela1[[#This Row],[15]],",",""))+1,1),"")</f>
        <v/>
      </c>
      <c r="AO371" t="str">
        <f>IF(Tabela1[[#This Row],[16]]&lt;&gt;"",IF(ISNUMBER(FIND(",",Tabela1[[#This Row],[16]])),LEN(Tabela1[[#This Row],[16]])-LEN(SUBSTITUTE(Tabela1[[#This Row],[16]],",",""))+1,1),"")</f>
        <v/>
      </c>
      <c r="AP371" t="str">
        <f>IF(Tabela1[[#This Row],[17]]&lt;&gt;"",IF(ISNUMBER(FIND(",",Tabela1[[#This Row],[17]])),LEN(Tabela1[[#This Row],[17]])-LEN(SUBSTITUTE(Tabela1[[#This Row],[17]],",",""))+1,1),"")</f>
        <v/>
      </c>
      <c r="AQ371" t="str">
        <f>IF(Tabela1[[#This Row],[18]]&lt;&gt;"",IF(ISNUMBER(FIND(",",Tabela1[[#This Row],[18]])),LEN(Tabela1[[#This Row],[18]])-LEN(SUBSTITUTE(Tabela1[[#This Row],[18]],",",""))+1,1),"")</f>
        <v/>
      </c>
      <c r="AR371" s="13" t="str">
        <f>IF(Tabela1[[#This Row],[19_LENGTH]]&lt;&gt;"",IF(ISNUMBER(FIND(",",Tabela1[[#This Row],[19_LENGTH]])),LEN(Tabela1[[#This Row],[19_LENGTH]])-LEN(SUBSTITUTE(Tabela1[[#This Row],[19_LENGTH]],",",""))+1,1),"")</f>
        <v/>
      </c>
      <c r="AS371" s="21">
        <f>SUM(Tabela1[[#This Row],[1_]:[19_]])</f>
        <v>1</v>
      </c>
    </row>
    <row r="372" spans="1:45" x14ac:dyDescent="0.25">
      <c r="A372" s="27" t="s">
        <v>1323</v>
      </c>
      <c r="B372" s="19" t="s">
        <v>928</v>
      </c>
      <c r="C372" s="19">
        <v>170</v>
      </c>
      <c r="D372" s="19" t="s">
        <v>1315</v>
      </c>
      <c r="E372" s="20">
        <v>43516</v>
      </c>
      <c r="F372" s="19"/>
      <c r="G372" s="19"/>
      <c r="H372" s="19"/>
      <c r="I372" s="19"/>
      <c r="J372" s="19"/>
      <c r="K372" s="19" t="s">
        <v>150</v>
      </c>
      <c r="L372" s="19"/>
      <c r="M372" s="19"/>
      <c r="N372" s="19"/>
      <c r="O372" s="19"/>
      <c r="P372" s="19"/>
      <c r="Q372" s="19"/>
      <c r="R372" s="19"/>
      <c r="S372" s="19"/>
      <c r="T372" s="19"/>
      <c r="U372" s="19"/>
      <c r="V372" s="19"/>
      <c r="W372" s="19"/>
      <c r="X372" s="19"/>
      <c r="Y372" s="19"/>
      <c r="Z372" t="str">
        <f>IF(Tabela1[[#This Row],[1]]&lt;&gt;"",IF(ISNUMBER(FIND(",",Tabela1[[#This Row],[1]])),LEN(Tabela1[[#This Row],[1]])-LEN(SUBSTITUTE(Tabela1[[#This Row],[1]],",",""))+1,1),"")</f>
        <v/>
      </c>
      <c r="AA372" t="str">
        <f>IF(Tabela1[[#This Row],[2]]&lt;&gt;"",IF(ISNUMBER(FIND(",",Tabela1[[#This Row],[2]])),LEN(Tabela1[[#This Row],[2]])-LEN(SUBSTITUTE(Tabela1[[#This Row],[2]],",",""))+1,1),"")</f>
        <v/>
      </c>
      <c r="AB372" t="str">
        <f>IF(Tabela1[[#This Row],[3]]&lt;&gt;"",IF(ISNUMBER(FIND(",",Tabela1[[#This Row],[3]])),LEN(Tabela1[[#This Row],[3]])-LEN(SUBSTITUTE(Tabela1[[#This Row],[3]],",",""))+1,1),"")</f>
        <v/>
      </c>
      <c r="AC372" t="str">
        <f>IF(Tabela1[[#This Row],[4]]&lt;&gt;"",IF(ISNUMBER(FIND(",",Tabela1[[#This Row],[4]])),LEN(Tabela1[[#This Row],[4]])-LEN(SUBSTITUTE(Tabela1[[#This Row],[4]],",",""))+1,1),"")</f>
        <v/>
      </c>
      <c r="AD372" t="str">
        <f>IF(Tabela1[[#This Row],[5]]&lt;&gt;"",IF(ISNUMBER(FIND(",",Tabela1[[#This Row],[5]])),LEN(Tabela1[[#This Row],[5]])-LEN(SUBSTITUTE(Tabela1[[#This Row],[5]],",",""))+1,1),"")</f>
        <v/>
      </c>
      <c r="AE372">
        <f>IF(Tabela1[[#This Row],[6]]&lt;&gt;"",IF(ISNUMBER(FIND(",",Tabela1[[#This Row],[6]])),LEN(Tabela1[[#This Row],[6]])-LEN(SUBSTITUTE(Tabela1[[#This Row],[6]],",",""))+1,1),"")</f>
        <v>2</v>
      </c>
      <c r="AF372" t="str">
        <f>IF(Tabela1[[#This Row],[7]]&lt;&gt;"",IF(ISNUMBER(FIND(",",Tabela1[[#This Row],[7]])),LEN(Tabela1[[#This Row],[7]])-LEN(SUBSTITUTE(Tabela1[[#This Row],[7]],",",""))+1,1),"")</f>
        <v/>
      </c>
      <c r="AG372" t="str">
        <f>IF(Tabela1[[#This Row],[8]]&lt;&gt;"",IF(ISNUMBER(FIND(",",Tabela1[[#This Row],[8]])),LEN(Tabela1[[#This Row],[8]])-LEN(SUBSTITUTE(Tabela1[[#This Row],[8]],",",""))+1,1),"")</f>
        <v/>
      </c>
      <c r="AH372" t="str">
        <f>IF(Tabela1[[#This Row],[9]]&lt;&gt;"",IF(ISNUMBER(FIND(",",Tabela1[[#This Row],[9]])),LEN(Tabela1[[#This Row],[9]])-LEN(SUBSTITUTE(Tabela1[[#This Row],[9]],",",""))+1,1),"")</f>
        <v/>
      </c>
      <c r="AI372" t="str">
        <f>IF(Tabela1[[#This Row],[10]]&lt;&gt;"",IF(ISNUMBER(FIND(",",Tabela1[[#This Row],[10]])),LEN(Tabela1[[#This Row],[10]])-LEN(SUBSTITUTE(Tabela1[[#This Row],[10]],",",""))+1,1),"")</f>
        <v/>
      </c>
      <c r="AJ372" t="str">
        <f>IF(Tabela1[[#This Row],[11]]&lt;&gt;"",IF(ISNUMBER(FIND(",",Tabela1[[#This Row],[11]])),LEN(Tabela1[[#This Row],[11]])-LEN(SUBSTITUTE(Tabela1[[#This Row],[11]],",",""))+1,1),"")</f>
        <v/>
      </c>
      <c r="AK372" t="str">
        <f>IF(Tabela1[[#This Row],[12]]&lt;&gt;"",IF(ISNUMBER(FIND(",",Tabela1[[#This Row],[12]])),LEN(Tabela1[[#This Row],[12]])-LEN(SUBSTITUTE(Tabela1[[#This Row],[12]],",",""))+1,1),"")</f>
        <v/>
      </c>
      <c r="AL372" t="str">
        <f>IF(Tabela1[[#This Row],[13]]&lt;&gt;"",IF(ISNUMBER(FIND(",",Tabela1[[#This Row],[13]])),LEN(Tabela1[[#This Row],[13]])-LEN(SUBSTITUTE(Tabela1[[#This Row],[13]],",",""))+1,1),"")</f>
        <v/>
      </c>
      <c r="AM372" t="str">
        <f>IF(Tabela1[[#This Row],[14]]&lt;&gt;"",IF(ISNUMBER(FIND(",",Tabela1[[#This Row],[14]])),LEN(Tabela1[[#This Row],[14]])-LEN(SUBSTITUTE(Tabela1[[#This Row],[14]],",",""))+1,1),"")</f>
        <v/>
      </c>
      <c r="AN372" t="str">
        <f>IF(Tabela1[[#This Row],[15]]&lt;&gt;"",IF(ISNUMBER(FIND(",",Tabela1[[#This Row],[15]])),LEN(Tabela1[[#This Row],[15]])-LEN(SUBSTITUTE(Tabela1[[#This Row],[15]],",",""))+1,1),"")</f>
        <v/>
      </c>
      <c r="AO372" t="str">
        <f>IF(Tabela1[[#This Row],[16]]&lt;&gt;"",IF(ISNUMBER(FIND(",",Tabela1[[#This Row],[16]])),LEN(Tabela1[[#This Row],[16]])-LEN(SUBSTITUTE(Tabela1[[#This Row],[16]],",",""))+1,1),"")</f>
        <v/>
      </c>
      <c r="AP372" t="str">
        <f>IF(Tabela1[[#This Row],[17]]&lt;&gt;"",IF(ISNUMBER(FIND(",",Tabela1[[#This Row],[17]])),LEN(Tabela1[[#This Row],[17]])-LEN(SUBSTITUTE(Tabela1[[#This Row],[17]],",",""))+1,1),"")</f>
        <v/>
      </c>
      <c r="AQ372" t="str">
        <f>IF(Tabela1[[#This Row],[18]]&lt;&gt;"",IF(ISNUMBER(FIND(",",Tabela1[[#This Row],[18]])),LEN(Tabela1[[#This Row],[18]])-LEN(SUBSTITUTE(Tabela1[[#This Row],[18]],",",""))+1,1),"")</f>
        <v/>
      </c>
      <c r="AR372" s="13" t="str">
        <f>IF(Tabela1[[#This Row],[19_LENGTH]]&lt;&gt;"",IF(ISNUMBER(FIND(",",Tabela1[[#This Row],[19_LENGTH]])),LEN(Tabela1[[#This Row],[19_LENGTH]])-LEN(SUBSTITUTE(Tabela1[[#This Row],[19_LENGTH]],",",""))+1,1),"")</f>
        <v/>
      </c>
      <c r="AS372" s="21">
        <f>SUM(Tabela1[[#This Row],[1_]:[19_]])</f>
        <v>2</v>
      </c>
    </row>
    <row r="373" spans="1:45" x14ac:dyDescent="0.25">
      <c r="A373" s="27" t="s">
        <v>1323</v>
      </c>
      <c r="B373" s="19" t="s">
        <v>493</v>
      </c>
      <c r="C373" s="19">
        <v>202</v>
      </c>
      <c r="D373" s="19" t="s">
        <v>1298</v>
      </c>
      <c r="E373" s="20">
        <v>43516</v>
      </c>
      <c r="F373" s="19"/>
      <c r="G373" s="19"/>
      <c r="H373" s="19"/>
      <c r="I373" s="19" t="s">
        <v>151</v>
      </c>
      <c r="J373" s="19">
        <v>104</v>
      </c>
      <c r="K373" s="19"/>
      <c r="L373" s="19"/>
      <c r="M373" s="19"/>
      <c r="N373" s="19"/>
      <c r="O373" s="19"/>
      <c r="P373" s="19"/>
      <c r="Q373" s="19"/>
      <c r="R373" s="19"/>
      <c r="S373" s="19"/>
      <c r="T373" s="19"/>
      <c r="U373" s="19"/>
      <c r="V373" s="19"/>
      <c r="W373" s="19"/>
      <c r="X373" s="19"/>
      <c r="Y373" s="19"/>
      <c r="Z373" t="str">
        <f>IF(Tabela1[[#This Row],[1]]&lt;&gt;"",IF(ISNUMBER(FIND(",",Tabela1[[#This Row],[1]])),LEN(Tabela1[[#This Row],[1]])-LEN(SUBSTITUTE(Tabela1[[#This Row],[1]],",",""))+1,1),"")</f>
        <v/>
      </c>
      <c r="AA373" t="str">
        <f>IF(Tabela1[[#This Row],[2]]&lt;&gt;"",IF(ISNUMBER(FIND(",",Tabela1[[#This Row],[2]])),LEN(Tabela1[[#This Row],[2]])-LEN(SUBSTITUTE(Tabela1[[#This Row],[2]],",",""))+1,1),"")</f>
        <v/>
      </c>
      <c r="AB373" t="str">
        <f>IF(Tabela1[[#This Row],[3]]&lt;&gt;"",IF(ISNUMBER(FIND(",",Tabela1[[#This Row],[3]])),LEN(Tabela1[[#This Row],[3]])-LEN(SUBSTITUTE(Tabela1[[#This Row],[3]],",",""))+1,1),"")</f>
        <v/>
      </c>
      <c r="AC373">
        <f>IF(Tabela1[[#This Row],[4]]&lt;&gt;"",IF(ISNUMBER(FIND(",",Tabela1[[#This Row],[4]])),LEN(Tabela1[[#This Row],[4]])-LEN(SUBSTITUTE(Tabela1[[#This Row],[4]],",",""))+1,1),"")</f>
        <v>3</v>
      </c>
      <c r="AD373">
        <f>IF(Tabela1[[#This Row],[5]]&lt;&gt;"",IF(ISNUMBER(FIND(",",Tabela1[[#This Row],[5]])),LEN(Tabela1[[#This Row],[5]])-LEN(SUBSTITUTE(Tabela1[[#This Row],[5]],",",""))+1,1),"")</f>
        <v>1</v>
      </c>
      <c r="AE373" t="str">
        <f>IF(Tabela1[[#This Row],[6]]&lt;&gt;"",IF(ISNUMBER(FIND(",",Tabela1[[#This Row],[6]])),LEN(Tabela1[[#This Row],[6]])-LEN(SUBSTITUTE(Tabela1[[#This Row],[6]],",",""))+1,1),"")</f>
        <v/>
      </c>
      <c r="AF373" t="str">
        <f>IF(Tabela1[[#This Row],[7]]&lt;&gt;"",IF(ISNUMBER(FIND(",",Tabela1[[#This Row],[7]])),LEN(Tabela1[[#This Row],[7]])-LEN(SUBSTITUTE(Tabela1[[#This Row],[7]],",",""))+1,1),"")</f>
        <v/>
      </c>
      <c r="AG373" t="str">
        <f>IF(Tabela1[[#This Row],[8]]&lt;&gt;"",IF(ISNUMBER(FIND(",",Tabela1[[#This Row],[8]])),LEN(Tabela1[[#This Row],[8]])-LEN(SUBSTITUTE(Tabela1[[#This Row],[8]],",",""))+1,1),"")</f>
        <v/>
      </c>
      <c r="AH373" t="str">
        <f>IF(Tabela1[[#This Row],[9]]&lt;&gt;"",IF(ISNUMBER(FIND(",",Tabela1[[#This Row],[9]])),LEN(Tabela1[[#This Row],[9]])-LEN(SUBSTITUTE(Tabela1[[#This Row],[9]],",",""))+1,1),"")</f>
        <v/>
      </c>
      <c r="AI373" t="str">
        <f>IF(Tabela1[[#This Row],[10]]&lt;&gt;"",IF(ISNUMBER(FIND(",",Tabela1[[#This Row],[10]])),LEN(Tabela1[[#This Row],[10]])-LEN(SUBSTITUTE(Tabela1[[#This Row],[10]],",",""))+1,1),"")</f>
        <v/>
      </c>
      <c r="AJ373" t="str">
        <f>IF(Tabela1[[#This Row],[11]]&lt;&gt;"",IF(ISNUMBER(FIND(",",Tabela1[[#This Row],[11]])),LEN(Tabela1[[#This Row],[11]])-LEN(SUBSTITUTE(Tabela1[[#This Row],[11]],",",""))+1,1),"")</f>
        <v/>
      </c>
      <c r="AK373" t="str">
        <f>IF(Tabela1[[#This Row],[12]]&lt;&gt;"",IF(ISNUMBER(FIND(",",Tabela1[[#This Row],[12]])),LEN(Tabela1[[#This Row],[12]])-LEN(SUBSTITUTE(Tabela1[[#This Row],[12]],",",""))+1,1),"")</f>
        <v/>
      </c>
      <c r="AL373" t="str">
        <f>IF(Tabela1[[#This Row],[13]]&lt;&gt;"",IF(ISNUMBER(FIND(",",Tabela1[[#This Row],[13]])),LEN(Tabela1[[#This Row],[13]])-LEN(SUBSTITUTE(Tabela1[[#This Row],[13]],",",""))+1,1),"")</f>
        <v/>
      </c>
      <c r="AM373" t="str">
        <f>IF(Tabela1[[#This Row],[14]]&lt;&gt;"",IF(ISNUMBER(FIND(",",Tabela1[[#This Row],[14]])),LEN(Tabela1[[#This Row],[14]])-LEN(SUBSTITUTE(Tabela1[[#This Row],[14]],",",""))+1,1),"")</f>
        <v/>
      </c>
      <c r="AN373" t="str">
        <f>IF(Tabela1[[#This Row],[15]]&lt;&gt;"",IF(ISNUMBER(FIND(",",Tabela1[[#This Row],[15]])),LEN(Tabela1[[#This Row],[15]])-LEN(SUBSTITUTE(Tabela1[[#This Row],[15]],",",""))+1,1),"")</f>
        <v/>
      </c>
      <c r="AO373" t="str">
        <f>IF(Tabela1[[#This Row],[16]]&lt;&gt;"",IF(ISNUMBER(FIND(",",Tabela1[[#This Row],[16]])),LEN(Tabela1[[#This Row],[16]])-LEN(SUBSTITUTE(Tabela1[[#This Row],[16]],",",""))+1,1),"")</f>
        <v/>
      </c>
      <c r="AP373" t="str">
        <f>IF(Tabela1[[#This Row],[17]]&lt;&gt;"",IF(ISNUMBER(FIND(",",Tabela1[[#This Row],[17]])),LEN(Tabela1[[#This Row],[17]])-LEN(SUBSTITUTE(Tabela1[[#This Row],[17]],",",""))+1,1),"")</f>
        <v/>
      </c>
      <c r="AQ373" t="str">
        <f>IF(Tabela1[[#This Row],[18]]&lt;&gt;"",IF(ISNUMBER(FIND(",",Tabela1[[#This Row],[18]])),LEN(Tabela1[[#This Row],[18]])-LEN(SUBSTITUTE(Tabela1[[#This Row],[18]],",",""))+1,1),"")</f>
        <v/>
      </c>
      <c r="AR373" s="13" t="str">
        <f>IF(Tabela1[[#This Row],[19_LENGTH]]&lt;&gt;"",IF(ISNUMBER(FIND(",",Tabela1[[#This Row],[19_LENGTH]])),LEN(Tabela1[[#This Row],[19_LENGTH]])-LEN(SUBSTITUTE(Tabela1[[#This Row],[19_LENGTH]],",",""))+1,1),"")</f>
        <v/>
      </c>
      <c r="AS373" s="21">
        <f>SUM(Tabela1[[#This Row],[1_]:[19_]])</f>
        <v>4</v>
      </c>
    </row>
    <row r="374" spans="1:45" x14ac:dyDescent="0.25">
      <c r="A374" s="27" t="s">
        <v>1323</v>
      </c>
      <c r="B374" s="19" t="s">
        <v>494</v>
      </c>
      <c r="C374" s="19">
        <v>202</v>
      </c>
      <c r="D374" s="19" t="s">
        <v>1314</v>
      </c>
      <c r="E374" s="20">
        <v>43518</v>
      </c>
      <c r="F374" s="19"/>
      <c r="G374" s="19"/>
      <c r="H374" s="19"/>
      <c r="I374" s="19"/>
      <c r="J374" s="19" t="s">
        <v>152</v>
      </c>
      <c r="K374" s="19"/>
      <c r="L374" s="19"/>
      <c r="M374" s="19"/>
      <c r="N374" s="19"/>
      <c r="O374" s="19"/>
      <c r="P374" s="19"/>
      <c r="Q374" s="19"/>
      <c r="R374" s="19"/>
      <c r="S374" s="19"/>
      <c r="T374" s="19"/>
      <c r="U374" s="19"/>
      <c r="V374" s="19"/>
      <c r="W374" s="19"/>
      <c r="X374" s="19"/>
      <c r="Y374" s="19"/>
      <c r="Z374" t="str">
        <f>IF(Tabela1[[#This Row],[1]]&lt;&gt;"",IF(ISNUMBER(FIND(",",Tabela1[[#This Row],[1]])),LEN(Tabela1[[#This Row],[1]])-LEN(SUBSTITUTE(Tabela1[[#This Row],[1]],",",""))+1,1),"")</f>
        <v/>
      </c>
      <c r="AA374" t="str">
        <f>IF(Tabela1[[#This Row],[2]]&lt;&gt;"",IF(ISNUMBER(FIND(",",Tabela1[[#This Row],[2]])),LEN(Tabela1[[#This Row],[2]])-LEN(SUBSTITUTE(Tabela1[[#This Row],[2]],",",""))+1,1),"")</f>
        <v/>
      </c>
      <c r="AB374" t="str">
        <f>IF(Tabela1[[#This Row],[3]]&lt;&gt;"",IF(ISNUMBER(FIND(",",Tabela1[[#This Row],[3]])),LEN(Tabela1[[#This Row],[3]])-LEN(SUBSTITUTE(Tabela1[[#This Row],[3]],",",""))+1,1),"")</f>
        <v/>
      </c>
      <c r="AC374" t="str">
        <f>IF(Tabela1[[#This Row],[4]]&lt;&gt;"",IF(ISNUMBER(FIND(",",Tabela1[[#This Row],[4]])),LEN(Tabela1[[#This Row],[4]])-LEN(SUBSTITUTE(Tabela1[[#This Row],[4]],",",""))+1,1),"")</f>
        <v/>
      </c>
      <c r="AD374">
        <f>IF(Tabela1[[#This Row],[5]]&lt;&gt;"",IF(ISNUMBER(FIND(",",Tabela1[[#This Row],[5]])),LEN(Tabela1[[#This Row],[5]])-LEN(SUBSTITUTE(Tabela1[[#This Row],[5]],",",""))+1,1),"")</f>
        <v>2</v>
      </c>
      <c r="AE374" t="str">
        <f>IF(Tabela1[[#This Row],[6]]&lt;&gt;"",IF(ISNUMBER(FIND(",",Tabela1[[#This Row],[6]])),LEN(Tabela1[[#This Row],[6]])-LEN(SUBSTITUTE(Tabela1[[#This Row],[6]],",",""))+1,1),"")</f>
        <v/>
      </c>
      <c r="AF374" t="str">
        <f>IF(Tabela1[[#This Row],[7]]&lt;&gt;"",IF(ISNUMBER(FIND(",",Tabela1[[#This Row],[7]])),LEN(Tabela1[[#This Row],[7]])-LEN(SUBSTITUTE(Tabela1[[#This Row],[7]],",",""))+1,1),"")</f>
        <v/>
      </c>
      <c r="AG374" t="str">
        <f>IF(Tabela1[[#This Row],[8]]&lt;&gt;"",IF(ISNUMBER(FIND(",",Tabela1[[#This Row],[8]])),LEN(Tabela1[[#This Row],[8]])-LEN(SUBSTITUTE(Tabela1[[#This Row],[8]],",",""))+1,1),"")</f>
        <v/>
      </c>
      <c r="AH374" t="str">
        <f>IF(Tabela1[[#This Row],[9]]&lt;&gt;"",IF(ISNUMBER(FIND(",",Tabela1[[#This Row],[9]])),LEN(Tabela1[[#This Row],[9]])-LEN(SUBSTITUTE(Tabela1[[#This Row],[9]],",",""))+1,1),"")</f>
        <v/>
      </c>
      <c r="AI374" t="str">
        <f>IF(Tabela1[[#This Row],[10]]&lt;&gt;"",IF(ISNUMBER(FIND(",",Tabela1[[#This Row],[10]])),LEN(Tabela1[[#This Row],[10]])-LEN(SUBSTITUTE(Tabela1[[#This Row],[10]],",",""))+1,1),"")</f>
        <v/>
      </c>
      <c r="AJ374" t="str">
        <f>IF(Tabela1[[#This Row],[11]]&lt;&gt;"",IF(ISNUMBER(FIND(",",Tabela1[[#This Row],[11]])),LEN(Tabela1[[#This Row],[11]])-LEN(SUBSTITUTE(Tabela1[[#This Row],[11]],",",""))+1,1),"")</f>
        <v/>
      </c>
      <c r="AK374" t="str">
        <f>IF(Tabela1[[#This Row],[12]]&lt;&gt;"",IF(ISNUMBER(FIND(",",Tabela1[[#This Row],[12]])),LEN(Tabela1[[#This Row],[12]])-LEN(SUBSTITUTE(Tabela1[[#This Row],[12]],",",""))+1,1),"")</f>
        <v/>
      </c>
      <c r="AL374" t="str">
        <f>IF(Tabela1[[#This Row],[13]]&lt;&gt;"",IF(ISNUMBER(FIND(",",Tabela1[[#This Row],[13]])),LEN(Tabela1[[#This Row],[13]])-LEN(SUBSTITUTE(Tabela1[[#This Row],[13]],",",""))+1,1),"")</f>
        <v/>
      </c>
      <c r="AM374" t="str">
        <f>IF(Tabela1[[#This Row],[14]]&lt;&gt;"",IF(ISNUMBER(FIND(",",Tabela1[[#This Row],[14]])),LEN(Tabela1[[#This Row],[14]])-LEN(SUBSTITUTE(Tabela1[[#This Row],[14]],",",""))+1,1),"")</f>
        <v/>
      </c>
      <c r="AN374" t="str">
        <f>IF(Tabela1[[#This Row],[15]]&lt;&gt;"",IF(ISNUMBER(FIND(",",Tabela1[[#This Row],[15]])),LEN(Tabela1[[#This Row],[15]])-LEN(SUBSTITUTE(Tabela1[[#This Row],[15]],",",""))+1,1),"")</f>
        <v/>
      </c>
      <c r="AO374" t="str">
        <f>IF(Tabela1[[#This Row],[16]]&lt;&gt;"",IF(ISNUMBER(FIND(",",Tabela1[[#This Row],[16]])),LEN(Tabela1[[#This Row],[16]])-LEN(SUBSTITUTE(Tabela1[[#This Row],[16]],",",""))+1,1),"")</f>
        <v/>
      </c>
      <c r="AP374" t="str">
        <f>IF(Tabela1[[#This Row],[17]]&lt;&gt;"",IF(ISNUMBER(FIND(",",Tabela1[[#This Row],[17]])),LEN(Tabela1[[#This Row],[17]])-LEN(SUBSTITUTE(Tabela1[[#This Row],[17]],",",""))+1,1),"")</f>
        <v/>
      </c>
      <c r="AQ374" t="str">
        <f>IF(Tabela1[[#This Row],[18]]&lt;&gt;"",IF(ISNUMBER(FIND(",",Tabela1[[#This Row],[18]])),LEN(Tabela1[[#This Row],[18]])-LEN(SUBSTITUTE(Tabela1[[#This Row],[18]],",",""))+1,1),"")</f>
        <v/>
      </c>
      <c r="AR374" s="13" t="str">
        <f>IF(Tabela1[[#This Row],[19_LENGTH]]&lt;&gt;"",IF(ISNUMBER(FIND(",",Tabela1[[#This Row],[19_LENGTH]])),LEN(Tabela1[[#This Row],[19_LENGTH]])-LEN(SUBSTITUTE(Tabela1[[#This Row],[19_LENGTH]],",",""))+1,1),"")</f>
        <v/>
      </c>
      <c r="AS374" s="21">
        <f>SUM(Tabela1[[#This Row],[1_]:[19_]])</f>
        <v>2</v>
      </c>
    </row>
    <row r="375" spans="1:45" x14ac:dyDescent="0.25">
      <c r="A375" s="27" t="s">
        <v>1323</v>
      </c>
      <c r="B375" s="19" t="s">
        <v>495</v>
      </c>
      <c r="C375" s="19">
        <v>202</v>
      </c>
      <c r="D375" s="19" t="s">
        <v>1314</v>
      </c>
      <c r="E375" s="20">
        <v>43517</v>
      </c>
      <c r="F375" s="19"/>
      <c r="G375" s="19"/>
      <c r="H375" s="19">
        <v>199</v>
      </c>
      <c r="I375" s="19">
        <v>176</v>
      </c>
      <c r="J375" s="19"/>
      <c r="K375" s="19"/>
      <c r="L375" s="19"/>
      <c r="M375" s="19"/>
      <c r="N375" s="19"/>
      <c r="O375" s="19"/>
      <c r="P375" s="19"/>
      <c r="Q375" s="19"/>
      <c r="R375" s="19"/>
      <c r="S375" s="19"/>
      <c r="T375" s="19"/>
      <c r="U375" s="19"/>
      <c r="V375" s="19"/>
      <c r="W375" s="19"/>
      <c r="X375" s="19"/>
      <c r="Y375" s="19"/>
      <c r="Z375" t="str">
        <f>IF(Tabela1[[#This Row],[1]]&lt;&gt;"",IF(ISNUMBER(FIND(",",Tabela1[[#This Row],[1]])),LEN(Tabela1[[#This Row],[1]])-LEN(SUBSTITUTE(Tabela1[[#This Row],[1]],",",""))+1,1),"")</f>
        <v/>
      </c>
      <c r="AA375" t="str">
        <f>IF(Tabela1[[#This Row],[2]]&lt;&gt;"",IF(ISNUMBER(FIND(",",Tabela1[[#This Row],[2]])),LEN(Tabela1[[#This Row],[2]])-LEN(SUBSTITUTE(Tabela1[[#This Row],[2]],",",""))+1,1),"")</f>
        <v/>
      </c>
      <c r="AB375">
        <f>IF(Tabela1[[#This Row],[3]]&lt;&gt;"",IF(ISNUMBER(FIND(",",Tabela1[[#This Row],[3]])),LEN(Tabela1[[#This Row],[3]])-LEN(SUBSTITUTE(Tabela1[[#This Row],[3]],",",""))+1,1),"")</f>
        <v>1</v>
      </c>
      <c r="AC375">
        <f>IF(Tabela1[[#This Row],[4]]&lt;&gt;"",IF(ISNUMBER(FIND(",",Tabela1[[#This Row],[4]])),LEN(Tabela1[[#This Row],[4]])-LEN(SUBSTITUTE(Tabela1[[#This Row],[4]],",",""))+1,1),"")</f>
        <v>1</v>
      </c>
      <c r="AD375" t="str">
        <f>IF(Tabela1[[#This Row],[5]]&lt;&gt;"",IF(ISNUMBER(FIND(",",Tabela1[[#This Row],[5]])),LEN(Tabela1[[#This Row],[5]])-LEN(SUBSTITUTE(Tabela1[[#This Row],[5]],",",""))+1,1),"")</f>
        <v/>
      </c>
      <c r="AE375" t="str">
        <f>IF(Tabela1[[#This Row],[6]]&lt;&gt;"",IF(ISNUMBER(FIND(",",Tabela1[[#This Row],[6]])),LEN(Tabela1[[#This Row],[6]])-LEN(SUBSTITUTE(Tabela1[[#This Row],[6]],",",""))+1,1),"")</f>
        <v/>
      </c>
      <c r="AF375" t="str">
        <f>IF(Tabela1[[#This Row],[7]]&lt;&gt;"",IF(ISNUMBER(FIND(",",Tabela1[[#This Row],[7]])),LEN(Tabela1[[#This Row],[7]])-LEN(SUBSTITUTE(Tabela1[[#This Row],[7]],",",""))+1,1),"")</f>
        <v/>
      </c>
      <c r="AG375" t="str">
        <f>IF(Tabela1[[#This Row],[8]]&lt;&gt;"",IF(ISNUMBER(FIND(",",Tabela1[[#This Row],[8]])),LEN(Tabela1[[#This Row],[8]])-LEN(SUBSTITUTE(Tabela1[[#This Row],[8]],",",""))+1,1),"")</f>
        <v/>
      </c>
      <c r="AH375" t="str">
        <f>IF(Tabela1[[#This Row],[9]]&lt;&gt;"",IF(ISNUMBER(FIND(",",Tabela1[[#This Row],[9]])),LEN(Tabela1[[#This Row],[9]])-LEN(SUBSTITUTE(Tabela1[[#This Row],[9]],",",""))+1,1),"")</f>
        <v/>
      </c>
      <c r="AI375" t="str">
        <f>IF(Tabela1[[#This Row],[10]]&lt;&gt;"",IF(ISNUMBER(FIND(",",Tabela1[[#This Row],[10]])),LEN(Tabela1[[#This Row],[10]])-LEN(SUBSTITUTE(Tabela1[[#This Row],[10]],",",""))+1,1),"")</f>
        <v/>
      </c>
      <c r="AJ375" t="str">
        <f>IF(Tabela1[[#This Row],[11]]&lt;&gt;"",IF(ISNUMBER(FIND(",",Tabela1[[#This Row],[11]])),LEN(Tabela1[[#This Row],[11]])-LEN(SUBSTITUTE(Tabela1[[#This Row],[11]],",",""))+1,1),"")</f>
        <v/>
      </c>
      <c r="AK375" t="str">
        <f>IF(Tabela1[[#This Row],[12]]&lt;&gt;"",IF(ISNUMBER(FIND(",",Tabela1[[#This Row],[12]])),LEN(Tabela1[[#This Row],[12]])-LEN(SUBSTITUTE(Tabela1[[#This Row],[12]],",",""))+1,1),"")</f>
        <v/>
      </c>
      <c r="AL375" t="str">
        <f>IF(Tabela1[[#This Row],[13]]&lt;&gt;"",IF(ISNUMBER(FIND(",",Tabela1[[#This Row],[13]])),LEN(Tabela1[[#This Row],[13]])-LEN(SUBSTITUTE(Tabela1[[#This Row],[13]],",",""))+1,1),"")</f>
        <v/>
      </c>
      <c r="AM375" t="str">
        <f>IF(Tabela1[[#This Row],[14]]&lt;&gt;"",IF(ISNUMBER(FIND(",",Tabela1[[#This Row],[14]])),LEN(Tabela1[[#This Row],[14]])-LEN(SUBSTITUTE(Tabela1[[#This Row],[14]],",",""))+1,1),"")</f>
        <v/>
      </c>
      <c r="AN375" t="str">
        <f>IF(Tabela1[[#This Row],[15]]&lt;&gt;"",IF(ISNUMBER(FIND(",",Tabela1[[#This Row],[15]])),LEN(Tabela1[[#This Row],[15]])-LEN(SUBSTITUTE(Tabela1[[#This Row],[15]],",",""))+1,1),"")</f>
        <v/>
      </c>
      <c r="AO375" t="str">
        <f>IF(Tabela1[[#This Row],[16]]&lt;&gt;"",IF(ISNUMBER(FIND(",",Tabela1[[#This Row],[16]])),LEN(Tabela1[[#This Row],[16]])-LEN(SUBSTITUTE(Tabela1[[#This Row],[16]],",",""))+1,1),"")</f>
        <v/>
      </c>
      <c r="AP375" t="str">
        <f>IF(Tabela1[[#This Row],[17]]&lt;&gt;"",IF(ISNUMBER(FIND(",",Tabela1[[#This Row],[17]])),LEN(Tabela1[[#This Row],[17]])-LEN(SUBSTITUTE(Tabela1[[#This Row],[17]],",",""))+1,1),"")</f>
        <v/>
      </c>
      <c r="AQ375" t="str">
        <f>IF(Tabela1[[#This Row],[18]]&lt;&gt;"",IF(ISNUMBER(FIND(",",Tabela1[[#This Row],[18]])),LEN(Tabela1[[#This Row],[18]])-LEN(SUBSTITUTE(Tabela1[[#This Row],[18]],",",""))+1,1),"")</f>
        <v/>
      </c>
      <c r="AR375" s="13" t="str">
        <f>IF(Tabela1[[#This Row],[19_LENGTH]]&lt;&gt;"",IF(ISNUMBER(FIND(",",Tabela1[[#This Row],[19_LENGTH]])),LEN(Tabela1[[#This Row],[19_LENGTH]])-LEN(SUBSTITUTE(Tabela1[[#This Row],[19_LENGTH]],",",""))+1,1),"")</f>
        <v/>
      </c>
      <c r="AS375" s="21">
        <f>SUM(Tabela1[[#This Row],[1_]:[19_]])</f>
        <v>2</v>
      </c>
    </row>
    <row r="376" spans="1:45" x14ac:dyDescent="0.25">
      <c r="A376" s="27" t="s">
        <v>1323</v>
      </c>
      <c r="B376" s="19" t="s">
        <v>496</v>
      </c>
      <c r="C376" s="19">
        <v>202</v>
      </c>
      <c r="D376" s="19" t="s">
        <v>1297</v>
      </c>
      <c r="E376" s="20">
        <v>43517</v>
      </c>
      <c r="F376" s="19"/>
      <c r="G376" s="19"/>
      <c r="H376" s="19"/>
      <c r="I376" s="19"/>
      <c r="J376" s="19">
        <v>82</v>
      </c>
      <c r="K376" s="19"/>
      <c r="L376" s="19"/>
      <c r="M376" s="19"/>
      <c r="N376" s="19"/>
      <c r="O376" s="19"/>
      <c r="P376" s="19"/>
      <c r="Q376" s="19"/>
      <c r="R376" s="19"/>
      <c r="S376" s="19"/>
      <c r="T376" s="19"/>
      <c r="U376" s="19">
        <v>123</v>
      </c>
      <c r="V376" s="19"/>
      <c r="W376" s="19"/>
      <c r="X376" s="19"/>
      <c r="Y376" s="19"/>
      <c r="Z376" t="str">
        <f>IF(Tabela1[[#This Row],[1]]&lt;&gt;"",IF(ISNUMBER(FIND(",",Tabela1[[#This Row],[1]])),LEN(Tabela1[[#This Row],[1]])-LEN(SUBSTITUTE(Tabela1[[#This Row],[1]],",",""))+1,1),"")</f>
        <v/>
      </c>
      <c r="AA376" t="str">
        <f>IF(Tabela1[[#This Row],[2]]&lt;&gt;"",IF(ISNUMBER(FIND(",",Tabela1[[#This Row],[2]])),LEN(Tabela1[[#This Row],[2]])-LEN(SUBSTITUTE(Tabela1[[#This Row],[2]],",",""))+1,1),"")</f>
        <v/>
      </c>
      <c r="AB376" t="str">
        <f>IF(Tabela1[[#This Row],[3]]&lt;&gt;"",IF(ISNUMBER(FIND(",",Tabela1[[#This Row],[3]])),LEN(Tabela1[[#This Row],[3]])-LEN(SUBSTITUTE(Tabela1[[#This Row],[3]],",",""))+1,1),"")</f>
        <v/>
      </c>
      <c r="AC376" t="str">
        <f>IF(Tabela1[[#This Row],[4]]&lt;&gt;"",IF(ISNUMBER(FIND(",",Tabela1[[#This Row],[4]])),LEN(Tabela1[[#This Row],[4]])-LEN(SUBSTITUTE(Tabela1[[#This Row],[4]],",",""))+1,1),"")</f>
        <v/>
      </c>
      <c r="AD376">
        <f>IF(Tabela1[[#This Row],[5]]&lt;&gt;"",IF(ISNUMBER(FIND(",",Tabela1[[#This Row],[5]])),LEN(Tabela1[[#This Row],[5]])-LEN(SUBSTITUTE(Tabela1[[#This Row],[5]],",",""))+1,1),"")</f>
        <v>1</v>
      </c>
      <c r="AE376" t="str">
        <f>IF(Tabela1[[#This Row],[6]]&lt;&gt;"",IF(ISNUMBER(FIND(",",Tabela1[[#This Row],[6]])),LEN(Tabela1[[#This Row],[6]])-LEN(SUBSTITUTE(Tabela1[[#This Row],[6]],",",""))+1,1),"")</f>
        <v/>
      </c>
      <c r="AF376" t="str">
        <f>IF(Tabela1[[#This Row],[7]]&lt;&gt;"",IF(ISNUMBER(FIND(",",Tabela1[[#This Row],[7]])),LEN(Tabela1[[#This Row],[7]])-LEN(SUBSTITUTE(Tabela1[[#This Row],[7]],",",""))+1,1),"")</f>
        <v/>
      </c>
      <c r="AG376" t="str">
        <f>IF(Tabela1[[#This Row],[8]]&lt;&gt;"",IF(ISNUMBER(FIND(",",Tabela1[[#This Row],[8]])),LEN(Tabela1[[#This Row],[8]])-LEN(SUBSTITUTE(Tabela1[[#This Row],[8]],",",""))+1,1),"")</f>
        <v/>
      </c>
      <c r="AH376" t="str">
        <f>IF(Tabela1[[#This Row],[9]]&lt;&gt;"",IF(ISNUMBER(FIND(",",Tabela1[[#This Row],[9]])),LEN(Tabela1[[#This Row],[9]])-LEN(SUBSTITUTE(Tabela1[[#This Row],[9]],",",""))+1,1),"")</f>
        <v/>
      </c>
      <c r="AI376" t="str">
        <f>IF(Tabela1[[#This Row],[10]]&lt;&gt;"",IF(ISNUMBER(FIND(",",Tabela1[[#This Row],[10]])),LEN(Tabela1[[#This Row],[10]])-LEN(SUBSTITUTE(Tabela1[[#This Row],[10]],",",""))+1,1),"")</f>
        <v/>
      </c>
      <c r="AJ376" t="str">
        <f>IF(Tabela1[[#This Row],[11]]&lt;&gt;"",IF(ISNUMBER(FIND(",",Tabela1[[#This Row],[11]])),LEN(Tabela1[[#This Row],[11]])-LEN(SUBSTITUTE(Tabela1[[#This Row],[11]],",",""))+1,1),"")</f>
        <v/>
      </c>
      <c r="AK376" t="str">
        <f>IF(Tabela1[[#This Row],[12]]&lt;&gt;"",IF(ISNUMBER(FIND(",",Tabela1[[#This Row],[12]])),LEN(Tabela1[[#This Row],[12]])-LEN(SUBSTITUTE(Tabela1[[#This Row],[12]],",",""))+1,1),"")</f>
        <v/>
      </c>
      <c r="AL376" t="str">
        <f>IF(Tabela1[[#This Row],[13]]&lt;&gt;"",IF(ISNUMBER(FIND(",",Tabela1[[#This Row],[13]])),LEN(Tabela1[[#This Row],[13]])-LEN(SUBSTITUTE(Tabela1[[#This Row],[13]],",",""))+1,1),"")</f>
        <v/>
      </c>
      <c r="AM376" t="str">
        <f>IF(Tabela1[[#This Row],[14]]&lt;&gt;"",IF(ISNUMBER(FIND(",",Tabela1[[#This Row],[14]])),LEN(Tabela1[[#This Row],[14]])-LEN(SUBSTITUTE(Tabela1[[#This Row],[14]],",",""))+1,1),"")</f>
        <v/>
      </c>
      <c r="AN376" t="str">
        <f>IF(Tabela1[[#This Row],[15]]&lt;&gt;"",IF(ISNUMBER(FIND(",",Tabela1[[#This Row],[15]])),LEN(Tabela1[[#This Row],[15]])-LEN(SUBSTITUTE(Tabela1[[#This Row],[15]],",",""))+1,1),"")</f>
        <v/>
      </c>
      <c r="AO376">
        <f>IF(Tabela1[[#This Row],[16]]&lt;&gt;"",IF(ISNUMBER(FIND(",",Tabela1[[#This Row],[16]])),LEN(Tabela1[[#This Row],[16]])-LEN(SUBSTITUTE(Tabela1[[#This Row],[16]],",",""))+1,1),"")</f>
        <v>1</v>
      </c>
      <c r="AP376" t="str">
        <f>IF(Tabela1[[#This Row],[17]]&lt;&gt;"",IF(ISNUMBER(FIND(",",Tabela1[[#This Row],[17]])),LEN(Tabela1[[#This Row],[17]])-LEN(SUBSTITUTE(Tabela1[[#This Row],[17]],",",""))+1,1),"")</f>
        <v/>
      </c>
      <c r="AQ376" t="str">
        <f>IF(Tabela1[[#This Row],[18]]&lt;&gt;"",IF(ISNUMBER(FIND(",",Tabela1[[#This Row],[18]])),LEN(Tabela1[[#This Row],[18]])-LEN(SUBSTITUTE(Tabela1[[#This Row],[18]],",",""))+1,1),"")</f>
        <v/>
      </c>
      <c r="AR376" s="13" t="str">
        <f>IF(Tabela1[[#This Row],[19_LENGTH]]&lt;&gt;"",IF(ISNUMBER(FIND(",",Tabela1[[#This Row],[19_LENGTH]])),LEN(Tabela1[[#This Row],[19_LENGTH]])-LEN(SUBSTITUTE(Tabela1[[#This Row],[19_LENGTH]],",",""))+1,1),"")</f>
        <v/>
      </c>
      <c r="AS376" s="21">
        <f>SUM(Tabela1[[#This Row],[1_]:[19_]])</f>
        <v>2</v>
      </c>
    </row>
    <row r="377" spans="1:45" x14ac:dyDescent="0.25">
      <c r="A377" s="27" t="s">
        <v>1323</v>
      </c>
      <c r="B377" s="19" t="s">
        <v>497</v>
      </c>
      <c r="C377" s="19">
        <v>202</v>
      </c>
      <c r="D377" s="19" t="s">
        <v>1297</v>
      </c>
      <c r="E377" s="20">
        <v>43517</v>
      </c>
      <c r="F377" s="19"/>
      <c r="G377" s="19"/>
      <c r="H377" s="19"/>
      <c r="I377" s="19"/>
      <c r="J377" s="19">
        <v>122</v>
      </c>
      <c r="K377" s="19"/>
      <c r="L377" s="19"/>
      <c r="M377" s="19"/>
      <c r="N377" s="19"/>
      <c r="O377" s="19"/>
      <c r="P377" s="19"/>
      <c r="Q377" s="19"/>
      <c r="R377" s="19"/>
      <c r="S377" s="19"/>
      <c r="T377" s="19"/>
      <c r="U377" s="19"/>
      <c r="V377" s="19"/>
      <c r="W377" s="19"/>
      <c r="X377" s="19"/>
      <c r="Y377" s="19"/>
      <c r="Z377" t="str">
        <f>IF(Tabela1[[#This Row],[1]]&lt;&gt;"",IF(ISNUMBER(FIND(",",Tabela1[[#This Row],[1]])),LEN(Tabela1[[#This Row],[1]])-LEN(SUBSTITUTE(Tabela1[[#This Row],[1]],",",""))+1,1),"")</f>
        <v/>
      </c>
      <c r="AA377" t="str">
        <f>IF(Tabela1[[#This Row],[2]]&lt;&gt;"",IF(ISNUMBER(FIND(",",Tabela1[[#This Row],[2]])),LEN(Tabela1[[#This Row],[2]])-LEN(SUBSTITUTE(Tabela1[[#This Row],[2]],",",""))+1,1),"")</f>
        <v/>
      </c>
      <c r="AB377" t="str">
        <f>IF(Tabela1[[#This Row],[3]]&lt;&gt;"",IF(ISNUMBER(FIND(",",Tabela1[[#This Row],[3]])),LEN(Tabela1[[#This Row],[3]])-LEN(SUBSTITUTE(Tabela1[[#This Row],[3]],",",""))+1,1),"")</f>
        <v/>
      </c>
      <c r="AC377" t="str">
        <f>IF(Tabela1[[#This Row],[4]]&lt;&gt;"",IF(ISNUMBER(FIND(",",Tabela1[[#This Row],[4]])),LEN(Tabela1[[#This Row],[4]])-LEN(SUBSTITUTE(Tabela1[[#This Row],[4]],",",""))+1,1),"")</f>
        <v/>
      </c>
      <c r="AD377">
        <f>IF(Tabela1[[#This Row],[5]]&lt;&gt;"",IF(ISNUMBER(FIND(",",Tabela1[[#This Row],[5]])),LEN(Tabela1[[#This Row],[5]])-LEN(SUBSTITUTE(Tabela1[[#This Row],[5]],",",""))+1,1),"")</f>
        <v>1</v>
      </c>
      <c r="AE377" t="str">
        <f>IF(Tabela1[[#This Row],[6]]&lt;&gt;"",IF(ISNUMBER(FIND(",",Tabela1[[#This Row],[6]])),LEN(Tabela1[[#This Row],[6]])-LEN(SUBSTITUTE(Tabela1[[#This Row],[6]],",",""))+1,1),"")</f>
        <v/>
      </c>
      <c r="AF377" t="str">
        <f>IF(Tabela1[[#This Row],[7]]&lt;&gt;"",IF(ISNUMBER(FIND(",",Tabela1[[#This Row],[7]])),LEN(Tabela1[[#This Row],[7]])-LEN(SUBSTITUTE(Tabela1[[#This Row],[7]],",",""))+1,1),"")</f>
        <v/>
      </c>
      <c r="AG377" t="str">
        <f>IF(Tabela1[[#This Row],[8]]&lt;&gt;"",IF(ISNUMBER(FIND(",",Tabela1[[#This Row],[8]])),LEN(Tabela1[[#This Row],[8]])-LEN(SUBSTITUTE(Tabela1[[#This Row],[8]],",",""))+1,1),"")</f>
        <v/>
      </c>
      <c r="AH377" t="str">
        <f>IF(Tabela1[[#This Row],[9]]&lt;&gt;"",IF(ISNUMBER(FIND(",",Tabela1[[#This Row],[9]])),LEN(Tabela1[[#This Row],[9]])-LEN(SUBSTITUTE(Tabela1[[#This Row],[9]],",",""))+1,1),"")</f>
        <v/>
      </c>
      <c r="AI377" t="str">
        <f>IF(Tabela1[[#This Row],[10]]&lt;&gt;"",IF(ISNUMBER(FIND(",",Tabela1[[#This Row],[10]])),LEN(Tabela1[[#This Row],[10]])-LEN(SUBSTITUTE(Tabela1[[#This Row],[10]],",",""))+1,1),"")</f>
        <v/>
      </c>
      <c r="AJ377" t="str">
        <f>IF(Tabela1[[#This Row],[11]]&lt;&gt;"",IF(ISNUMBER(FIND(",",Tabela1[[#This Row],[11]])),LEN(Tabela1[[#This Row],[11]])-LEN(SUBSTITUTE(Tabela1[[#This Row],[11]],",",""))+1,1),"")</f>
        <v/>
      </c>
      <c r="AK377" t="str">
        <f>IF(Tabela1[[#This Row],[12]]&lt;&gt;"",IF(ISNUMBER(FIND(",",Tabela1[[#This Row],[12]])),LEN(Tabela1[[#This Row],[12]])-LEN(SUBSTITUTE(Tabela1[[#This Row],[12]],",",""))+1,1),"")</f>
        <v/>
      </c>
      <c r="AL377" t="str">
        <f>IF(Tabela1[[#This Row],[13]]&lt;&gt;"",IF(ISNUMBER(FIND(",",Tabela1[[#This Row],[13]])),LEN(Tabela1[[#This Row],[13]])-LEN(SUBSTITUTE(Tabela1[[#This Row],[13]],",",""))+1,1),"")</f>
        <v/>
      </c>
      <c r="AM377" t="str">
        <f>IF(Tabela1[[#This Row],[14]]&lt;&gt;"",IF(ISNUMBER(FIND(",",Tabela1[[#This Row],[14]])),LEN(Tabela1[[#This Row],[14]])-LEN(SUBSTITUTE(Tabela1[[#This Row],[14]],",",""))+1,1),"")</f>
        <v/>
      </c>
      <c r="AN377" t="str">
        <f>IF(Tabela1[[#This Row],[15]]&lt;&gt;"",IF(ISNUMBER(FIND(",",Tabela1[[#This Row],[15]])),LEN(Tabela1[[#This Row],[15]])-LEN(SUBSTITUTE(Tabela1[[#This Row],[15]],",",""))+1,1),"")</f>
        <v/>
      </c>
      <c r="AO377" t="str">
        <f>IF(Tabela1[[#This Row],[16]]&lt;&gt;"",IF(ISNUMBER(FIND(",",Tabela1[[#This Row],[16]])),LEN(Tabela1[[#This Row],[16]])-LEN(SUBSTITUTE(Tabela1[[#This Row],[16]],",",""))+1,1),"")</f>
        <v/>
      </c>
      <c r="AP377" t="str">
        <f>IF(Tabela1[[#This Row],[17]]&lt;&gt;"",IF(ISNUMBER(FIND(",",Tabela1[[#This Row],[17]])),LEN(Tabela1[[#This Row],[17]])-LEN(SUBSTITUTE(Tabela1[[#This Row],[17]],",",""))+1,1),"")</f>
        <v/>
      </c>
      <c r="AQ377" t="str">
        <f>IF(Tabela1[[#This Row],[18]]&lt;&gt;"",IF(ISNUMBER(FIND(",",Tabela1[[#This Row],[18]])),LEN(Tabela1[[#This Row],[18]])-LEN(SUBSTITUTE(Tabela1[[#This Row],[18]],",",""))+1,1),"")</f>
        <v/>
      </c>
      <c r="AR377" s="13" t="str">
        <f>IF(Tabela1[[#This Row],[19_LENGTH]]&lt;&gt;"",IF(ISNUMBER(FIND(",",Tabela1[[#This Row],[19_LENGTH]])),LEN(Tabela1[[#This Row],[19_LENGTH]])-LEN(SUBSTITUTE(Tabela1[[#This Row],[19_LENGTH]],",",""))+1,1),"")</f>
        <v/>
      </c>
      <c r="AS377" s="21">
        <f>SUM(Tabela1[[#This Row],[1_]:[19_]])</f>
        <v>1</v>
      </c>
    </row>
    <row r="378" spans="1:45" x14ac:dyDescent="0.25">
      <c r="A378" s="27" t="s">
        <v>1323</v>
      </c>
      <c r="B378" s="19" t="s">
        <v>814</v>
      </c>
      <c r="C378" s="19">
        <v>202</v>
      </c>
      <c r="D378" s="19" t="s">
        <v>1298</v>
      </c>
      <c r="E378" s="20">
        <v>43517</v>
      </c>
      <c r="F378" s="19"/>
      <c r="G378" s="19"/>
      <c r="H378" s="19" t="s">
        <v>153</v>
      </c>
      <c r="I378" s="19"/>
      <c r="J378" s="19"/>
      <c r="K378" s="19"/>
      <c r="L378" s="19"/>
      <c r="M378" s="19"/>
      <c r="N378" s="19"/>
      <c r="O378" s="19"/>
      <c r="P378" s="19"/>
      <c r="Q378" s="19"/>
      <c r="R378" s="19"/>
      <c r="S378" s="19"/>
      <c r="T378" s="19"/>
      <c r="U378" s="19"/>
      <c r="V378" s="19"/>
      <c r="W378" s="19"/>
      <c r="X378" s="19"/>
      <c r="Y378" s="19"/>
      <c r="Z378" t="str">
        <f>IF(Tabela1[[#This Row],[1]]&lt;&gt;"",IF(ISNUMBER(FIND(",",Tabela1[[#This Row],[1]])),LEN(Tabela1[[#This Row],[1]])-LEN(SUBSTITUTE(Tabela1[[#This Row],[1]],",",""))+1,1),"")</f>
        <v/>
      </c>
      <c r="AA378" t="str">
        <f>IF(Tabela1[[#This Row],[2]]&lt;&gt;"",IF(ISNUMBER(FIND(",",Tabela1[[#This Row],[2]])),LEN(Tabela1[[#This Row],[2]])-LEN(SUBSTITUTE(Tabela1[[#This Row],[2]],",",""))+1,1),"")</f>
        <v/>
      </c>
      <c r="AB378">
        <f>IF(Tabela1[[#This Row],[3]]&lt;&gt;"",IF(ISNUMBER(FIND(",",Tabela1[[#This Row],[3]])),LEN(Tabela1[[#This Row],[3]])-LEN(SUBSTITUTE(Tabela1[[#This Row],[3]],",",""))+1,1),"")</f>
        <v>1</v>
      </c>
      <c r="AC378" t="str">
        <f>IF(Tabela1[[#This Row],[4]]&lt;&gt;"",IF(ISNUMBER(FIND(",",Tabela1[[#This Row],[4]])),LEN(Tabela1[[#This Row],[4]])-LEN(SUBSTITUTE(Tabela1[[#This Row],[4]],",",""))+1,1),"")</f>
        <v/>
      </c>
      <c r="AD378" t="str">
        <f>IF(Tabela1[[#This Row],[5]]&lt;&gt;"",IF(ISNUMBER(FIND(",",Tabela1[[#This Row],[5]])),LEN(Tabela1[[#This Row],[5]])-LEN(SUBSTITUTE(Tabela1[[#This Row],[5]],",",""))+1,1),"")</f>
        <v/>
      </c>
      <c r="AE378" t="str">
        <f>IF(Tabela1[[#This Row],[6]]&lt;&gt;"",IF(ISNUMBER(FIND(",",Tabela1[[#This Row],[6]])),LEN(Tabela1[[#This Row],[6]])-LEN(SUBSTITUTE(Tabela1[[#This Row],[6]],",",""))+1,1),"")</f>
        <v/>
      </c>
      <c r="AF378" t="str">
        <f>IF(Tabela1[[#This Row],[7]]&lt;&gt;"",IF(ISNUMBER(FIND(",",Tabela1[[#This Row],[7]])),LEN(Tabela1[[#This Row],[7]])-LEN(SUBSTITUTE(Tabela1[[#This Row],[7]],",",""))+1,1),"")</f>
        <v/>
      </c>
      <c r="AG378" t="str">
        <f>IF(Tabela1[[#This Row],[8]]&lt;&gt;"",IF(ISNUMBER(FIND(",",Tabela1[[#This Row],[8]])),LEN(Tabela1[[#This Row],[8]])-LEN(SUBSTITUTE(Tabela1[[#This Row],[8]],",",""))+1,1),"")</f>
        <v/>
      </c>
      <c r="AH378" t="str">
        <f>IF(Tabela1[[#This Row],[9]]&lt;&gt;"",IF(ISNUMBER(FIND(",",Tabela1[[#This Row],[9]])),LEN(Tabela1[[#This Row],[9]])-LEN(SUBSTITUTE(Tabela1[[#This Row],[9]],",",""))+1,1),"")</f>
        <v/>
      </c>
      <c r="AI378" t="str">
        <f>IF(Tabela1[[#This Row],[10]]&lt;&gt;"",IF(ISNUMBER(FIND(",",Tabela1[[#This Row],[10]])),LEN(Tabela1[[#This Row],[10]])-LEN(SUBSTITUTE(Tabela1[[#This Row],[10]],",",""))+1,1),"")</f>
        <v/>
      </c>
      <c r="AJ378" t="str">
        <f>IF(Tabela1[[#This Row],[11]]&lt;&gt;"",IF(ISNUMBER(FIND(",",Tabela1[[#This Row],[11]])),LEN(Tabela1[[#This Row],[11]])-LEN(SUBSTITUTE(Tabela1[[#This Row],[11]],",",""))+1,1),"")</f>
        <v/>
      </c>
      <c r="AK378" t="str">
        <f>IF(Tabela1[[#This Row],[12]]&lt;&gt;"",IF(ISNUMBER(FIND(",",Tabela1[[#This Row],[12]])),LEN(Tabela1[[#This Row],[12]])-LEN(SUBSTITUTE(Tabela1[[#This Row],[12]],",",""))+1,1),"")</f>
        <v/>
      </c>
      <c r="AL378" t="str">
        <f>IF(Tabela1[[#This Row],[13]]&lt;&gt;"",IF(ISNUMBER(FIND(",",Tabela1[[#This Row],[13]])),LEN(Tabela1[[#This Row],[13]])-LEN(SUBSTITUTE(Tabela1[[#This Row],[13]],",",""))+1,1),"")</f>
        <v/>
      </c>
      <c r="AM378" t="str">
        <f>IF(Tabela1[[#This Row],[14]]&lt;&gt;"",IF(ISNUMBER(FIND(",",Tabela1[[#This Row],[14]])),LEN(Tabela1[[#This Row],[14]])-LEN(SUBSTITUTE(Tabela1[[#This Row],[14]],",",""))+1,1),"")</f>
        <v/>
      </c>
      <c r="AN378" t="str">
        <f>IF(Tabela1[[#This Row],[15]]&lt;&gt;"",IF(ISNUMBER(FIND(",",Tabela1[[#This Row],[15]])),LEN(Tabela1[[#This Row],[15]])-LEN(SUBSTITUTE(Tabela1[[#This Row],[15]],",",""))+1,1),"")</f>
        <v/>
      </c>
      <c r="AO378" t="str">
        <f>IF(Tabela1[[#This Row],[16]]&lt;&gt;"",IF(ISNUMBER(FIND(",",Tabela1[[#This Row],[16]])),LEN(Tabela1[[#This Row],[16]])-LEN(SUBSTITUTE(Tabela1[[#This Row],[16]],",",""))+1,1),"")</f>
        <v/>
      </c>
      <c r="AP378" t="str">
        <f>IF(Tabela1[[#This Row],[17]]&lt;&gt;"",IF(ISNUMBER(FIND(",",Tabela1[[#This Row],[17]])),LEN(Tabela1[[#This Row],[17]])-LEN(SUBSTITUTE(Tabela1[[#This Row],[17]],",",""))+1,1),"")</f>
        <v/>
      </c>
      <c r="AQ378" t="str">
        <f>IF(Tabela1[[#This Row],[18]]&lt;&gt;"",IF(ISNUMBER(FIND(",",Tabela1[[#This Row],[18]])),LEN(Tabela1[[#This Row],[18]])-LEN(SUBSTITUTE(Tabela1[[#This Row],[18]],",",""))+1,1),"")</f>
        <v/>
      </c>
      <c r="AR378" s="13" t="str">
        <f>IF(Tabela1[[#This Row],[19_LENGTH]]&lt;&gt;"",IF(ISNUMBER(FIND(",",Tabela1[[#This Row],[19_LENGTH]])),LEN(Tabela1[[#This Row],[19_LENGTH]])-LEN(SUBSTITUTE(Tabela1[[#This Row],[19_LENGTH]],",",""))+1,1),"")</f>
        <v/>
      </c>
      <c r="AS378" s="21">
        <f>SUM(Tabela1[[#This Row],[1_]:[19_]])</f>
        <v>1</v>
      </c>
    </row>
    <row r="379" spans="1:45" x14ac:dyDescent="0.25">
      <c r="A379" s="27" t="s">
        <v>1323</v>
      </c>
      <c r="B379" s="19" t="s">
        <v>815</v>
      </c>
      <c r="C379" s="19">
        <v>202</v>
      </c>
      <c r="D379" s="19" t="s">
        <v>1298</v>
      </c>
      <c r="E379" s="20">
        <v>43517</v>
      </c>
      <c r="F379" s="19"/>
      <c r="G379" s="19"/>
      <c r="H379" s="19" t="s">
        <v>154</v>
      </c>
      <c r="I379" s="19"/>
      <c r="J379" s="19"/>
      <c r="K379" s="19"/>
      <c r="L379" s="19"/>
      <c r="M379" s="19">
        <v>187</v>
      </c>
      <c r="N379" s="19"/>
      <c r="O379" s="19"/>
      <c r="P379" s="19"/>
      <c r="Q379" s="19"/>
      <c r="R379" s="19"/>
      <c r="S379" s="19"/>
      <c r="T379" s="19"/>
      <c r="U379" s="19"/>
      <c r="V379" s="19"/>
      <c r="W379" s="19"/>
      <c r="X379" s="19"/>
      <c r="Y379" s="19"/>
      <c r="Z379" t="str">
        <f>IF(Tabela1[[#This Row],[1]]&lt;&gt;"",IF(ISNUMBER(FIND(",",Tabela1[[#This Row],[1]])),LEN(Tabela1[[#This Row],[1]])-LEN(SUBSTITUTE(Tabela1[[#This Row],[1]],",",""))+1,1),"")</f>
        <v/>
      </c>
      <c r="AA379" t="str">
        <f>IF(Tabela1[[#This Row],[2]]&lt;&gt;"",IF(ISNUMBER(FIND(",",Tabela1[[#This Row],[2]])),LEN(Tabela1[[#This Row],[2]])-LEN(SUBSTITUTE(Tabela1[[#This Row],[2]],",",""))+1,1),"")</f>
        <v/>
      </c>
      <c r="AB379">
        <f>IF(Tabela1[[#This Row],[3]]&lt;&gt;"",IF(ISNUMBER(FIND(",",Tabela1[[#This Row],[3]])),LEN(Tabela1[[#This Row],[3]])-LEN(SUBSTITUTE(Tabela1[[#This Row],[3]],",",""))+1,1),"")</f>
        <v>1</v>
      </c>
      <c r="AC379" t="str">
        <f>IF(Tabela1[[#This Row],[4]]&lt;&gt;"",IF(ISNUMBER(FIND(",",Tabela1[[#This Row],[4]])),LEN(Tabela1[[#This Row],[4]])-LEN(SUBSTITUTE(Tabela1[[#This Row],[4]],",",""))+1,1),"")</f>
        <v/>
      </c>
      <c r="AD379" t="str">
        <f>IF(Tabela1[[#This Row],[5]]&lt;&gt;"",IF(ISNUMBER(FIND(",",Tabela1[[#This Row],[5]])),LEN(Tabela1[[#This Row],[5]])-LEN(SUBSTITUTE(Tabela1[[#This Row],[5]],",",""))+1,1),"")</f>
        <v/>
      </c>
      <c r="AE379" t="str">
        <f>IF(Tabela1[[#This Row],[6]]&lt;&gt;"",IF(ISNUMBER(FIND(",",Tabela1[[#This Row],[6]])),LEN(Tabela1[[#This Row],[6]])-LEN(SUBSTITUTE(Tabela1[[#This Row],[6]],",",""))+1,1),"")</f>
        <v/>
      </c>
      <c r="AF379" t="str">
        <f>IF(Tabela1[[#This Row],[7]]&lt;&gt;"",IF(ISNUMBER(FIND(",",Tabela1[[#This Row],[7]])),LEN(Tabela1[[#This Row],[7]])-LEN(SUBSTITUTE(Tabela1[[#This Row],[7]],",",""))+1,1),"")</f>
        <v/>
      </c>
      <c r="AG379">
        <f>IF(Tabela1[[#This Row],[8]]&lt;&gt;"",IF(ISNUMBER(FIND(",",Tabela1[[#This Row],[8]])),LEN(Tabela1[[#This Row],[8]])-LEN(SUBSTITUTE(Tabela1[[#This Row],[8]],",",""))+1,1),"")</f>
        <v>1</v>
      </c>
      <c r="AH379" t="str">
        <f>IF(Tabela1[[#This Row],[9]]&lt;&gt;"",IF(ISNUMBER(FIND(",",Tabela1[[#This Row],[9]])),LEN(Tabela1[[#This Row],[9]])-LEN(SUBSTITUTE(Tabela1[[#This Row],[9]],",",""))+1,1),"")</f>
        <v/>
      </c>
      <c r="AI379" t="str">
        <f>IF(Tabela1[[#This Row],[10]]&lt;&gt;"",IF(ISNUMBER(FIND(",",Tabela1[[#This Row],[10]])),LEN(Tabela1[[#This Row],[10]])-LEN(SUBSTITUTE(Tabela1[[#This Row],[10]],",",""))+1,1),"")</f>
        <v/>
      </c>
      <c r="AJ379" t="str">
        <f>IF(Tabela1[[#This Row],[11]]&lt;&gt;"",IF(ISNUMBER(FIND(",",Tabela1[[#This Row],[11]])),LEN(Tabela1[[#This Row],[11]])-LEN(SUBSTITUTE(Tabela1[[#This Row],[11]],",",""))+1,1),"")</f>
        <v/>
      </c>
      <c r="AK379" t="str">
        <f>IF(Tabela1[[#This Row],[12]]&lt;&gt;"",IF(ISNUMBER(FIND(",",Tabela1[[#This Row],[12]])),LEN(Tabela1[[#This Row],[12]])-LEN(SUBSTITUTE(Tabela1[[#This Row],[12]],",",""))+1,1),"")</f>
        <v/>
      </c>
      <c r="AL379" t="str">
        <f>IF(Tabela1[[#This Row],[13]]&lt;&gt;"",IF(ISNUMBER(FIND(",",Tabela1[[#This Row],[13]])),LEN(Tabela1[[#This Row],[13]])-LEN(SUBSTITUTE(Tabela1[[#This Row],[13]],",",""))+1,1),"")</f>
        <v/>
      </c>
      <c r="AM379" t="str">
        <f>IF(Tabela1[[#This Row],[14]]&lt;&gt;"",IF(ISNUMBER(FIND(",",Tabela1[[#This Row],[14]])),LEN(Tabela1[[#This Row],[14]])-LEN(SUBSTITUTE(Tabela1[[#This Row],[14]],",",""))+1,1),"")</f>
        <v/>
      </c>
      <c r="AN379" t="str">
        <f>IF(Tabela1[[#This Row],[15]]&lt;&gt;"",IF(ISNUMBER(FIND(",",Tabela1[[#This Row],[15]])),LEN(Tabela1[[#This Row],[15]])-LEN(SUBSTITUTE(Tabela1[[#This Row],[15]],",",""))+1,1),"")</f>
        <v/>
      </c>
      <c r="AO379" t="str">
        <f>IF(Tabela1[[#This Row],[16]]&lt;&gt;"",IF(ISNUMBER(FIND(",",Tabela1[[#This Row],[16]])),LEN(Tabela1[[#This Row],[16]])-LEN(SUBSTITUTE(Tabela1[[#This Row],[16]],",",""))+1,1),"")</f>
        <v/>
      </c>
      <c r="AP379" t="str">
        <f>IF(Tabela1[[#This Row],[17]]&lt;&gt;"",IF(ISNUMBER(FIND(",",Tabela1[[#This Row],[17]])),LEN(Tabela1[[#This Row],[17]])-LEN(SUBSTITUTE(Tabela1[[#This Row],[17]],",",""))+1,1),"")</f>
        <v/>
      </c>
      <c r="AQ379" t="str">
        <f>IF(Tabela1[[#This Row],[18]]&lt;&gt;"",IF(ISNUMBER(FIND(",",Tabela1[[#This Row],[18]])),LEN(Tabela1[[#This Row],[18]])-LEN(SUBSTITUTE(Tabela1[[#This Row],[18]],",",""))+1,1),"")</f>
        <v/>
      </c>
      <c r="AR379" s="13" t="str">
        <f>IF(Tabela1[[#This Row],[19_LENGTH]]&lt;&gt;"",IF(ISNUMBER(FIND(",",Tabela1[[#This Row],[19_LENGTH]])),LEN(Tabela1[[#This Row],[19_LENGTH]])-LEN(SUBSTITUTE(Tabela1[[#This Row],[19_LENGTH]],",",""))+1,1),"")</f>
        <v/>
      </c>
      <c r="AS379" s="21">
        <f>SUM(Tabela1[[#This Row],[1_]:[19_]])</f>
        <v>2</v>
      </c>
    </row>
    <row r="380" spans="1:45" x14ac:dyDescent="0.25">
      <c r="A380" s="27" t="s">
        <v>1325</v>
      </c>
      <c r="B380" s="19" t="s">
        <v>498</v>
      </c>
      <c r="C380" s="19">
        <v>209</v>
      </c>
      <c r="D380" s="19" t="s">
        <v>1315</v>
      </c>
      <c r="E380" s="20">
        <v>43517</v>
      </c>
      <c r="F380" s="19"/>
      <c r="G380" s="19"/>
      <c r="H380" s="19"/>
      <c r="I380" s="19">
        <v>96</v>
      </c>
      <c r="J380" s="19"/>
      <c r="K380" s="19"/>
      <c r="L380" s="19"/>
      <c r="M380" s="19"/>
      <c r="N380" s="19"/>
      <c r="O380" s="19"/>
      <c r="P380" s="19"/>
      <c r="Q380" s="19"/>
      <c r="R380" s="19">
        <v>30</v>
      </c>
      <c r="S380" s="19"/>
      <c r="T380" s="19"/>
      <c r="U380" s="19"/>
      <c r="V380" s="19"/>
      <c r="W380" s="19"/>
      <c r="X380" s="19"/>
      <c r="Y380" s="19"/>
      <c r="Z380" t="str">
        <f>IF(Tabela1[[#This Row],[1]]&lt;&gt;"",IF(ISNUMBER(FIND(",",Tabela1[[#This Row],[1]])),LEN(Tabela1[[#This Row],[1]])-LEN(SUBSTITUTE(Tabela1[[#This Row],[1]],",",""))+1,1),"")</f>
        <v/>
      </c>
      <c r="AA380" t="str">
        <f>IF(Tabela1[[#This Row],[2]]&lt;&gt;"",IF(ISNUMBER(FIND(",",Tabela1[[#This Row],[2]])),LEN(Tabela1[[#This Row],[2]])-LEN(SUBSTITUTE(Tabela1[[#This Row],[2]],",",""))+1,1),"")</f>
        <v/>
      </c>
      <c r="AB380" t="str">
        <f>IF(Tabela1[[#This Row],[3]]&lt;&gt;"",IF(ISNUMBER(FIND(",",Tabela1[[#This Row],[3]])),LEN(Tabela1[[#This Row],[3]])-LEN(SUBSTITUTE(Tabela1[[#This Row],[3]],",",""))+1,1),"")</f>
        <v/>
      </c>
      <c r="AC380">
        <f>IF(Tabela1[[#This Row],[4]]&lt;&gt;"",IF(ISNUMBER(FIND(",",Tabela1[[#This Row],[4]])),LEN(Tabela1[[#This Row],[4]])-LEN(SUBSTITUTE(Tabela1[[#This Row],[4]],",",""))+1,1),"")</f>
        <v>1</v>
      </c>
      <c r="AD380" t="str">
        <f>IF(Tabela1[[#This Row],[5]]&lt;&gt;"",IF(ISNUMBER(FIND(",",Tabela1[[#This Row],[5]])),LEN(Tabela1[[#This Row],[5]])-LEN(SUBSTITUTE(Tabela1[[#This Row],[5]],",",""))+1,1),"")</f>
        <v/>
      </c>
      <c r="AE380" t="str">
        <f>IF(Tabela1[[#This Row],[6]]&lt;&gt;"",IF(ISNUMBER(FIND(",",Tabela1[[#This Row],[6]])),LEN(Tabela1[[#This Row],[6]])-LEN(SUBSTITUTE(Tabela1[[#This Row],[6]],",",""))+1,1),"")</f>
        <v/>
      </c>
      <c r="AF380" t="str">
        <f>IF(Tabela1[[#This Row],[7]]&lt;&gt;"",IF(ISNUMBER(FIND(",",Tabela1[[#This Row],[7]])),LEN(Tabela1[[#This Row],[7]])-LEN(SUBSTITUTE(Tabela1[[#This Row],[7]],",",""))+1,1),"")</f>
        <v/>
      </c>
      <c r="AG380" t="str">
        <f>IF(Tabela1[[#This Row],[8]]&lt;&gt;"",IF(ISNUMBER(FIND(",",Tabela1[[#This Row],[8]])),LEN(Tabela1[[#This Row],[8]])-LEN(SUBSTITUTE(Tabela1[[#This Row],[8]],",",""))+1,1),"")</f>
        <v/>
      </c>
      <c r="AH380" t="str">
        <f>IF(Tabela1[[#This Row],[9]]&lt;&gt;"",IF(ISNUMBER(FIND(",",Tabela1[[#This Row],[9]])),LEN(Tabela1[[#This Row],[9]])-LEN(SUBSTITUTE(Tabela1[[#This Row],[9]],",",""))+1,1),"")</f>
        <v/>
      </c>
      <c r="AI380" t="str">
        <f>IF(Tabela1[[#This Row],[10]]&lt;&gt;"",IF(ISNUMBER(FIND(",",Tabela1[[#This Row],[10]])),LEN(Tabela1[[#This Row],[10]])-LEN(SUBSTITUTE(Tabela1[[#This Row],[10]],",",""))+1,1),"")</f>
        <v/>
      </c>
      <c r="AJ380" t="str">
        <f>IF(Tabela1[[#This Row],[11]]&lt;&gt;"",IF(ISNUMBER(FIND(",",Tabela1[[#This Row],[11]])),LEN(Tabela1[[#This Row],[11]])-LEN(SUBSTITUTE(Tabela1[[#This Row],[11]],",",""))+1,1),"")</f>
        <v/>
      </c>
      <c r="AK380" t="str">
        <f>IF(Tabela1[[#This Row],[12]]&lt;&gt;"",IF(ISNUMBER(FIND(",",Tabela1[[#This Row],[12]])),LEN(Tabela1[[#This Row],[12]])-LEN(SUBSTITUTE(Tabela1[[#This Row],[12]],",",""))+1,1),"")</f>
        <v/>
      </c>
      <c r="AL380">
        <f>IF(Tabela1[[#This Row],[13]]&lt;&gt;"",IF(ISNUMBER(FIND(",",Tabela1[[#This Row],[13]])),LEN(Tabela1[[#This Row],[13]])-LEN(SUBSTITUTE(Tabela1[[#This Row],[13]],",",""))+1,1),"")</f>
        <v>1</v>
      </c>
      <c r="AM380" t="str">
        <f>IF(Tabela1[[#This Row],[14]]&lt;&gt;"",IF(ISNUMBER(FIND(",",Tabela1[[#This Row],[14]])),LEN(Tabela1[[#This Row],[14]])-LEN(SUBSTITUTE(Tabela1[[#This Row],[14]],",",""))+1,1),"")</f>
        <v/>
      </c>
      <c r="AN380" t="str">
        <f>IF(Tabela1[[#This Row],[15]]&lt;&gt;"",IF(ISNUMBER(FIND(",",Tabela1[[#This Row],[15]])),LEN(Tabela1[[#This Row],[15]])-LEN(SUBSTITUTE(Tabela1[[#This Row],[15]],",",""))+1,1),"")</f>
        <v/>
      </c>
      <c r="AO380" t="str">
        <f>IF(Tabela1[[#This Row],[16]]&lt;&gt;"",IF(ISNUMBER(FIND(",",Tabela1[[#This Row],[16]])),LEN(Tabela1[[#This Row],[16]])-LEN(SUBSTITUTE(Tabela1[[#This Row],[16]],",",""))+1,1),"")</f>
        <v/>
      </c>
      <c r="AP380" t="str">
        <f>IF(Tabela1[[#This Row],[17]]&lt;&gt;"",IF(ISNUMBER(FIND(",",Tabela1[[#This Row],[17]])),LEN(Tabela1[[#This Row],[17]])-LEN(SUBSTITUTE(Tabela1[[#This Row],[17]],",",""))+1,1),"")</f>
        <v/>
      </c>
      <c r="AQ380" t="str">
        <f>IF(Tabela1[[#This Row],[18]]&lt;&gt;"",IF(ISNUMBER(FIND(",",Tabela1[[#This Row],[18]])),LEN(Tabela1[[#This Row],[18]])-LEN(SUBSTITUTE(Tabela1[[#This Row],[18]],",",""))+1,1),"")</f>
        <v/>
      </c>
      <c r="AR380" s="13" t="str">
        <f>IF(Tabela1[[#This Row],[19_LENGTH]]&lt;&gt;"",IF(ISNUMBER(FIND(",",Tabela1[[#This Row],[19_LENGTH]])),LEN(Tabela1[[#This Row],[19_LENGTH]])-LEN(SUBSTITUTE(Tabela1[[#This Row],[19_LENGTH]],",",""))+1,1),"")</f>
        <v/>
      </c>
      <c r="AS380" s="21">
        <f>SUM(Tabela1[[#This Row],[1_]:[19_]])</f>
        <v>2</v>
      </c>
    </row>
    <row r="381" spans="1:45" x14ac:dyDescent="0.25">
      <c r="A381" s="27" t="s">
        <v>1325</v>
      </c>
      <c r="B381" s="19" t="s">
        <v>499</v>
      </c>
      <c r="C381" s="19">
        <v>202</v>
      </c>
      <c r="D381" s="19" t="s">
        <v>1315</v>
      </c>
      <c r="E381" s="20">
        <v>43517</v>
      </c>
      <c r="F381" s="19"/>
      <c r="G381" s="19"/>
      <c r="H381" s="19"/>
      <c r="I381" s="19" t="s">
        <v>155</v>
      </c>
      <c r="J381" s="19"/>
      <c r="K381" s="19"/>
      <c r="L381" s="19"/>
      <c r="M381" s="19"/>
      <c r="N381" s="19"/>
      <c r="O381" s="19"/>
      <c r="P381" s="19"/>
      <c r="Q381" s="19"/>
      <c r="R381" s="19"/>
      <c r="S381" s="19"/>
      <c r="T381" s="19"/>
      <c r="U381" s="19"/>
      <c r="V381" s="19"/>
      <c r="W381" s="19">
        <v>181</v>
      </c>
      <c r="X381" s="19"/>
      <c r="Y381" s="19"/>
      <c r="Z381" t="str">
        <f>IF(Tabela1[[#This Row],[1]]&lt;&gt;"",IF(ISNUMBER(FIND(",",Tabela1[[#This Row],[1]])),LEN(Tabela1[[#This Row],[1]])-LEN(SUBSTITUTE(Tabela1[[#This Row],[1]],",",""))+1,1),"")</f>
        <v/>
      </c>
      <c r="AA381" t="str">
        <f>IF(Tabela1[[#This Row],[2]]&lt;&gt;"",IF(ISNUMBER(FIND(",",Tabela1[[#This Row],[2]])),LEN(Tabela1[[#This Row],[2]])-LEN(SUBSTITUTE(Tabela1[[#This Row],[2]],",",""))+1,1),"")</f>
        <v/>
      </c>
      <c r="AB381" t="str">
        <f>IF(Tabela1[[#This Row],[3]]&lt;&gt;"",IF(ISNUMBER(FIND(",",Tabela1[[#This Row],[3]])),LEN(Tabela1[[#This Row],[3]])-LEN(SUBSTITUTE(Tabela1[[#This Row],[3]],",",""))+1,1),"")</f>
        <v/>
      </c>
      <c r="AC381">
        <f>IF(Tabela1[[#This Row],[4]]&lt;&gt;"",IF(ISNUMBER(FIND(",",Tabela1[[#This Row],[4]])),LEN(Tabela1[[#This Row],[4]])-LEN(SUBSTITUTE(Tabela1[[#This Row],[4]],",",""))+1,1),"")</f>
        <v>2</v>
      </c>
      <c r="AD381" t="str">
        <f>IF(Tabela1[[#This Row],[5]]&lt;&gt;"",IF(ISNUMBER(FIND(",",Tabela1[[#This Row],[5]])),LEN(Tabela1[[#This Row],[5]])-LEN(SUBSTITUTE(Tabela1[[#This Row],[5]],",",""))+1,1),"")</f>
        <v/>
      </c>
      <c r="AE381" t="str">
        <f>IF(Tabela1[[#This Row],[6]]&lt;&gt;"",IF(ISNUMBER(FIND(",",Tabela1[[#This Row],[6]])),LEN(Tabela1[[#This Row],[6]])-LEN(SUBSTITUTE(Tabela1[[#This Row],[6]],",",""))+1,1),"")</f>
        <v/>
      </c>
      <c r="AF381" t="str">
        <f>IF(Tabela1[[#This Row],[7]]&lt;&gt;"",IF(ISNUMBER(FIND(",",Tabela1[[#This Row],[7]])),LEN(Tabela1[[#This Row],[7]])-LEN(SUBSTITUTE(Tabela1[[#This Row],[7]],",",""))+1,1),"")</f>
        <v/>
      </c>
      <c r="AG381" t="str">
        <f>IF(Tabela1[[#This Row],[8]]&lt;&gt;"",IF(ISNUMBER(FIND(",",Tabela1[[#This Row],[8]])),LEN(Tabela1[[#This Row],[8]])-LEN(SUBSTITUTE(Tabela1[[#This Row],[8]],",",""))+1,1),"")</f>
        <v/>
      </c>
      <c r="AH381" t="str">
        <f>IF(Tabela1[[#This Row],[9]]&lt;&gt;"",IF(ISNUMBER(FIND(",",Tabela1[[#This Row],[9]])),LEN(Tabela1[[#This Row],[9]])-LEN(SUBSTITUTE(Tabela1[[#This Row],[9]],",",""))+1,1),"")</f>
        <v/>
      </c>
      <c r="AI381" t="str">
        <f>IF(Tabela1[[#This Row],[10]]&lt;&gt;"",IF(ISNUMBER(FIND(",",Tabela1[[#This Row],[10]])),LEN(Tabela1[[#This Row],[10]])-LEN(SUBSTITUTE(Tabela1[[#This Row],[10]],",",""))+1,1),"")</f>
        <v/>
      </c>
      <c r="AJ381" t="str">
        <f>IF(Tabela1[[#This Row],[11]]&lt;&gt;"",IF(ISNUMBER(FIND(",",Tabela1[[#This Row],[11]])),LEN(Tabela1[[#This Row],[11]])-LEN(SUBSTITUTE(Tabela1[[#This Row],[11]],",",""))+1,1),"")</f>
        <v/>
      </c>
      <c r="AK381" t="str">
        <f>IF(Tabela1[[#This Row],[12]]&lt;&gt;"",IF(ISNUMBER(FIND(",",Tabela1[[#This Row],[12]])),LEN(Tabela1[[#This Row],[12]])-LEN(SUBSTITUTE(Tabela1[[#This Row],[12]],",",""))+1,1),"")</f>
        <v/>
      </c>
      <c r="AL381" t="str">
        <f>IF(Tabela1[[#This Row],[13]]&lt;&gt;"",IF(ISNUMBER(FIND(",",Tabela1[[#This Row],[13]])),LEN(Tabela1[[#This Row],[13]])-LEN(SUBSTITUTE(Tabela1[[#This Row],[13]],",",""))+1,1),"")</f>
        <v/>
      </c>
      <c r="AM381" t="str">
        <f>IF(Tabela1[[#This Row],[14]]&lt;&gt;"",IF(ISNUMBER(FIND(",",Tabela1[[#This Row],[14]])),LEN(Tabela1[[#This Row],[14]])-LEN(SUBSTITUTE(Tabela1[[#This Row],[14]],",",""))+1,1),"")</f>
        <v/>
      </c>
      <c r="AN381" t="str">
        <f>IF(Tabela1[[#This Row],[15]]&lt;&gt;"",IF(ISNUMBER(FIND(",",Tabela1[[#This Row],[15]])),LEN(Tabela1[[#This Row],[15]])-LEN(SUBSTITUTE(Tabela1[[#This Row],[15]],",",""))+1,1),"")</f>
        <v/>
      </c>
      <c r="AO381" t="str">
        <f>IF(Tabela1[[#This Row],[16]]&lt;&gt;"",IF(ISNUMBER(FIND(",",Tabela1[[#This Row],[16]])),LEN(Tabela1[[#This Row],[16]])-LEN(SUBSTITUTE(Tabela1[[#This Row],[16]],",",""))+1,1),"")</f>
        <v/>
      </c>
      <c r="AP381" t="str">
        <f>IF(Tabela1[[#This Row],[17]]&lt;&gt;"",IF(ISNUMBER(FIND(",",Tabela1[[#This Row],[17]])),LEN(Tabela1[[#This Row],[17]])-LEN(SUBSTITUTE(Tabela1[[#This Row],[17]],",",""))+1,1),"")</f>
        <v/>
      </c>
      <c r="AQ381">
        <f>IF(Tabela1[[#This Row],[18]]&lt;&gt;"",IF(ISNUMBER(FIND(",",Tabela1[[#This Row],[18]])),LEN(Tabela1[[#This Row],[18]])-LEN(SUBSTITUTE(Tabela1[[#This Row],[18]],",",""))+1,1),"")</f>
        <v>1</v>
      </c>
      <c r="AR381" s="13" t="str">
        <f>IF(Tabela1[[#This Row],[19_LENGTH]]&lt;&gt;"",IF(ISNUMBER(FIND(",",Tabela1[[#This Row],[19_LENGTH]])),LEN(Tabela1[[#This Row],[19_LENGTH]])-LEN(SUBSTITUTE(Tabela1[[#This Row],[19_LENGTH]],",",""))+1,1),"")</f>
        <v/>
      </c>
      <c r="AS381" s="21">
        <f>SUM(Tabela1[[#This Row],[1_]:[19_]])</f>
        <v>3</v>
      </c>
    </row>
    <row r="382" spans="1:45" x14ac:dyDescent="0.25">
      <c r="A382" s="27" t="s">
        <v>1323</v>
      </c>
      <c r="B382" s="19" t="s">
        <v>929</v>
      </c>
      <c r="C382" s="19">
        <v>166</v>
      </c>
      <c r="D382" s="19" t="s">
        <v>1315</v>
      </c>
      <c r="E382" s="20">
        <v>43517</v>
      </c>
      <c r="F382" s="19"/>
      <c r="G382" s="19"/>
      <c r="H382" s="19"/>
      <c r="I382" s="19"/>
      <c r="J382" s="19"/>
      <c r="K382" s="19"/>
      <c r="L382" s="19"/>
      <c r="M382" s="19"/>
      <c r="N382" s="19"/>
      <c r="O382" s="19"/>
      <c r="P382" s="19"/>
      <c r="Q382" s="19"/>
      <c r="R382" s="19"/>
      <c r="S382" s="19"/>
      <c r="T382" s="19"/>
      <c r="U382" s="19" t="s">
        <v>156</v>
      </c>
      <c r="V382" s="19"/>
      <c r="W382" s="19"/>
      <c r="X382" s="19"/>
      <c r="Y382" s="19"/>
      <c r="Z382" t="str">
        <f>IF(Tabela1[[#This Row],[1]]&lt;&gt;"",IF(ISNUMBER(FIND(",",Tabela1[[#This Row],[1]])),LEN(Tabela1[[#This Row],[1]])-LEN(SUBSTITUTE(Tabela1[[#This Row],[1]],",",""))+1,1),"")</f>
        <v/>
      </c>
      <c r="AA382" t="str">
        <f>IF(Tabela1[[#This Row],[2]]&lt;&gt;"",IF(ISNUMBER(FIND(",",Tabela1[[#This Row],[2]])),LEN(Tabela1[[#This Row],[2]])-LEN(SUBSTITUTE(Tabela1[[#This Row],[2]],",",""))+1,1),"")</f>
        <v/>
      </c>
      <c r="AB382" t="str">
        <f>IF(Tabela1[[#This Row],[3]]&lt;&gt;"",IF(ISNUMBER(FIND(",",Tabela1[[#This Row],[3]])),LEN(Tabela1[[#This Row],[3]])-LEN(SUBSTITUTE(Tabela1[[#This Row],[3]],",",""))+1,1),"")</f>
        <v/>
      </c>
      <c r="AC382" t="str">
        <f>IF(Tabela1[[#This Row],[4]]&lt;&gt;"",IF(ISNUMBER(FIND(",",Tabela1[[#This Row],[4]])),LEN(Tabela1[[#This Row],[4]])-LEN(SUBSTITUTE(Tabela1[[#This Row],[4]],",",""))+1,1),"")</f>
        <v/>
      </c>
      <c r="AD382" t="str">
        <f>IF(Tabela1[[#This Row],[5]]&lt;&gt;"",IF(ISNUMBER(FIND(",",Tabela1[[#This Row],[5]])),LEN(Tabela1[[#This Row],[5]])-LEN(SUBSTITUTE(Tabela1[[#This Row],[5]],",",""))+1,1),"")</f>
        <v/>
      </c>
      <c r="AE382" t="str">
        <f>IF(Tabela1[[#This Row],[6]]&lt;&gt;"",IF(ISNUMBER(FIND(",",Tabela1[[#This Row],[6]])),LEN(Tabela1[[#This Row],[6]])-LEN(SUBSTITUTE(Tabela1[[#This Row],[6]],",",""))+1,1),"")</f>
        <v/>
      </c>
      <c r="AF382" t="str">
        <f>IF(Tabela1[[#This Row],[7]]&lt;&gt;"",IF(ISNUMBER(FIND(",",Tabela1[[#This Row],[7]])),LEN(Tabela1[[#This Row],[7]])-LEN(SUBSTITUTE(Tabela1[[#This Row],[7]],",",""))+1,1),"")</f>
        <v/>
      </c>
      <c r="AG382" t="str">
        <f>IF(Tabela1[[#This Row],[8]]&lt;&gt;"",IF(ISNUMBER(FIND(",",Tabela1[[#This Row],[8]])),LEN(Tabela1[[#This Row],[8]])-LEN(SUBSTITUTE(Tabela1[[#This Row],[8]],",",""))+1,1),"")</f>
        <v/>
      </c>
      <c r="AH382" t="str">
        <f>IF(Tabela1[[#This Row],[9]]&lt;&gt;"",IF(ISNUMBER(FIND(",",Tabela1[[#This Row],[9]])),LEN(Tabela1[[#This Row],[9]])-LEN(SUBSTITUTE(Tabela1[[#This Row],[9]],",",""))+1,1),"")</f>
        <v/>
      </c>
      <c r="AI382" t="str">
        <f>IF(Tabela1[[#This Row],[10]]&lt;&gt;"",IF(ISNUMBER(FIND(",",Tabela1[[#This Row],[10]])),LEN(Tabela1[[#This Row],[10]])-LEN(SUBSTITUTE(Tabela1[[#This Row],[10]],",",""))+1,1),"")</f>
        <v/>
      </c>
      <c r="AJ382" t="str">
        <f>IF(Tabela1[[#This Row],[11]]&lt;&gt;"",IF(ISNUMBER(FIND(",",Tabela1[[#This Row],[11]])),LEN(Tabela1[[#This Row],[11]])-LEN(SUBSTITUTE(Tabela1[[#This Row],[11]],",",""))+1,1),"")</f>
        <v/>
      </c>
      <c r="AK382" t="str">
        <f>IF(Tabela1[[#This Row],[12]]&lt;&gt;"",IF(ISNUMBER(FIND(",",Tabela1[[#This Row],[12]])),LEN(Tabela1[[#This Row],[12]])-LEN(SUBSTITUTE(Tabela1[[#This Row],[12]],",",""))+1,1),"")</f>
        <v/>
      </c>
      <c r="AL382" t="str">
        <f>IF(Tabela1[[#This Row],[13]]&lt;&gt;"",IF(ISNUMBER(FIND(",",Tabela1[[#This Row],[13]])),LEN(Tabela1[[#This Row],[13]])-LEN(SUBSTITUTE(Tabela1[[#This Row],[13]],",",""))+1,1),"")</f>
        <v/>
      </c>
      <c r="AM382" t="str">
        <f>IF(Tabela1[[#This Row],[14]]&lt;&gt;"",IF(ISNUMBER(FIND(",",Tabela1[[#This Row],[14]])),LEN(Tabela1[[#This Row],[14]])-LEN(SUBSTITUTE(Tabela1[[#This Row],[14]],",",""))+1,1),"")</f>
        <v/>
      </c>
      <c r="AN382" t="str">
        <f>IF(Tabela1[[#This Row],[15]]&lt;&gt;"",IF(ISNUMBER(FIND(",",Tabela1[[#This Row],[15]])),LEN(Tabela1[[#This Row],[15]])-LEN(SUBSTITUTE(Tabela1[[#This Row],[15]],",",""))+1,1),"")</f>
        <v/>
      </c>
      <c r="AO382">
        <f>IF(Tabela1[[#This Row],[16]]&lt;&gt;"",IF(ISNUMBER(FIND(",",Tabela1[[#This Row],[16]])),LEN(Tabela1[[#This Row],[16]])-LEN(SUBSTITUTE(Tabela1[[#This Row],[16]],",",""))+1,1),"")</f>
        <v>2</v>
      </c>
      <c r="AP382" t="str">
        <f>IF(Tabela1[[#This Row],[17]]&lt;&gt;"",IF(ISNUMBER(FIND(",",Tabela1[[#This Row],[17]])),LEN(Tabela1[[#This Row],[17]])-LEN(SUBSTITUTE(Tabela1[[#This Row],[17]],",",""))+1,1),"")</f>
        <v/>
      </c>
      <c r="AQ382" t="str">
        <f>IF(Tabela1[[#This Row],[18]]&lt;&gt;"",IF(ISNUMBER(FIND(",",Tabela1[[#This Row],[18]])),LEN(Tabela1[[#This Row],[18]])-LEN(SUBSTITUTE(Tabela1[[#This Row],[18]],",",""))+1,1),"")</f>
        <v/>
      </c>
      <c r="AR382" s="13" t="str">
        <f>IF(Tabela1[[#This Row],[19_LENGTH]]&lt;&gt;"",IF(ISNUMBER(FIND(",",Tabela1[[#This Row],[19_LENGTH]])),LEN(Tabela1[[#This Row],[19_LENGTH]])-LEN(SUBSTITUTE(Tabela1[[#This Row],[19_LENGTH]],",",""))+1,1),"")</f>
        <v/>
      </c>
      <c r="AS382" s="21">
        <f>SUM(Tabela1[[#This Row],[1_]:[19_]])</f>
        <v>2</v>
      </c>
    </row>
    <row r="383" spans="1:45" x14ac:dyDescent="0.25">
      <c r="A383" s="27" t="s">
        <v>1325</v>
      </c>
      <c r="B383" s="19" t="s">
        <v>500</v>
      </c>
      <c r="C383" s="19">
        <v>202</v>
      </c>
      <c r="D383" s="19" t="s">
        <v>1315</v>
      </c>
      <c r="E383" s="20">
        <v>43517</v>
      </c>
      <c r="F383" s="19"/>
      <c r="G383" s="19">
        <v>84</v>
      </c>
      <c r="H383" s="19"/>
      <c r="I383" s="19"/>
      <c r="J383" s="19"/>
      <c r="K383" s="19"/>
      <c r="L383" s="19"/>
      <c r="M383" s="19"/>
      <c r="N383" s="19"/>
      <c r="O383" s="19"/>
      <c r="P383" s="19"/>
      <c r="Q383" s="19"/>
      <c r="R383" s="19"/>
      <c r="S383" s="19"/>
      <c r="T383" s="19"/>
      <c r="U383" s="19">
        <v>148</v>
      </c>
      <c r="V383" s="19"/>
      <c r="W383" s="19"/>
      <c r="X383" s="19"/>
      <c r="Y383" s="19"/>
      <c r="Z383" t="str">
        <f>IF(Tabela1[[#This Row],[1]]&lt;&gt;"",IF(ISNUMBER(FIND(",",Tabela1[[#This Row],[1]])),LEN(Tabela1[[#This Row],[1]])-LEN(SUBSTITUTE(Tabela1[[#This Row],[1]],",",""))+1,1),"")</f>
        <v/>
      </c>
      <c r="AA383">
        <f>IF(Tabela1[[#This Row],[2]]&lt;&gt;"",IF(ISNUMBER(FIND(",",Tabela1[[#This Row],[2]])),LEN(Tabela1[[#This Row],[2]])-LEN(SUBSTITUTE(Tabela1[[#This Row],[2]],",",""))+1,1),"")</f>
        <v>1</v>
      </c>
      <c r="AB383" t="str">
        <f>IF(Tabela1[[#This Row],[3]]&lt;&gt;"",IF(ISNUMBER(FIND(",",Tabela1[[#This Row],[3]])),LEN(Tabela1[[#This Row],[3]])-LEN(SUBSTITUTE(Tabela1[[#This Row],[3]],",",""))+1,1),"")</f>
        <v/>
      </c>
      <c r="AC383" t="str">
        <f>IF(Tabela1[[#This Row],[4]]&lt;&gt;"",IF(ISNUMBER(FIND(",",Tabela1[[#This Row],[4]])),LEN(Tabela1[[#This Row],[4]])-LEN(SUBSTITUTE(Tabela1[[#This Row],[4]],",",""))+1,1),"")</f>
        <v/>
      </c>
      <c r="AD383" t="str">
        <f>IF(Tabela1[[#This Row],[5]]&lt;&gt;"",IF(ISNUMBER(FIND(",",Tabela1[[#This Row],[5]])),LEN(Tabela1[[#This Row],[5]])-LEN(SUBSTITUTE(Tabela1[[#This Row],[5]],",",""))+1,1),"")</f>
        <v/>
      </c>
      <c r="AE383" t="str">
        <f>IF(Tabela1[[#This Row],[6]]&lt;&gt;"",IF(ISNUMBER(FIND(",",Tabela1[[#This Row],[6]])),LEN(Tabela1[[#This Row],[6]])-LEN(SUBSTITUTE(Tabela1[[#This Row],[6]],",",""))+1,1),"")</f>
        <v/>
      </c>
      <c r="AF383" t="str">
        <f>IF(Tabela1[[#This Row],[7]]&lt;&gt;"",IF(ISNUMBER(FIND(",",Tabela1[[#This Row],[7]])),LEN(Tabela1[[#This Row],[7]])-LEN(SUBSTITUTE(Tabela1[[#This Row],[7]],",",""))+1,1),"")</f>
        <v/>
      </c>
      <c r="AG383" t="str">
        <f>IF(Tabela1[[#This Row],[8]]&lt;&gt;"",IF(ISNUMBER(FIND(",",Tabela1[[#This Row],[8]])),LEN(Tabela1[[#This Row],[8]])-LEN(SUBSTITUTE(Tabela1[[#This Row],[8]],",",""))+1,1),"")</f>
        <v/>
      </c>
      <c r="AH383" t="str">
        <f>IF(Tabela1[[#This Row],[9]]&lt;&gt;"",IF(ISNUMBER(FIND(",",Tabela1[[#This Row],[9]])),LEN(Tabela1[[#This Row],[9]])-LEN(SUBSTITUTE(Tabela1[[#This Row],[9]],",",""))+1,1),"")</f>
        <v/>
      </c>
      <c r="AI383" t="str">
        <f>IF(Tabela1[[#This Row],[10]]&lt;&gt;"",IF(ISNUMBER(FIND(",",Tabela1[[#This Row],[10]])),LEN(Tabela1[[#This Row],[10]])-LEN(SUBSTITUTE(Tabela1[[#This Row],[10]],",",""))+1,1),"")</f>
        <v/>
      </c>
      <c r="AJ383" t="str">
        <f>IF(Tabela1[[#This Row],[11]]&lt;&gt;"",IF(ISNUMBER(FIND(",",Tabela1[[#This Row],[11]])),LEN(Tabela1[[#This Row],[11]])-LEN(SUBSTITUTE(Tabela1[[#This Row],[11]],",",""))+1,1),"")</f>
        <v/>
      </c>
      <c r="AK383" t="str">
        <f>IF(Tabela1[[#This Row],[12]]&lt;&gt;"",IF(ISNUMBER(FIND(",",Tabela1[[#This Row],[12]])),LEN(Tabela1[[#This Row],[12]])-LEN(SUBSTITUTE(Tabela1[[#This Row],[12]],",",""))+1,1),"")</f>
        <v/>
      </c>
      <c r="AL383" t="str">
        <f>IF(Tabela1[[#This Row],[13]]&lt;&gt;"",IF(ISNUMBER(FIND(",",Tabela1[[#This Row],[13]])),LEN(Tabela1[[#This Row],[13]])-LEN(SUBSTITUTE(Tabela1[[#This Row],[13]],",",""))+1,1),"")</f>
        <v/>
      </c>
      <c r="AM383" t="str">
        <f>IF(Tabela1[[#This Row],[14]]&lt;&gt;"",IF(ISNUMBER(FIND(",",Tabela1[[#This Row],[14]])),LEN(Tabela1[[#This Row],[14]])-LEN(SUBSTITUTE(Tabela1[[#This Row],[14]],",",""))+1,1),"")</f>
        <v/>
      </c>
      <c r="AN383" t="str">
        <f>IF(Tabela1[[#This Row],[15]]&lt;&gt;"",IF(ISNUMBER(FIND(",",Tabela1[[#This Row],[15]])),LEN(Tabela1[[#This Row],[15]])-LEN(SUBSTITUTE(Tabela1[[#This Row],[15]],",",""))+1,1),"")</f>
        <v/>
      </c>
      <c r="AO383">
        <f>IF(Tabela1[[#This Row],[16]]&lt;&gt;"",IF(ISNUMBER(FIND(",",Tabela1[[#This Row],[16]])),LEN(Tabela1[[#This Row],[16]])-LEN(SUBSTITUTE(Tabela1[[#This Row],[16]],",",""))+1,1),"")</f>
        <v>1</v>
      </c>
      <c r="AP383" t="str">
        <f>IF(Tabela1[[#This Row],[17]]&lt;&gt;"",IF(ISNUMBER(FIND(",",Tabela1[[#This Row],[17]])),LEN(Tabela1[[#This Row],[17]])-LEN(SUBSTITUTE(Tabela1[[#This Row],[17]],",",""))+1,1),"")</f>
        <v/>
      </c>
      <c r="AQ383" t="str">
        <f>IF(Tabela1[[#This Row],[18]]&lt;&gt;"",IF(ISNUMBER(FIND(",",Tabela1[[#This Row],[18]])),LEN(Tabela1[[#This Row],[18]])-LEN(SUBSTITUTE(Tabela1[[#This Row],[18]],",",""))+1,1),"")</f>
        <v/>
      </c>
      <c r="AR383" s="13" t="str">
        <f>IF(Tabela1[[#This Row],[19_LENGTH]]&lt;&gt;"",IF(ISNUMBER(FIND(",",Tabela1[[#This Row],[19_LENGTH]])),LEN(Tabela1[[#This Row],[19_LENGTH]])-LEN(SUBSTITUTE(Tabela1[[#This Row],[19_LENGTH]],",",""))+1,1),"")</f>
        <v/>
      </c>
      <c r="AS383" s="21">
        <f>SUM(Tabela1[[#This Row],[1_]:[19_]])</f>
        <v>2</v>
      </c>
    </row>
    <row r="384" spans="1:45" x14ac:dyDescent="0.25">
      <c r="A384" s="27" t="s">
        <v>1323</v>
      </c>
      <c r="B384" s="19" t="s">
        <v>501</v>
      </c>
      <c r="C384" s="19">
        <v>202</v>
      </c>
      <c r="D384" s="19" t="s">
        <v>1315</v>
      </c>
      <c r="E384" s="20">
        <v>43517</v>
      </c>
      <c r="F384" s="19"/>
      <c r="G384" s="19" t="s">
        <v>157</v>
      </c>
      <c r="H384" s="19"/>
      <c r="I384" s="19" t="s">
        <v>158</v>
      </c>
      <c r="J384" s="19"/>
      <c r="K384" s="19"/>
      <c r="L384" s="19"/>
      <c r="M384" s="19"/>
      <c r="N384" s="19"/>
      <c r="O384" s="19"/>
      <c r="P384" s="19"/>
      <c r="Q384" s="19"/>
      <c r="R384" s="19"/>
      <c r="S384" s="19"/>
      <c r="T384" s="19"/>
      <c r="U384" s="19"/>
      <c r="V384" s="19"/>
      <c r="W384" s="19"/>
      <c r="X384" s="19"/>
      <c r="Y384" s="19"/>
      <c r="Z384" t="str">
        <f>IF(Tabela1[[#This Row],[1]]&lt;&gt;"",IF(ISNUMBER(FIND(",",Tabela1[[#This Row],[1]])),LEN(Tabela1[[#This Row],[1]])-LEN(SUBSTITUTE(Tabela1[[#This Row],[1]],",",""))+1,1),"")</f>
        <v/>
      </c>
      <c r="AA384">
        <f>IF(Tabela1[[#This Row],[2]]&lt;&gt;"",IF(ISNUMBER(FIND(",",Tabela1[[#This Row],[2]])),LEN(Tabela1[[#This Row],[2]])-LEN(SUBSTITUTE(Tabela1[[#This Row],[2]],",",""))+1,1),"")</f>
        <v>2</v>
      </c>
      <c r="AB384" t="str">
        <f>IF(Tabela1[[#This Row],[3]]&lt;&gt;"",IF(ISNUMBER(FIND(",",Tabela1[[#This Row],[3]])),LEN(Tabela1[[#This Row],[3]])-LEN(SUBSTITUTE(Tabela1[[#This Row],[3]],",",""))+1,1),"")</f>
        <v/>
      </c>
      <c r="AC384">
        <f>IF(Tabela1[[#This Row],[4]]&lt;&gt;"",IF(ISNUMBER(FIND(",",Tabela1[[#This Row],[4]])),LEN(Tabela1[[#This Row],[4]])-LEN(SUBSTITUTE(Tabela1[[#This Row],[4]],",",""))+1,1),"")</f>
        <v>4</v>
      </c>
      <c r="AD384" t="str">
        <f>IF(Tabela1[[#This Row],[5]]&lt;&gt;"",IF(ISNUMBER(FIND(",",Tabela1[[#This Row],[5]])),LEN(Tabela1[[#This Row],[5]])-LEN(SUBSTITUTE(Tabela1[[#This Row],[5]],",",""))+1,1),"")</f>
        <v/>
      </c>
      <c r="AE384" t="str">
        <f>IF(Tabela1[[#This Row],[6]]&lt;&gt;"",IF(ISNUMBER(FIND(",",Tabela1[[#This Row],[6]])),LEN(Tabela1[[#This Row],[6]])-LEN(SUBSTITUTE(Tabela1[[#This Row],[6]],",",""))+1,1),"")</f>
        <v/>
      </c>
      <c r="AF384" t="str">
        <f>IF(Tabela1[[#This Row],[7]]&lt;&gt;"",IF(ISNUMBER(FIND(",",Tabela1[[#This Row],[7]])),LEN(Tabela1[[#This Row],[7]])-LEN(SUBSTITUTE(Tabela1[[#This Row],[7]],",",""))+1,1),"")</f>
        <v/>
      </c>
      <c r="AG384" t="str">
        <f>IF(Tabela1[[#This Row],[8]]&lt;&gt;"",IF(ISNUMBER(FIND(",",Tabela1[[#This Row],[8]])),LEN(Tabela1[[#This Row],[8]])-LEN(SUBSTITUTE(Tabela1[[#This Row],[8]],",",""))+1,1),"")</f>
        <v/>
      </c>
      <c r="AH384" t="str">
        <f>IF(Tabela1[[#This Row],[9]]&lt;&gt;"",IF(ISNUMBER(FIND(",",Tabela1[[#This Row],[9]])),LEN(Tabela1[[#This Row],[9]])-LEN(SUBSTITUTE(Tabela1[[#This Row],[9]],",",""))+1,1),"")</f>
        <v/>
      </c>
      <c r="AI384" t="str">
        <f>IF(Tabela1[[#This Row],[10]]&lt;&gt;"",IF(ISNUMBER(FIND(",",Tabela1[[#This Row],[10]])),LEN(Tabela1[[#This Row],[10]])-LEN(SUBSTITUTE(Tabela1[[#This Row],[10]],",",""))+1,1),"")</f>
        <v/>
      </c>
      <c r="AJ384" t="str">
        <f>IF(Tabela1[[#This Row],[11]]&lt;&gt;"",IF(ISNUMBER(FIND(",",Tabela1[[#This Row],[11]])),LEN(Tabela1[[#This Row],[11]])-LEN(SUBSTITUTE(Tabela1[[#This Row],[11]],",",""))+1,1),"")</f>
        <v/>
      </c>
      <c r="AK384" t="str">
        <f>IF(Tabela1[[#This Row],[12]]&lt;&gt;"",IF(ISNUMBER(FIND(",",Tabela1[[#This Row],[12]])),LEN(Tabela1[[#This Row],[12]])-LEN(SUBSTITUTE(Tabela1[[#This Row],[12]],",",""))+1,1),"")</f>
        <v/>
      </c>
      <c r="AL384" t="str">
        <f>IF(Tabela1[[#This Row],[13]]&lt;&gt;"",IF(ISNUMBER(FIND(",",Tabela1[[#This Row],[13]])),LEN(Tabela1[[#This Row],[13]])-LEN(SUBSTITUTE(Tabela1[[#This Row],[13]],",",""))+1,1),"")</f>
        <v/>
      </c>
      <c r="AM384" t="str">
        <f>IF(Tabela1[[#This Row],[14]]&lt;&gt;"",IF(ISNUMBER(FIND(",",Tabela1[[#This Row],[14]])),LEN(Tabela1[[#This Row],[14]])-LEN(SUBSTITUTE(Tabela1[[#This Row],[14]],",",""))+1,1),"")</f>
        <v/>
      </c>
      <c r="AN384" t="str">
        <f>IF(Tabela1[[#This Row],[15]]&lt;&gt;"",IF(ISNUMBER(FIND(",",Tabela1[[#This Row],[15]])),LEN(Tabela1[[#This Row],[15]])-LEN(SUBSTITUTE(Tabela1[[#This Row],[15]],",",""))+1,1),"")</f>
        <v/>
      </c>
      <c r="AO384" t="str">
        <f>IF(Tabela1[[#This Row],[16]]&lt;&gt;"",IF(ISNUMBER(FIND(",",Tabela1[[#This Row],[16]])),LEN(Tabela1[[#This Row],[16]])-LEN(SUBSTITUTE(Tabela1[[#This Row],[16]],",",""))+1,1),"")</f>
        <v/>
      </c>
      <c r="AP384" t="str">
        <f>IF(Tabela1[[#This Row],[17]]&lt;&gt;"",IF(ISNUMBER(FIND(",",Tabela1[[#This Row],[17]])),LEN(Tabela1[[#This Row],[17]])-LEN(SUBSTITUTE(Tabela1[[#This Row],[17]],",",""))+1,1),"")</f>
        <v/>
      </c>
      <c r="AQ384" t="str">
        <f>IF(Tabela1[[#This Row],[18]]&lt;&gt;"",IF(ISNUMBER(FIND(",",Tabela1[[#This Row],[18]])),LEN(Tabela1[[#This Row],[18]])-LEN(SUBSTITUTE(Tabela1[[#This Row],[18]],",",""))+1,1),"")</f>
        <v/>
      </c>
      <c r="AR384" s="13" t="str">
        <f>IF(Tabela1[[#This Row],[19_LENGTH]]&lt;&gt;"",IF(ISNUMBER(FIND(",",Tabela1[[#This Row],[19_LENGTH]])),LEN(Tabela1[[#This Row],[19_LENGTH]])-LEN(SUBSTITUTE(Tabela1[[#This Row],[19_LENGTH]],",",""))+1,1),"")</f>
        <v/>
      </c>
      <c r="AS384" s="21">
        <f>SUM(Tabela1[[#This Row],[1_]:[19_]])</f>
        <v>6</v>
      </c>
    </row>
    <row r="385" spans="1:45" x14ac:dyDescent="0.25">
      <c r="A385" s="27" t="s">
        <v>1325</v>
      </c>
      <c r="B385" s="19" t="s">
        <v>502</v>
      </c>
      <c r="C385" s="19">
        <v>202</v>
      </c>
      <c r="D385" s="19" t="s">
        <v>1315</v>
      </c>
      <c r="E385" s="20">
        <v>43517</v>
      </c>
      <c r="F385" s="19"/>
      <c r="G385" s="19"/>
      <c r="H385" s="19"/>
      <c r="I385" s="19"/>
      <c r="J385" s="19"/>
      <c r="K385" s="19"/>
      <c r="L385" s="19"/>
      <c r="M385" s="19">
        <v>188</v>
      </c>
      <c r="N385" s="19"/>
      <c r="O385" s="19"/>
      <c r="P385" s="19"/>
      <c r="Q385" s="19"/>
      <c r="R385" s="19"/>
      <c r="S385" s="19"/>
      <c r="T385" s="19"/>
      <c r="U385" s="19"/>
      <c r="V385" s="19">
        <v>165</v>
      </c>
      <c r="W385" s="19"/>
      <c r="X385" s="19"/>
      <c r="Y385" s="19"/>
      <c r="Z385" t="str">
        <f>IF(Tabela1[[#This Row],[1]]&lt;&gt;"",IF(ISNUMBER(FIND(",",Tabela1[[#This Row],[1]])),LEN(Tabela1[[#This Row],[1]])-LEN(SUBSTITUTE(Tabela1[[#This Row],[1]],",",""))+1,1),"")</f>
        <v/>
      </c>
      <c r="AA385" t="str">
        <f>IF(Tabela1[[#This Row],[2]]&lt;&gt;"",IF(ISNUMBER(FIND(",",Tabela1[[#This Row],[2]])),LEN(Tabela1[[#This Row],[2]])-LEN(SUBSTITUTE(Tabela1[[#This Row],[2]],",",""))+1,1),"")</f>
        <v/>
      </c>
      <c r="AB385" t="str">
        <f>IF(Tabela1[[#This Row],[3]]&lt;&gt;"",IF(ISNUMBER(FIND(",",Tabela1[[#This Row],[3]])),LEN(Tabela1[[#This Row],[3]])-LEN(SUBSTITUTE(Tabela1[[#This Row],[3]],",",""))+1,1),"")</f>
        <v/>
      </c>
      <c r="AC385" t="str">
        <f>IF(Tabela1[[#This Row],[4]]&lt;&gt;"",IF(ISNUMBER(FIND(",",Tabela1[[#This Row],[4]])),LEN(Tabela1[[#This Row],[4]])-LEN(SUBSTITUTE(Tabela1[[#This Row],[4]],",",""))+1,1),"")</f>
        <v/>
      </c>
      <c r="AD385" t="str">
        <f>IF(Tabela1[[#This Row],[5]]&lt;&gt;"",IF(ISNUMBER(FIND(",",Tabela1[[#This Row],[5]])),LEN(Tabela1[[#This Row],[5]])-LEN(SUBSTITUTE(Tabela1[[#This Row],[5]],",",""))+1,1),"")</f>
        <v/>
      </c>
      <c r="AE385" t="str">
        <f>IF(Tabela1[[#This Row],[6]]&lt;&gt;"",IF(ISNUMBER(FIND(",",Tabela1[[#This Row],[6]])),LEN(Tabela1[[#This Row],[6]])-LEN(SUBSTITUTE(Tabela1[[#This Row],[6]],",",""))+1,1),"")</f>
        <v/>
      </c>
      <c r="AF385" t="str">
        <f>IF(Tabela1[[#This Row],[7]]&lt;&gt;"",IF(ISNUMBER(FIND(",",Tabela1[[#This Row],[7]])),LEN(Tabela1[[#This Row],[7]])-LEN(SUBSTITUTE(Tabela1[[#This Row],[7]],",",""))+1,1),"")</f>
        <v/>
      </c>
      <c r="AG385">
        <f>IF(Tabela1[[#This Row],[8]]&lt;&gt;"",IF(ISNUMBER(FIND(",",Tabela1[[#This Row],[8]])),LEN(Tabela1[[#This Row],[8]])-LEN(SUBSTITUTE(Tabela1[[#This Row],[8]],",",""))+1,1),"")</f>
        <v>1</v>
      </c>
      <c r="AH385" t="str">
        <f>IF(Tabela1[[#This Row],[9]]&lt;&gt;"",IF(ISNUMBER(FIND(",",Tabela1[[#This Row],[9]])),LEN(Tabela1[[#This Row],[9]])-LEN(SUBSTITUTE(Tabela1[[#This Row],[9]],",",""))+1,1),"")</f>
        <v/>
      </c>
      <c r="AI385" t="str">
        <f>IF(Tabela1[[#This Row],[10]]&lt;&gt;"",IF(ISNUMBER(FIND(",",Tabela1[[#This Row],[10]])),LEN(Tabela1[[#This Row],[10]])-LEN(SUBSTITUTE(Tabela1[[#This Row],[10]],",",""))+1,1),"")</f>
        <v/>
      </c>
      <c r="AJ385" t="str">
        <f>IF(Tabela1[[#This Row],[11]]&lt;&gt;"",IF(ISNUMBER(FIND(",",Tabela1[[#This Row],[11]])),LEN(Tabela1[[#This Row],[11]])-LEN(SUBSTITUTE(Tabela1[[#This Row],[11]],",",""))+1,1),"")</f>
        <v/>
      </c>
      <c r="AK385" t="str">
        <f>IF(Tabela1[[#This Row],[12]]&lt;&gt;"",IF(ISNUMBER(FIND(",",Tabela1[[#This Row],[12]])),LEN(Tabela1[[#This Row],[12]])-LEN(SUBSTITUTE(Tabela1[[#This Row],[12]],",",""))+1,1),"")</f>
        <v/>
      </c>
      <c r="AL385" t="str">
        <f>IF(Tabela1[[#This Row],[13]]&lt;&gt;"",IF(ISNUMBER(FIND(",",Tabela1[[#This Row],[13]])),LEN(Tabela1[[#This Row],[13]])-LEN(SUBSTITUTE(Tabela1[[#This Row],[13]],",",""))+1,1),"")</f>
        <v/>
      </c>
      <c r="AM385" t="str">
        <f>IF(Tabela1[[#This Row],[14]]&lt;&gt;"",IF(ISNUMBER(FIND(",",Tabela1[[#This Row],[14]])),LEN(Tabela1[[#This Row],[14]])-LEN(SUBSTITUTE(Tabela1[[#This Row],[14]],",",""))+1,1),"")</f>
        <v/>
      </c>
      <c r="AN385" t="str">
        <f>IF(Tabela1[[#This Row],[15]]&lt;&gt;"",IF(ISNUMBER(FIND(",",Tabela1[[#This Row],[15]])),LEN(Tabela1[[#This Row],[15]])-LEN(SUBSTITUTE(Tabela1[[#This Row],[15]],",",""))+1,1),"")</f>
        <v/>
      </c>
      <c r="AO385" t="str">
        <f>IF(Tabela1[[#This Row],[16]]&lt;&gt;"",IF(ISNUMBER(FIND(",",Tabela1[[#This Row],[16]])),LEN(Tabela1[[#This Row],[16]])-LEN(SUBSTITUTE(Tabela1[[#This Row],[16]],",",""))+1,1),"")</f>
        <v/>
      </c>
      <c r="AP385">
        <f>IF(Tabela1[[#This Row],[17]]&lt;&gt;"",IF(ISNUMBER(FIND(",",Tabela1[[#This Row],[17]])),LEN(Tabela1[[#This Row],[17]])-LEN(SUBSTITUTE(Tabela1[[#This Row],[17]],",",""))+1,1),"")</f>
        <v>1</v>
      </c>
      <c r="AQ385" t="str">
        <f>IF(Tabela1[[#This Row],[18]]&lt;&gt;"",IF(ISNUMBER(FIND(",",Tabela1[[#This Row],[18]])),LEN(Tabela1[[#This Row],[18]])-LEN(SUBSTITUTE(Tabela1[[#This Row],[18]],",",""))+1,1),"")</f>
        <v/>
      </c>
      <c r="AR385" s="13" t="str">
        <f>IF(Tabela1[[#This Row],[19_LENGTH]]&lt;&gt;"",IF(ISNUMBER(FIND(",",Tabela1[[#This Row],[19_LENGTH]])),LEN(Tabela1[[#This Row],[19_LENGTH]])-LEN(SUBSTITUTE(Tabela1[[#This Row],[19_LENGTH]],",",""))+1,1),"")</f>
        <v/>
      </c>
      <c r="AS385" s="21">
        <f>SUM(Tabela1[[#This Row],[1_]:[19_]])</f>
        <v>2</v>
      </c>
    </row>
    <row r="386" spans="1:45" x14ac:dyDescent="0.25">
      <c r="A386" s="27" t="s">
        <v>1325</v>
      </c>
      <c r="B386" s="19" t="s">
        <v>503</v>
      </c>
      <c r="C386" s="19">
        <v>202</v>
      </c>
      <c r="D386" s="19" t="s">
        <v>1315</v>
      </c>
      <c r="E386" s="20">
        <v>43517</v>
      </c>
      <c r="F386" s="19"/>
      <c r="G386" s="19"/>
      <c r="H386" s="19"/>
      <c r="I386" s="19">
        <v>90</v>
      </c>
      <c r="J386" s="19"/>
      <c r="K386" s="19"/>
      <c r="L386" s="19"/>
      <c r="M386" s="19"/>
      <c r="N386" s="19"/>
      <c r="O386" s="19"/>
      <c r="P386" s="19"/>
      <c r="Q386" s="19"/>
      <c r="R386" s="19"/>
      <c r="S386" s="19"/>
      <c r="T386" s="19"/>
      <c r="U386" s="19"/>
      <c r="V386" s="19"/>
      <c r="W386" s="19"/>
      <c r="X386" s="19"/>
      <c r="Y386" s="19"/>
      <c r="Z386" t="str">
        <f>IF(Tabela1[[#This Row],[1]]&lt;&gt;"",IF(ISNUMBER(FIND(",",Tabela1[[#This Row],[1]])),LEN(Tabela1[[#This Row],[1]])-LEN(SUBSTITUTE(Tabela1[[#This Row],[1]],",",""))+1,1),"")</f>
        <v/>
      </c>
      <c r="AA386" t="str">
        <f>IF(Tabela1[[#This Row],[2]]&lt;&gt;"",IF(ISNUMBER(FIND(",",Tabela1[[#This Row],[2]])),LEN(Tabela1[[#This Row],[2]])-LEN(SUBSTITUTE(Tabela1[[#This Row],[2]],",",""))+1,1),"")</f>
        <v/>
      </c>
      <c r="AB386" t="str">
        <f>IF(Tabela1[[#This Row],[3]]&lt;&gt;"",IF(ISNUMBER(FIND(",",Tabela1[[#This Row],[3]])),LEN(Tabela1[[#This Row],[3]])-LEN(SUBSTITUTE(Tabela1[[#This Row],[3]],",",""))+1,1),"")</f>
        <v/>
      </c>
      <c r="AC386">
        <f>IF(Tabela1[[#This Row],[4]]&lt;&gt;"",IF(ISNUMBER(FIND(",",Tabela1[[#This Row],[4]])),LEN(Tabela1[[#This Row],[4]])-LEN(SUBSTITUTE(Tabela1[[#This Row],[4]],",",""))+1,1),"")</f>
        <v>1</v>
      </c>
      <c r="AD386" t="str">
        <f>IF(Tabela1[[#This Row],[5]]&lt;&gt;"",IF(ISNUMBER(FIND(",",Tabela1[[#This Row],[5]])),LEN(Tabela1[[#This Row],[5]])-LEN(SUBSTITUTE(Tabela1[[#This Row],[5]],",",""))+1,1),"")</f>
        <v/>
      </c>
      <c r="AE386" t="str">
        <f>IF(Tabela1[[#This Row],[6]]&lt;&gt;"",IF(ISNUMBER(FIND(",",Tabela1[[#This Row],[6]])),LEN(Tabela1[[#This Row],[6]])-LEN(SUBSTITUTE(Tabela1[[#This Row],[6]],",",""))+1,1),"")</f>
        <v/>
      </c>
      <c r="AF386" t="str">
        <f>IF(Tabela1[[#This Row],[7]]&lt;&gt;"",IF(ISNUMBER(FIND(",",Tabela1[[#This Row],[7]])),LEN(Tabela1[[#This Row],[7]])-LEN(SUBSTITUTE(Tabela1[[#This Row],[7]],",",""))+1,1),"")</f>
        <v/>
      </c>
      <c r="AG386" t="str">
        <f>IF(Tabela1[[#This Row],[8]]&lt;&gt;"",IF(ISNUMBER(FIND(",",Tabela1[[#This Row],[8]])),LEN(Tabela1[[#This Row],[8]])-LEN(SUBSTITUTE(Tabela1[[#This Row],[8]],",",""))+1,1),"")</f>
        <v/>
      </c>
      <c r="AH386" t="str">
        <f>IF(Tabela1[[#This Row],[9]]&lt;&gt;"",IF(ISNUMBER(FIND(",",Tabela1[[#This Row],[9]])),LEN(Tabela1[[#This Row],[9]])-LEN(SUBSTITUTE(Tabela1[[#This Row],[9]],",",""))+1,1),"")</f>
        <v/>
      </c>
      <c r="AI386" t="str">
        <f>IF(Tabela1[[#This Row],[10]]&lt;&gt;"",IF(ISNUMBER(FIND(",",Tabela1[[#This Row],[10]])),LEN(Tabela1[[#This Row],[10]])-LEN(SUBSTITUTE(Tabela1[[#This Row],[10]],",",""))+1,1),"")</f>
        <v/>
      </c>
      <c r="AJ386" t="str">
        <f>IF(Tabela1[[#This Row],[11]]&lt;&gt;"",IF(ISNUMBER(FIND(",",Tabela1[[#This Row],[11]])),LEN(Tabela1[[#This Row],[11]])-LEN(SUBSTITUTE(Tabela1[[#This Row],[11]],",",""))+1,1),"")</f>
        <v/>
      </c>
      <c r="AK386" t="str">
        <f>IF(Tabela1[[#This Row],[12]]&lt;&gt;"",IF(ISNUMBER(FIND(",",Tabela1[[#This Row],[12]])),LEN(Tabela1[[#This Row],[12]])-LEN(SUBSTITUTE(Tabela1[[#This Row],[12]],",",""))+1,1),"")</f>
        <v/>
      </c>
      <c r="AL386" t="str">
        <f>IF(Tabela1[[#This Row],[13]]&lt;&gt;"",IF(ISNUMBER(FIND(",",Tabela1[[#This Row],[13]])),LEN(Tabela1[[#This Row],[13]])-LEN(SUBSTITUTE(Tabela1[[#This Row],[13]],",",""))+1,1),"")</f>
        <v/>
      </c>
      <c r="AM386" t="str">
        <f>IF(Tabela1[[#This Row],[14]]&lt;&gt;"",IF(ISNUMBER(FIND(",",Tabela1[[#This Row],[14]])),LEN(Tabela1[[#This Row],[14]])-LEN(SUBSTITUTE(Tabela1[[#This Row],[14]],",",""))+1,1),"")</f>
        <v/>
      </c>
      <c r="AN386" t="str">
        <f>IF(Tabela1[[#This Row],[15]]&lt;&gt;"",IF(ISNUMBER(FIND(",",Tabela1[[#This Row],[15]])),LEN(Tabela1[[#This Row],[15]])-LEN(SUBSTITUTE(Tabela1[[#This Row],[15]],",",""))+1,1),"")</f>
        <v/>
      </c>
      <c r="AO386" t="str">
        <f>IF(Tabela1[[#This Row],[16]]&lt;&gt;"",IF(ISNUMBER(FIND(",",Tabela1[[#This Row],[16]])),LEN(Tabela1[[#This Row],[16]])-LEN(SUBSTITUTE(Tabela1[[#This Row],[16]],",",""))+1,1),"")</f>
        <v/>
      </c>
      <c r="AP386" t="str">
        <f>IF(Tabela1[[#This Row],[17]]&lt;&gt;"",IF(ISNUMBER(FIND(",",Tabela1[[#This Row],[17]])),LEN(Tabela1[[#This Row],[17]])-LEN(SUBSTITUTE(Tabela1[[#This Row],[17]],",",""))+1,1),"")</f>
        <v/>
      </c>
      <c r="AQ386" t="str">
        <f>IF(Tabela1[[#This Row],[18]]&lt;&gt;"",IF(ISNUMBER(FIND(",",Tabela1[[#This Row],[18]])),LEN(Tabela1[[#This Row],[18]])-LEN(SUBSTITUTE(Tabela1[[#This Row],[18]],",",""))+1,1),"")</f>
        <v/>
      </c>
      <c r="AR386" s="13" t="str">
        <f>IF(Tabela1[[#This Row],[19_LENGTH]]&lt;&gt;"",IF(ISNUMBER(FIND(",",Tabela1[[#This Row],[19_LENGTH]])),LEN(Tabela1[[#This Row],[19_LENGTH]])-LEN(SUBSTITUTE(Tabela1[[#This Row],[19_LENGTH]],",",""))+1,1),"")</f>
        <v/>
      </c>
      <c r="AS386" s="21">
        <f>SUM(Tabela1[[#This Row],[1_]:[19_]])</f>
        <v>1</v>
      </c>
    </row>
    <row r="387" spans="1:45" x14ac:dyDescent="0.25">
      <c r="A387" s="27" t="s">
        <v>1323</v>
      </c>
      <c r="B387" s="19" t="s">
        <v>816</v>
      </c>
      <c r="C387" s="19">
        <v>212</v>
      </c>
      <c r="D387" s="19" t="s">
        <v>1297</v>
      </c>
      <c r="E387" s="20">
        <v>43517</v>
      </c>
      <c r="F387" s="19"/>
      <c r="G387" s="19"/>
      <c r="H387" s="19">
        <v>17</v>
      </c>
      <c r="I387" s="19"/>
      <c r="J387" s="19"/>
      <c r="K387" s="19"/>
      <c r="L387" s="19"/>
      <c r="M387" s="19"/>
      <c r="N387" s="19"/>
      <c r="O387" s="19"/>
      <c r="P387" s="19"/>
      <c r="Q387" s="19"/>
      <c r="R387" s="19"/>
      <c r="S387" s="19"/>
      <c r="T387" s="19"/>
      <c r="U387" s="19"/>
      <c r="V387" s="19"/>
      <c r="W387" s="19"/>
      <c r="X387" s="19"/>
      <c r="Y387" s="19"/>
      <c r="Z387" t="str">
        <f>IF(Tabela1[[#This Row],[1]]&lt;&gt;"",IF(ISNUMBER(FIND(",",Tabela1[[#This Row],[1]])),LEN(Tabela1[[#This Row],[1]])-LEN(SUBSTITUTE(Tabela1[[#This Row],[1]],",",""))+1,1),"")</f>
        <v/>
      </c>
      <c r="AA387" t="str">
        <f>IF(Tabela1[[#This Row],[2]]&lt;&gt;"",IF(ISNUMBER(FIND(",",Tabela1[[#This Row],[2]])),LEN(Tabela1[[#This Row],[2]])-LEN(SUBSTITUTE(Tabela1[[#This Row],[2]],",",""))+1,1),"")</f>
        <v/>
      </c>
      <c r="AB387">
        <f>IF(Tabela1[[#This Row],[3]]&lt;&gt;"",IF(ISNUMBER(FIND(",",Tabela1[[#This Row],[3]])),LEN(Tabela1[[#This Row],[3]])-LEN(SUBSTITUTE(Tabela1[[#This Row],[3]],",",""))+1,1),"")</f>
        <v>1</v>
      </c>
      <c r="AC387" t="str">
        <f>IF(Tabela1[[#This Row],[4]]&lt;&gt;"",IF(ISNUMBER(FIND(",",Tabela1[[#This Row],[4]])),LEN(Tabela1[[#This Row],[4]])-LEN(SUBSTITUTE(Tabela1[[#This Row],[4]],",",""))+1,1),"")</f>
        <v/>
      </c>
      <c r="AD387" t="str">
        <f>IF(Tabela1[[#This Row],[5]]&lt;&gt;"",IF(ISNUMBER(FIND(",",Tabela1[[#This Row],[5]])),LEN(Tabela1[[#This Row],[5]])-LEN(SUBSTITUTE(Tabela1[[#This Row],[5]],",",""))+1,1),"")</f>
        <v/>
      </c>
      <c r="AE387" t="str">
        <f>IF(Tabela1[[#This Row],[6]]&lt;&gt;"",IF(ISNUMBER(FIND(",",Tabela1[[#This Row],[6]])),LEN(Tabela1[[#This Row],[6]])-LEN(SUBSTITUTE(Tabela1[[#This Row],[6]],",",""))+1,1),"")</f>
        <v/>
      </c>
      <c r="AF387" t="str">
        <f>IF(Tabela1[[#This Row],[7]]&lt;&gt;"",IF(ISNUMBER(FIND(",",Tabela1[[#This Row],[7]])),LEN(Tabela1[[#This Row],[7]])-LEN(SUBSTITUTE(Tabela1[[#This Row],[7]],",",""))+1,1),"")</f>
        <v/>
      </c>
      <c r="AG387" t="str">
        <f>IF(Tabela1[[#This Row],[8]]&lt;&gt;"",IF(ISNUMBER(FIND(",",Tabela1[[#This Row],[8]])),LEN(Tabela1[[#This Row],[8]])-LEN(SUBSTITUTE(Tabela1[[#This Row],[8]],",",""))+1,1),"")</f>
        <v/>
      </c>
      <c r="AH387" t="str">
        <f>IF(Tabela1[[#This Row],[9]]&lt;&gt;"",IF(ISNUMBER(FIND(",",Tabela1[[#This Row],[9]])),LEN(Tabela1[[#This Row],[9]])-LEN(SUBSTITUTE(Tabela1[[#This Row],[9]],",",""))+1,1),"")</f>
        <v/>
      </c>
      <c r="AI387" t="str">
        <f>IF(Tabela1[[#This Row],[10]]&lt;&gt;"",IF(ISNUMBER(FIND(",",Tabela1[[#This Row],[10]])),LEN(Tabela1[[#This Row],[10]])-LEN(SUBSTITUTE(Tabela1[[#This Row],[10]],",",""))+1,1),"")</f>
        <v/>
      </c>
      <c r="AJ387" t="str">
        <f>IF(Tabela1[[#This Row],[11]]&lt;&gt;"",IF(ISNUMBER(FIND(",",Tabela1[[#This Row],[11]])),LEN(Tabela1[[#This Row],[11]])-LEN(SUBSTITUTE(Tabela1[[#This Row],[11]],",",""))+1,1),"")</f>
        <v/>
      </c>
      <c r="AK387" t="str">
        <f>IF(Tabela1[[#This Row],[12]]&lt;&gt;"",IF(ISNUMBER(FIND(",",Tabela1[[#This Row],[12]])),LEN(Tabela1[[#This Row],[12]])-LEN(SUBSTITUTE(Tabela1[[#This Row],[12]],",",""))+1,1),"")</f>
        <v/>
      </c>
      <c r="AL387" t="str">
        <f>IF(Tabela1[[#This Row],[13]]&lt;&gt;"",IF(ISNUMBER(FIND(",",Tabela1[[#This Row],[13]])),LEN(Tabela1[[#This Row],[13]])-LEN(SUBSTITUTE(Tabela1[[#This Row],[13]],",",""))+1,1),"")</f>
        <v/>
      </c>
      <c r="AM387" t="str">
        <f>IF(Tabela1[[#This Row],[14]]&lt;&gt;"",IF(ISNUMBER(FIND(",",Tabela1[[#This Row],[14]])),LEN(Tabela1[[#This Row],[14]])-LEN(SUBSTITUTE(Tabela1[[#This Row],[14]],",",""))+1,1),"")</f>
        <v/>
      </c>
      <c r="AN387" t="str">
        <f>IF(Tabela1[[#This Row],[15]]&lt;&gt;"",IF(ISNUMBER(FIND(",",Tabela1[[#This Row],[15]])),LEN(Tabela1[[#This Row],[15]])-LEN(SUBSTITUTE(Tabela1[[#This Row],[15]],",",""))+1,1),"")</f>
        <v/>
      </c>
      <c r="AO387" t="str">
        <f>IF(Tabela1[[#This Row],[16]]&lt;&gt;"",IF(ISNUMBER(FIND(",",Tabela1[[#This Row],[16]])),LEN(Tabela1[[#This Row],[16]])-LEN(SUBSTITUTE(Tabela1[[#This Row],[16]],",",""))+1,1),"")</f>
        <v/>
      </c>
      <c r="AP387" t="str">
        <f>IF(Tabela1[[#This Row],[17]]&lt;&gt;"",IF(ISNUMBER(FIND(",",Tabela1[[#This Row],[17]])),LEN(Tabela1[[#This Row],[17]])-LEN(SUBSTITUTE(Tabela1[[#This Row],[17]],",",""))+1,1),"")</f>
        <v/>
      </c>
      <c r="AQ387" t="str">
        <f>IF(Tabela1[[#This Row],[18]]&lt;&gt;"",IF(ISNUMBER(FIND(",",Tabela1[[#This Row],[18]])),LEN(Tabela1[[#This Row],[18]])-LEN(SUBSTITUTE(Tabela1[[#This Row],[18]],",",""))+1,1),"")</f>
        <v/>
      </c>
      <c r="AR387" s="13" t="str">
        <f>IF(Tabela1[[#This Row],[19_LENGTH]]&lt;&gt;"",IF(ISNUMBER(FIND(",",Tabela1[[#This Row],[19_LENGTH]])),LEN(Tabela1[[#This Row],[19_LENGTH]])-LEN(SUBSTITUTE(Tabela1[[#This Row],[19_LENGTH]],",",""))+1,1),"")</f>
        <v/>
      </c>
      <c r="AS387" s="21">
        <f>SUM(Tabela1[[#This Row],[1_]:[19_]])</f>
        <v>1</v>
      </c>
    </row>
    <row r="388" spans="1:45" x14ac:dyDescent="0.25">
      <c r="A388" s="27" t="s">
        <v>1323</v>
      </c>
      <c r="B388" s="19" t="s">
        <v>817</v>
      </c>
      <c r="C388" s="19">
        <v>202</v>
      </c>
      <c r="D388" s="19" t="s">
        <v>1297</v>
      </c>
      <c r="E388" s="20">
        <v>43517</v>
      </c>
      <c r="F388" s="19"/>
      <c r="G388" s="19"/>
      <c r="H388" s="19"/>
      <c r="I388" s="19" t="s">
        <v>159</v>
      </c>
      <c r="J388" s="19"/>
      <c r="K388" s="19"/>
      <c r="L388" s="19"/>
      <c r="M388" s="19"/>
      <c r="N388" s="19"/>
      <c r="O388" s="19"/>
      <c r="P388" s="19"/>
      <c r="Q388" s="19"/>
      <c r="R388" s="19"/>
      <c r="S388" s="19"/>
      <c r="T388" s="19"/>
      <c r="U388" s="19"/>
      <c r="V388" s="19"/>
      <c r="W388" s="19"/>
      <c r="X388" s="19"/>
      <c r="Y388" s="19"/>
      <c r="Z388" t="str">
        <f>IF(Tabela1[[#This Row],[1]]&lt;&gt;"",IF(ISNUMBER(FIND(",",Tabela1[[#This Row],[1]])),LEN(Tabela1[[#This Row],[1]])-LEN(SUBSTITUTE(Tabela1[[#This Row],[1]],",",""))+1,1),"")</f>
        <v/>
      </c>
      <c r="AA388" t="str">
        <f>IF(Tabela1[[#This Row],[2]]&lt;&gt;"",IF(ISNUMBER(FIND(",",Tabela1[[#This Row],[2]])),LEN(Tabela1[[#This Row],[2]])-LEN(SUBSTITUTE(Tabela1[[#This Row],[2]],",",""))+1,1),"")</f>
        <v/>
      </c>
      <c r="AB388" t="str">
        <f>IF(Tabela1[[#This Row],[3]]&lt;&gt;"",IF(ISNUMBER(FIND(",",Tabela1[[#This Row],[3]])),LEN(Tabela1[[#This Row],[3]])-LEN(SUBSTITUTE(Tabela1[[#This Row],[3]],",",""))+1,1),"")</f>
        <v/>
      </c>
      <c r="AC388">
        <f>IF(Tabela1[[#This Row],[4]]&lt;&gt;"",IF(ISNUMBER(FIND(",",Tabela1[[#This Row],[4]])),LEN(Tabela1[[#This Row],[4]])-LEN(SUBSTITUTE(Tabela1[[#This Row],[4]],",",""))+1,1),"")</f>
        <v>2</v>
      </c>
      <c r="AD388" t="str">
        <f>IF(Tabela1[[#This Row],[5]]&lt;&gt;"",IF(ISNUMBER(FIND(",",Tabela1[[#This Row],[5]])),LEN(Tabela1[[#This Row],[5]])-LEN(SUBSTITUTE(Tabela1[[#This Row],[5]],",",""))+1,1),"")</f>
        <v/>
      </c>
      <c r="AE388" t="str">
        <f>IF(Tabela1[[#This Row],[6]]&lt;&gt;"",IF(ISNUMBER(FIND(",",Tabela1[[#This Row],[6]])),LEN(Tabela1[[#This Row],[6]])-LEN(SUBSTITUTE(Tabela1[[#This Row],[6]],",",""))+1,1),"")</f>
        <v/>
      </c>
      <c r="AF388" t="str">
        <f>IF(Tabela1[[#This Row],[7]]&lt;&gt;"",IF(ISNUMBER(FIND(",",Tabela1[[#This Row],[7]])),LEN(Tabela1[[#This Row],[7]])-LEN(SUBSTITUTE(Tabela1[[#This Row],[7]],",",""))+1,1),"")</f>
        <v/>
      </c>
      <c r="AG388" t="str">
        <f>IF(Tabela1[[#This Row],[8]]&lt;&gt;"",IF(ISNUMBER(FIND(",",Tabela1[[#This Row],[8]])),LEN(Tabela1[[#This Row],[8]])-LEN(SUBSTITUTE(Tabela1[[#This Row],[8]],",",""))+1,1),"")</f>
        <v/>
      </c>
      <c r="AH388" t="str">
        <f>IF(Tabela1[[#This Row],[9]]&lt;&gt;"",IF(ISNUMBER(FIND(",",Tabela1[[#This Row],[9]])),LEN(Tabela1[[#This Row],[9]])-LEN(SUBSTITUTE(Tabela1[[#This Row],[9]],",",""))+1,1),"")</f>
        <v/>
      </c>
      <c r="AI388" t="str">
        <f>IF(Tabela1[[#This Row],[10]]&lt;&gt;"",IF(ISNUMBER(FIND(",",Tabela1[[#This Row],[10]])),LEN(Tabela1[[#This Row],[10]])-LEN(SUBSTITUTE(Tabela1[[#This Row],[10]],",",""))+1,1),"")</f>
        <v/>
      </c>
      <c r="AJ388" t="str">
        <f>IF(Tabela1[[#This Row],[11]]&lt;&gt;"",IF(ISNUMBER(FIND(",",Tabela1[[#This Row],[11]])),LEN(Tabela1[[#This Row],[11]])-LEN(SUBSTITUTE(Tabela1[[#This Row],[11]],",",""))+1,1),"")</f>
        <v/>
      </c>
      <c r="AK388" t="str">
        <f>IF(Tabela1[[#This Row],[12]]&lt;&gt;"",IF(ISNUMBER(FIND(",",Tabela1[[#This Row],[12]])),LEN(Tabela1[[#This Row],[12]])-LEN(SUBSTITUTE(Tabela1[[#This Row],[12]],",",""))+1,1),"")</f>
        <v/>
      </c>
      <c r="AL388" t="str">
        <f>IF(Tabela1[[#This Row],[13]]&lt;&gt;"",IF(ISNUMBER(FIND(",",Tabela1[[#This Row],[13]])),LEN(Tabela1[[#This Row],[13]])-LEN(SUBSTITUTE(Tabela1[[#This Row],[13]],",",""))+1,1),"")</f>
        <v/>
      </c>
      <c r="AM388" t="str">
        <f>IF(Tabela1[[#This Row],[14]]&lt;&gt;"",IF(ISNUMBER(FIND(",",Tabela1[[#This Row],[14]])),LEN(Tabela1[[#This Row],[14]])-LEN(SUBSTITUTE(Tabela1[[#This Row],[14]],",",""))+1,1),"")</f>
        <v/>
      </c>
      <c r="AN388" t="str">
        <f>IF(Tabela1[[#This Row],[15]]&lt;&gt;"",IF(ISNUMBER(FIND(",",Tabela1[[#This Row],[15]])),LEN(Tabela1[[#This Row],[15]])-LEN(SUBSTITUTE(Tabela1[[#This Row],[15]],",",""))+1,1),"")</f>
        <v/>
      </c>
      <c r="AO388" t="str">
        <f>IF(Tabela1[[#This Row],[16]]&lt;&gt;"",IF(ISNUMBER(FIND(",",Tabela1[[#This Row],[16]])),LEN(Tabela1[[#This Row],[16]])-LEN(SUBSTITUTE(Tabela1[[#This Row],[16]],",",""))+1,1),"")</f>
        <v/>
      </c>
      <c r="AP388" t="str">
        <f>IF(Tabela1[[#This Row],[17]]&lt;&gt;"",IF(ISNUMBER(FIND(",",Tabela1[[#This Row],[17]])),LEN(Tabela1[[#This Row],[17]])-LEN(SUBSTITUTE(Tabela1[[#This Row],[17]],",",""))+1,1),"")</f>
        <v/>
      </c>
      <c r="AQ388" t="str">
        <f>IF(Tabela1[[#This Row],[18]]&lt;&gt;"",IF(ISNUMBER(FIND(",",Tabela1[[#This Row],[18]])),LEN(Tabela1[[#This Row],[18]])-LEN(SUBSTITUTE(Tabela1[[#This Row],[18]],",",""))+1,1),"")</f>
        <v/>
      </c>
      <c r="AR388" s="13" t="str">
        <f>IF(Tabela1[[#This Row],[19_LENGTH]]&lt;&gt;"",IF(ISNUMBER(FIND(",",Tabela1[[#This Row],[19_LENGTH]])),LEN(Tabela1[[#This Row],[19_LENGTH]])-LEN(SUBSTITUTE(Tabela1[[#This Row],[19_LENGTH]],",",""))+1,1),"")</f>
        <v/>
      </c>
      <c r="AS388" s="21">
        <f>SUM(Tabela1[[#This Row],[1_]:[19_]])</f>
        <v>2</v>
      </c>
    </row>
    <row r="389" spans="1:45" x14ac:dyDescent="0.25">
      <c r="A389" s="27" t="s">
        <v>1323</v>
      </c>
      <c r="B389" s="19" t="s">
        <v>496</v>
      </c>
      <c r="C389" s="19">
        <v>202</v>
      </c>
      <c r="D389" s="19" t="s">
        <v>1297</v>
      </c>
      <c r="E389" s="20">
        <v>43518</v>
      </c>
      <c r="F389" s="19"/>
      <c r="G389" s="19"/>
      <c r="H389" s="19"/>
      <c r="I389" s="19">
        <v>119</v>
      </c>
      <c r="J389" s="19"/>
      <c r="K389" s="19"/>
      <c r="L389" s="19" t="s">
        <v>160</v>
      </c>
      <c r="M389" s="19"/>
      <c r="N389" s="19"/>
      <c r="O389" s="19"/>
      <c r="P389" s="19"/>
      <c r="Q389" s="19"/>
      <c r="R389" s="19"/>
      <c r="S389" s="19"/>
      <c r="T389" s="19"/>
      <c r="U389" s="19"/>
      <c r="V389" s="19"/>
      <c r="W389" s="19"/>
      <c r="X389" s="19"/>
      <c r="Y389" s="19"/>
      <c r="Z389" t="str">
        <f>IF(Tabela1[[#This Row],[1]]&lt;&gt;"",IF(ISNUMBER(FIND(",",Tabela1[[#This Row],[1]])),LEN(Tabela1[[#This Row],[1]])-LEN(SUBSTITUTE(Tabela1[[#This Row],[1]],",",""))+1,1),"")</f>
        <v/>
      </c>
      <c r="AA389" t="str">
        <f>IF(Tabela1[[#This Row],[2]]&lt;&gt;"",IF(ISNUMBER(FIND(",",Tabela1[[#This Row],[2]])),LEN(Tabela1[[#This Row],[2]])-LEN(SUBSTITUTE(Tabela1[[#This Row],[2]],",",""))+1,1),"")</f>
        <v/>
      </c>
      <c r="AB389" t="str">
        <f>IF(Tabela1[[#This Row],[3]]&lt;&gt;"",IF(ISNUMBER(FIND(",",Tabela1[[#This Row],[3]])),LEN(Tabela1[[#This Row],[3]])-LEN(SUBSTITUTE(Tabela1[[#This Row],[3]],",",""))+1,1),"")</f>
        <v/>
      </c>
      <c r="AC389">
        <f>IF(Tabela1[[#This Row],[4]]&lt;&gt;"",IF(ISNUMBER(FIND(",",Tabela1[[#This Row],[4]])),LEN(Tabela1[[#This Row],[4]])-LEN(SUBSTITUTE(Tabela1[[#This Row],[4]],",",""))+1,1),"")</f>
        <v>1</v>
      </c>
      <c r="AD389" t="str">
        <f>IF(Tabela1[[#This Row],[5]]&lt;&gt;"",IF(ISNUMBER(FIND(",",Tabela1[[#This Row],[5]])),LEN(Tabela1[[#This Row],[5]])-LEN(SUBSTITUTE(Tabela1[[#This Row],[5]],",",""))+1,1),"")</f>
        <v/>
      </c>
      <c r="AE389" t="str">
        <f>IF(Tabela1[[#This Row],[6]]&lt;&gt;"",IF(ISNUMBER(FIND(",",Tabela1[[#This Row],[6]])),LEN(Tabela1[[#This Row],[6]])-LEN(SUBSTITUTE(Tabela1[[#This Row],[6]],",",""))+1,1),"")</f>
        <v/>
      </c>
      <c r="AF389">
        <f>IF(Tabela1[[#This Row],[7]]&lt;&gt;"",IF(ISNUMBER(FIND(",",Tabela1[[#This Row],[7]])),LEN(Tabela1[[#This Row],[7]])-LEN(SUBSTITUTE(Tabela1[[#This Row],[7]],",",""))+1,1),"")</f>
        <v>1</v>
      </c>
      <c r="AG389" t="str">
        <f>IF(Tabela1[[#This Row],[8]]&lt;&gt;"",IF(ISNUMBER(FIND(",",Tabela1[[#This Row],[8]])),LEN(Tabela1[[#This Row],[8]])-LEN(SUBSTITUTE(Tabela1[[#This Row],[8]],",",""))+1,1),"")</f>
        <v/>
      </c>
      <c r="AH389" t="str">
        <f>IF(Tabela1[[#This Row],[9]]&lt;&gt;"",IF(ISNUMBER(FIND(",",Tabela1[[#This Row],[9]])),LEN(Tabela1[[#This Row],[9]])-LEN(SUBSTITUTE(Tabela1[[#This Row],[9]],",",""))+1,1),"")</f>
        <v/>
      </c>
      <c r="AI389" t="str">
        <f>IF(Tabela1[[#This Row],[10]]&lt;&gt;"",IF(ISNUMBER(FIND(",",Tabela1[[#This Row],[10]])),LEN(Tabela1[[#This Row],[10]])-LEN(SUBSTITUTE(Tabela1[[#This Row],[10]],",",""))+1,1),"")</f>
        <v/>
      </c>
      <c r="AJ389" t="str">
        <f>IF(Tabela1[[#This Row],[11]]&lt;&gt;"",IF(ISNUMBER(FIND(",",Tabela1[[#This Row],[11]])),LEN(Tabela1[[#This Row],[11]])-LEN(SUBSTITUTE(Tabela1[[#This Row],[11]],",",""))+1,1),"")</f>
        <v/>
      </c>
      <c r="AK389" t="str">
        <f>IF(Tabela1[[#This Row],[12]]&lt;&gt;"",IF(ISNUMBER(FIND(",",Tabela1[[#This Row],[12]])),LEN(Tabela1[[#This Row],[12]])-LEN(SUBSTITUTE(Tabela1[[#This Row],[12]],",",""))+1,1),"")</f>
        <v/>
      </c>
      <c r="AL389" t="str">
        <f>IF(Tabela1[[#This Row],[13]]&lt;&gt;"",IF(ISNUMBER(FIND(",",Tabela1[[#This Row],[13]])),LEN(Tabela1[[#This Row],[13]])-LEN(SUBSTITUTE(Tabela1[[#This Row],[13]],",",""))+1,1),"")</f>
        <v/>
      </c>
      <c r="AM389" t="str">
        <f>IF(Tabela1[[#This Row],[14]]&lt;&gt;"",IF(ISNUMBER(FIND(",",Tabela1[[#This Row],[14]])),LEN(Tabela1[[#This Row],[14]])-LEN(SUBSTITUTE(Tabela1[[#This Row],[14]],",",""))+1,1),"")</f>
        <v/>
      </c>
      <c r="AN389" t="str">
        <f>IF(Tabela1[[#This Row],[15]]&lt;&gt;"",IF(ISNUMBER(FIND(",",Tabela1[[#This Row],[15]])),LEN(Tabela1[[#This Row],[15]])-LEN(SUBSTITUTE(Tabela1[[#This Row],[15]],",",""))+1,1),"")</f>
        <v/>
      </c>
      <c r="AO389" t="str">
        <f>IF(Tabela1[[#This Row],[16]]&lt;&gt;"",IF(ISNUMBER(FIND(",",Tabela1[[#This Row],[16]])),LEN(Tabela1[[#This Row],[16]])-LEN(SUBSTITUTE(Tabela1[[#This Row],[16]],",",""))+1,1),"")</f>
        <v/>
      </c>
      <c r="AP389" t="str">
        <f>IF(Tabela1[[#This Row],[17]]&lt;&gt;"",IF(ISNUMBER(FIND(",",Tabela1[[#This Row],[17]])),LEN(Tabela1[[#This Row],[17]])-LEN(SUBSTITUTE(Tabela1[[#This Row],[17]],",",""))+1,1),"")</f>
        <v/>
      </c>
      <c r="AQ389" t="str">
        <f>IF(Tabela1[[#This Row],[18]]&lt;&gt;"",IF(ISNUMBER(FIND(",",Tabela1[[#This Row],[18]])),LEN(Tabela1[[#This Row],[18]])-LEN(SUBSTITUTE(Tabela1[[#This Row],[18]],",",""))+1,1),"")</f>
        <v/>
      </c>
      <c r="AR389" s="13" t="str">
        <f>IF(Tabela1[[#This Row],[19_LENGTH]]&lt;&gt;"",IF(ISNUMBER(FIND(",",Tabela1[[#This Row],[19_LENGTH]])),LEN(Tabela1[[#This Row],[19_LENGTH]])-LEN(SUBSTITUTE(Tabela1[[#This Row],[19_LENGTH]],",",""))+1,1),"")</f>
        <v/>
      </c>
      <c r="AS389" s="21">
        <f>SUM(Tabela1[[#This Row],[1_]:[19_]])</f>
        <v>2</v>
      </c>
    </row>
    <row r="390" spans="1:45" x14ac:dyDescent="0.25">
      <c r="A390" s="27" t="s">
        <v>1323</v>
      </c>
      <c r="B390" s="19" t="s">
        <v>818</v>
      </c>
      <c r="C390" s="19">
        <v>202</v>
      </c>
      <c r="D390" s="19" t="s">
        <v>1297</v>
      </c>
      <c r="E390" s="20">
        <v>43518</v>
      </c>
      <c r="F390" s="19"/>
      <c r="G390" s="19"/>
      <c r="H390" s="19"/>
      <c r="I390" s="19"/>
      <c r="J390" s="19"/>
      <c r="K390" s="19"/>
      <c r="L390" s="19"/>
      <c r="M390" s="19"/>
      <c r="N390" s="19"/>
      <c r="O390" s="19"/>
      <c r="P390" s="19"/>
      <c r="Q390" s="19"/>
      <c r="R390" s="19"/>
      <c r="S390" s="19"/>
      <c r="T390" s="19"/>
      <c r="U390" s="19"/>
      <c r="V390" s="19">
        <v>143</v>
      </c>
      <c r="W390" s="19"/>
      <c r="X390" s="19"/>
      <c r="Y390" s="19"/>
      <c r="Z390" t="str">
        <f>IF(Tabela1[[#This Row],[1]]&lt;&gt;"",IF(ISNUMBER(FIND(",",Tabela1[[#This Row],[1]])),LEN(Tabela1[[#This Row],[1]])-LEN(SUBSTITUTE(Tabela1[[#This Row],[1]],",",""))+1,1),"")</f>
        <v/>
      </c>
      <c r="AA390" t="str">
        <f>IF(Tabela1[[#This Row],[2]]&lt;&gt;"",IF(ISNUMBER(FIND(",",Tabela1[[#This Row],[2]])),LEN(Tabela1[[#This Row],[2]])-LEN(SUBSTITUTE(Tabela1[[#This Row],[2]],",",""))+1,1),"")</f>
        <v/>
      </c>
      <c r="AB390" t="str">
        <f>IF(Tabela1[[#This Row],[3]]&lt;&gt;"",IF(ISNUMBER(FIND(",",Tabela1[[#This Row],[3]])),LEN(Tabela1[[#This Row],[3]])-LEN(SUBSTITUTE(Tabela1[[#This Row],[3]],",",""))+1,1),"")</f>
        <v/>
      </c>
      <c r="AC390" t="str">
        <f>IF(Tabela1[[#This Row],[4]]&lt;&gt;"",IF(ISNUMBER(FIND(",",Tabela1[[#This Row],[4]])),LEN(Tabela1[[#This Row],[4]])-LEN(SUBSTITUTE(Tabela1[[#This Row],[4]],",",""))+1,1),"")</f>
        <v/>
      </c>
      <c r="AD390" t="str">
        <f>IF(Tabela1[[#This Row],[5]]&lt;&gt;"",IF(ISNUMBER(FIND(",",Tabela1[[#This Row],[5]])),LEN(Tabela1[[#This Row],[5]])-LEN(SUBSTITUTE(Tabela1[[#This Row],[5]],",",""))+1,1),"")</f>
        <v/>
      </c>
      <c r="AE390" t="str">
        <f>IF(Tabela1[[#This Row],[6]]&lt;&gt;"",IF(ISNUMBER(FIND(",",Tabela1[[#This Row],[6]])),LEN(Tabela1[[#This Row],[6]])-LEN(SUBSTITUTE(Tabela1[[#This Row],[6]],",",""))+1,1),"")</f>
        <v/>
      </c>
      <c r="AF390" t="str">
        <f>IF(Tabela1[[#This Row],[7]]&lt;&gt;"",IF(ISNUMBER(FIND(",",Tabela1[[#This Row],[7]])),LEN(Tabela1[[#This Row],[7]])-LEN(SUBSTITUTE(Tabela1[[#This Row],[7]],",",""))+1,1),"")</f>
        <v/>
      </c>
      <c r="AG390" t="str">
        <f>IF(Tabela1[[#This Row],[8]]&lt;&gt;"",IF(ISNUMBER(FIND(",",Tabela1[[#This Row],[8]])),LEN(Tabela1[[#This Row],[8]])-LEN(SUBSTITUTE(Tabela1[[#This Row],[8]],",",""))+1,1),"")</f>
        <v/>
      </c>
      <c r="AH390" t="str">
        <f>IF(Tabela1[[#This Row],[9]]&lt;&gt;"",IF(ISNUMBER(FIND(",",Tabela1[[#This Row],[9]])),LEN(Tabela1[[#This Row],[9]])-LEN(SUBSTITUTE(Tabela1[[#This Row],[9]],",",""))+1,1),"")</f>
        <v/>
      </c>
      <c r="AI390" t="str">
        <f>IF(Tabela1[[#This Row],[10]]&lt;&gt;"",IF(ISNUMBER(FIND(",",Tabela1[[#This Row],[10]])),LEN(Tabela1[[#This Row],[10]])-LEN(SUBSTITUTE(Tabela1[[#This Row],[10]],",",""))+1,1),"")</f>
        <v/>
      </c>
      <c r="AJ390" t="str">
        <f>IF(Tabela1[[#This Row],[11]]&lt;&gt;"",IF(ISNUMBER(FIND(",",Tabela1[[#This Row],[11]])),LEN(Tabela1[[#This Row],[11]])-LEN(SUBSTITUTE(Tabela1[[#This Row],[11]],",",""))+1,1),"")</f>
        <v/>
      </c>
      <c r="AK390" t="str">
        <f>IF(Tabela1[[#This Row],[12]]&lt;&gt;"",IF(ISNUMBER(FIND(",",Tabela1[[#This Row],[12]])),LEN(Tabela1[[#This Row],[12]])-LEN(SUBSTITUTE(Tabela1[[#This Row],[12]],",",""))+1,1),"")</f>
        <v/>
      </c>
      <c r="AL390" t="str">
        <f>IF(Tabela1[[#This Row],[13]]&lt;&gt;"",IF(ISNUMBER(FIND(",",Tabela1[[#This Row],[13]])),LEN(Tabela1[[#This Row],[13]])-LEN(SUBSTITUTE(Tabela1[[#This Row],[13]],",",""))+1,1),"")</f>
        <v/>
      </c>
      <c r="AM390" t="str">
        <f>IF(Tabela1[[#This Row],[14]]&lt;&gt;"",IF(ISNUMBER(FIND(",",Tabela1[[#This Row],[14]])),LEN(Tabela1[[#This Row],[14]])-LEN(SUBSTITUTE(Tabela1[[#This Row],[14]],",",""))+1,1),"")</f>
        <v/>
      </c>
      <c r="AN390" t="str">
        <f>IF(Tabela1[[#This Row],[15]]&lt;&gt;"",IF(ISNUMBER(FIND(",",Tabela1[[#This Row],[15]])),LEN(Tabela1[[#This Row],[15]])-LEN(SUBSTITUTE(Tabela1[[#This Row],[15]],",",""))+1,1),"")</f>
        <v/>
      </c>
      <c r="AO390" t="str">
        <f>IF(Tabela1[[#This Row],[16]]&lt;&gt;"",IF(ISNUMBER(FIND(",",Tabela1[[#This Row],[16]])),LEN(Tabela1[[#This Row],[16]])-LEN(SUBSTITUTE(Tabela1[[#This Row],[16]],",",""))+1,1),"")</f>
        <v/>
      </c>
      <c r="AP390">
        <f>IF(Tabela1[[#This Row],[17]]&lt;&gt;"",IF(ISNUMBER(FIND(",",Tabela1[[#This Row],[17]])),LEN(Tabela1[[#This Row],[17]])-LEN(SUBSTITUTE(Tabela1[[#This Row],[17]],",",""))+1,1),"")</f>
        <v>1</v>
      </c>
      <c r="AQ390" t="str">
        <f>IF(Tabela1[[#This Row],[18]]&lt;&gt;"",IF(ISNUMBER(FIND(",",Tabela1[[#This Row],[18]])),LEN(Tabela1[[#This Row],[18]])-LEN(SUBSTITUTE(Tabela1[[#This Row],[18]],",",""))+1,1),"")</f>
        <v/>
      </c>
      <c r="AR390" s="13" t="str">
        <f>IF(Tabela1[[#This Row],[19_LENGTH]]&lt;&gt;"",IF(ISNUMBER(FIND(",",Tabela1[[#This Row],[19_LENGTH]])),LEN(Tabela1[[#This Row],[19_LENGTH]])-LEN(SUBSTITUTE(Tabela1[[#This Row],[19_LENGTH]],",",""))+1,1),"")</f>
        <v/>
      </c>
      <c r="AS390" s="21">
        <f>SUM(Tabela1[[#This Row],[1_]:[19_]])</f>
        <v>1</v>
      </c>
    </row>
    <row r="391" spans="1:45" x14ac:dyDescent="0.25">
      <c r="A391" s="27" t="s">
        <v>1323</v>
      </c>
      <c r="B391" s="19" t="s">
        <v>819</v>
      </c>
      <c r="C391" s="19">
        <v>202</v>
      </c>
      <c r="D391" s="19" t="s">
        <v>1297</v>
      </c>
      <c r="E391" s="20">
        <v>43518</v>
      </c>
      <c r="F391" s="19"/>
      <c r="G391" s="19"/>
      <c r="H391" s="19"/>
      <c r="I391" s="19">
        <v>146</v>
      </c>
      <c r="J391" s="19"/>
      <c r="K391" s="19"/>
      <c r="L391" s="19"/>
      <c r="M391" s="19"/>
      <c r="N391" s="19"/>
      <c r="O391" s="19"/>
      <c r="P391" s="19"/>
      <c r="Q391" s="19"/>
      <c r="R391" s="19"/>
      <c r="S391" s="19"/>
      <c r="T391" s="19"/>
      <c r="U391" s="19"/>
      <c r="V391" s="19"/>
      <c r="W391" s="19"/>
      <c r="X391" s="19"/>
      <c r="Y391" s="19"/>
      <c r="Z391" t="str">
        <f>IF(Tabela1[[#This Row],[1]]&lt;&gt;"",IF(ISNUMBER(FIND(",",Tabela1[[#This Row],[1]])),LEN(Tabela1[[#This Row],[1]])-LEN(SUBSTITUTE(Tabela1[[#This Row],[1]],",",""))+1,1),"")</f>
        <v/>
      </c>
      <c r="AA391" t="str">
        <f>IF(Tabela1[[#This Row],[2]]&lt;&gt;"",IF(ISNUMBER(FIND(",",Tabela1[[#This Row],[2]])),LEN(Tabela1[[#This Row],[2]])-LEN(SUBSTITUTE(Tabela1[[#This Row],[2]],",",""))+1,1),"")</f>
        <v/>
      </c>
      <c r="AB391" t="str">
        <f>IF(Tabela1[[#This Row],[3]]&lt;&gt;"",IF(ISNUMBER(FIND(",",Tabela1[[#This Row],[3]])),LEN(Tabela1[[#This Row],[3]])-LEN(SUBSTITUTE(Tabela1[[#This Row],[3]],",",""))+1,1),"")</f>
        <v/>
      </c>
      <c r="AC391">
        <f>IF(Tabela1[[#This Row],[4]]&lt;&gt;"",IF(ISNUMBER(FIND(",",Tabela1[[#This Row],[4]])),LEN(Tabela1[[#This Row],[4]])-LEN(SUBSTITUTE(Tabela1[[#This Row],[4]],",",""))+1,1),"")</f>
        <v>1</v>
      </c>
      <c r="AD391" t="str">
        <f>IF(Tabela1[[#This Row],[5]]&lt;&gt;"",IF(ISNUMBER(FIND(",",Tabela1[[#This Row],[5]])),LEN(Tabela1[[#This Row],[5]])-LEN(SUBSTITUTE(Tabela1[[#This Row],[5]],",",""))+1,1),"")</f>
        <v/>
      </c>
      <c r="AE391" t="str">
        <f>IF(Tabela1[[#This Row],[6]]&lt;&gt;"",IF(ISNUMBER(FIND(",",Tabela1[[#This Row],[6]])),LEN(Tabela1[[#This Row],[6]])-LEN(SUBSTITUTE(Tabela1[[#This Row],[6]],",",""))+1,1),"")</f>
        <v/>
      </c>
      <c r="AF391" t="str">
        <f>IF(Tabela1[[#This Row],[7]]&lt;&gt;"",IF(ISNUMBER(FIND(",",Tabela1[[#This Row],[7]])),LEN(Tabela1[[#This Row],[7]])-LEN(SUBSTITUTE(Tabela1[[#This Row],[7]],",",""))+1,1),"")</f>
        <v/>
      </c>
      <c r="AG391" t="str">
        <f>IF(Tabela1[[#This Row],[8]]&lt;&gt;"",IF(ISNUMBER(FIND(",",Tabela1[[#This Row],[8]])),LEN(Tabela1[[#This Row],[8]])-LEN(SUBSTITUTE(Tabela1[[#This Row],[8]],",",""))+1,1),"")</f>
        <v/>
      </c>
      <c r="AH391" t="str">
        <f>IF(Tabela1[[#This Row],[9]]&lt;&gt;"",IF(ISNUMBER(FIND(",",Tabela1[[#This Row],[9]])),LEN(Tabela1[[#This Row],[9]])-LEN(SUBSTITUTE(Tabela1[[#This Row],[9]],",",""))+1,1),"")</f>
        <v/>
      </c>
      <c r="AI391" t="str">
        <f>IF(Tabela1[[#This Row],[10]]&lt;&gt;"",IF(ISNUMBER(FIND(",",Tabela1[[#This Row],[10]])),LEN(Tabela1[[#This Row],[10]])-LEN(SUBSTITUTE(Tabela1[[#This Row],[10]],",",""))+1,1),"")</f>
        <v/>
      </c>
      <c r="AJ391" t="str">
        <f>IF(Tabela1[[#This Row],[11]]&lt;&gt;"",IF(ISNUMBER(FIND(",",Tabela1[[#This Row],[11]])),LEN(Tabela1[[#This Row],[11]])-LEN(SUBSTITUTE(Tabela1[[#This Row],[11]],",",""))+1,1),"")</f>
        <v/>
      </c>
      <c r="AK391" t="str">
        <f>IF(Tabela1[[#This Row],[12]]&lt;&gt;"",IF(ISNUMBER(FIND(",",Tabela1[[#This Row],[12]])),LEN(Tabela1[[#This Row],[12]])-LEN(SUBSTITUTE(Tabela1[[#This Row],[12]],",",""))+1,1),"")</f>
        <v/>
      </c>
      <c r="AL391" t="str">
        <f>IF(Tabela1[[#This Row],[13]]&lt;&gt;"",IF(ISNUMBER(FIND(",",Tabela1[[#This Row],[13]])),LEN(Tabela1[[#This Row],[13]])-LEN(SUBSTITUTE(Tabela1[[#This Row],[13]],",",""))+1,1),"")</f>
        <v/>
      </c>
      <c r="AM391" t="str">
        <f>IF(Tabela1[[#This Row],[14]]&lt;&gt;"",IF(ISNUMBER(FIND(",",Tabela1[[#This Row],[14]])),LEN(Tabela1[[#This Row],[14]])-LEN(SUBSTITUTE(Tabela1[[#This Row],[14]],",",""))+1,1),"")</f>
        <v/>
      </c>
      <c r="AN391" t="str">
        <f>IF(Tabela1[[#This Row],[15]]&lt;&gt;"",IF(ISNUMBER(FIND(",",Tabela1[[#This Row],[15]])),LEN(Tabela1[[#This Row],[15]])-LEN(SUBSTITUTE(Tabela1[[#This Row],[15]],",",""))+1,1),"")</f>
        <v/>
      </c>
      <c r="AO391" t="str">
        <f>IF(Tabela1[[#This Row],[16]]&lt;&gt;"",IF(ISNUMBER(FIND(",",Tabela1[[#This Row],[16]])),LEN(Tabela1[[#This Row],[16]])-LEN(SUBSTITUTE(Tabela1[[#This Row],[16]],",",""))+1,1),"")</f>
        <v/>
      </c>
      <c r="AP391" t="str">
        <f>IF(Tabela1[[#This Row],[17]]&lt;&gt;"",IF(ISNUMBER(FIND(",",Tabela1[[#This Row],[17]])),LEN(Tabela1[[#This Row],[17]])-LEN(SUBSTITUTE(Tabela1[[#This Row],[17]],",",""))+1,1),"")</f>
        <v/>
      </c>
      <c r="AQ391" t="str">
        <f>IF(Tabela1[[#This Row],[18]]&lt;&gt;"",IF(ISNUMBER(FIND(",",Tabela1[[#This Row],[18]])),LEN(Tabela1[[#This Row],[18]])-LEN(SUBSTITUTE(Tabela1[[#This Row],[18]],",",""))+1,1),"")</f>
        <v/>
      </c>
      <c r="AR391" s="13" t="str">
        <f>IF(Tabela1[[#This Row],[19_LENGTH]]&lt;&gt;"",IF(ISNUMBER(FIND(",",Tabela1[[#This Row],[19_LENGTH]])),LEN(Tabela1[[#This Row],[19_LENGTH]])-LEN(SUBSTITUTE(Tabela1[[#This Row],[19_LENGTH]],",",""))+1,1),"")</f>
        <v/>
      </c>
      <c r="AS391" s="21">
        <f>SUM(Tabela1[[#This Row],[1_]:[19_]])</f>
        <v>1</v>
      </c>
    </row>
    <row r="392" spans="1:45" x14ac:dyDescent="0.25">
      <c r="A392" s="27" t="s">
        <v>1326</v>
      </c>
      <c r="B392" s="19" t="s">
        <v>504</v>
      </c>
      <c r="C392" s="19">
        <v>102</v>
      </c>
      <c r="D392" s="19" t="s">
        <v>1298</v>
      </c>
      <c r="E392" s="20">
        <v>43518</v>
      </c>
      <c r="F392" s="19"/>
      <c r="G392" s="19"/>
      <c r="H392" s="19" t="s">
        <v>161</v>
      </c>
      <c r="I392" s="19"/>
      <c r="J392" s="19"/>
      <c r="K392" s="19"/>
      <c r="L392" s="19"/>
      <c r="M392" s="19"/>
      <c r="N392" s="19"/>
      <c r="O392" s="19"/>
      <c r="P392" s="19"/>
      <c r="Q392" s="19"/>
      <c r="R392" s="19"/>
      <c r="S392" s="19"/>
      <c r="T392" s="19"/>
      <c r="U392" s="19"/>
      <c r="V392" s="19"/>
      <c r="W392" s="19"/>
      <c r="X392" s="19"/>
      <c r="Y392" s="19"/>
      <c r="Z392" t="str">
        <f>IF(Tabela1[[#This Row],[1]]&lt;&gt;"",IF(ISNUMBER(FIND(",",Tabela1[[#This Row],[1]])),LEN(Tabela1[[#This Row],[1]])-LEN(SUBSTITUTE(Tabela1[[#This Row],[1]],",",""))+1,1),"")</f>
        <v/>
      </c>
      <c r="AA392" t="str">
        <f>IF(Tabela1[[#This Row],[2]]&lt;&gt;"",IF(ISNUMBER(FIND(",",Tabela1[[#This Row],[2]])),LEN(Tabela1[[#This Row],[2]])-LEN(SUBSTITUTE(Tabela1[[#This Row],[2]],",",""))+1,1),"")</f>
        <v/>
      </c>
      <c r="AB392">
        <f>IF(Tabela1[[#This Row],[3]]&lt;&gt;"",IF(ISNUMBER(FIND(",",Tabela1[[#This Row],[3]])),LEN(Tabela1[[#This Row],[3]])-LEN(SUBSTITUTE(Tabela1[[#This Row],[3]],",",""))+1,1),"")</f>
        <v>1</v>
      </c>
      <c r="AC392" t="str">
        <f>IF(Tabela1[[#This Row],[4]]&lt;&gt;"",IF(ISNUMBER(FIND(",",Tabela1[[#This Row],[4]])),LEN(Tabela1[[#This Row],[4]])-LEN(SUBSTITUTE(Tabela1[[#This Row],[4]],",",""))+1,1),"")</f>
        <v/>
      </c>
      <c r="AD392" t="str">
        <f>IF(Tabela1[[#This Row],[5]]&lt;&gt;"",IF(ISNUMBER(FIND(",",Tabela1[[#This Row],[5]])),LEN(Tabela1[[#This Row],[5]])-LEN(SUBSTITUTE(Tabela1[[#This Row],[5]],",",""))+1,1),"")</f>
        <v/>
      </c>
      <c r="AE392" t="str">
        <f>IF(Tabela1[[#This Row],[6]]&lt;&gt;"",IF(ISNUMBER(FIND(",",Tabela1[[#This Row],[6]])),LEN(Tabela1[[#This Row],[6]])-LEN(SUBSTITUTE(Tabela1[[#This Row],[6]],",",""))+1,1),"")</f>
        <v/>
      </c>
      <c r="AF392" t="str">
        <f>IF(Tabela1[[#This Row],[7]]&lt;&gt;"",IF(ISNUMBER(FIND(",",Tabela1[[#This Row],[7]])),LEN(Tabela1[[#This Row],[7]])-LEN(SUBSTITUTE(Tabela1[[#This Row],[7]],",",""))+1,1),"")</f>
        <v/>
      </c>
      <c r="AG392" t="str">
        <f>IF(Tabela1[[#This Row],[8]]&lt;&gt;"",IF(ISNUMBER(FIND(",",Tabela1[[#This Row],[8]])),LEN(Tabela1[[#This Row],[8]])-LEN(SUBSTITUTE(Tabela1[[#This Row],[8]],",",""))+1,1),"")</f>
        <v/>
      </c>
      <c r="AH392" t="str">
        <f>IF(Tabela1[[#This Row],[9]]&lt;&gt;"",IF(ISNUMBER(FIND(",",Tabela1[[#This Row],[9]])),LEN(Tabela1[[#This Row],[9]])-LEN(SUBSTITUTE(Tabela1[[#This Row],[9]],",",""))+1,1),"")</f>
        <v/>
      </c>
      <c r="AI392" t="str">
        <f>IF(Tabela1[[#This Row],[10]]&lt;&gt;"",IF(ISNUMBER(FIND(",",Tabela1[[#This Row],[10]])),LEN(Tabela1[[#This Row],[10]])-LEN(SUBSTITUTE(Tabela1[[#This Row],[10]],",",""))+1,1),"")</f>
        <v/>
      </c>
      <c r="AJ392" t="str">
        <f>IF(Tabela1[[#This Row],[11]]&lt;&gt;"",IF(ISNUMBER(FIND(",",Tabela1[[#This Row],[11]])),LEN(Tabela1[[#This Row],[11]])-LEN(SUBSTITUTE(Tabela1[[#This Row],[11]],",",""))+1,1),"")</f>
        <v/>
      </c>
      <c r="AK392" t="str">
        <f>IF(Tabela1[[#This Row],[12]]&lt;&gt;"",IF(ISNUMBER(FIND(",",Tabela1[[#This Row],[12]])),LEN(Tabela1[[#This Row],[12]])-LEN(SUBSTITUTE(Tabela1[[#This Row],[12]],",",""))+1,1),"")</f>
        <v/>
      </c>
      <c r="AL392" t="str">
        <f>IF(Tabela1[[#This Row],[13]]&lt;&gt;"",IF(ISNUMBER(FIND(",",Tabela1[[#This Row],[13]])),LEN(Tabela1[[#This Row],[13]])-LEN(SUBSTITUTE(Tabela1[[#This Row],[13]],",",""))+1,1),"")</f>
        <v/>
      </c>
      <c r="AM392" t="str">
        <f>IF(Tabela1[[#This Row],[14]]&lt;&gt;"",IF(ISNUMBER(FIND(",",Tabela1[[#This Row],[14]])),LEN(Tabela1[[#This Row],[14]])-LEN(SUBSTITUTE(Tabela1[[#This Row],[14]],",",""))+1,1),"")</f>
        <v/>
      </c>
      <c r="AN392" t="str">
        <f>IF(Tabela1[[#This Row],[15]]&lt;&gt;"",IF(ISNUMBER(FIND(",",Tabela1[[#This Row],[15]])),LEN(Tabela1[[#This Row],[15]])-LEN(SUBSTITUTE(Tabela1[[#This Row],[15]],",",""))+1,1),"")</f>
        <v/>
      </c>
      <c r="AO392" t="str">
        <f>IF(Tabela1[[#This Row],[16]]&lt;&gt;"",IF(ISNUMBER(FIND(",",Tabela1[[#This Row],[16]])),LEN(Tabela1[[#This Row],[16]])-LEN(SUBSTITUTE(Tabela1[[#This Row],[16]],",",""))+1,1),"")</f>
        <v/>
      </c>
      <c r="AP392" t="str">
        <f>IF(Tabela1[[#This Row],[17]]&lt;&gt;"",IF(ISNUMBER(FIND(",",Tabela1[[#This Row],[17]])),LEN(Tabela1[[#This Row],[17]])-LEN(SUBSTITUTE(Tabela1[[#This Row],[17]],",",""))+1,1),"")</f>
        <v/>
      </c>
      <c r="AQ392" t="str">
        <f>IF(Tabela1[[#This Row],[18]]&lt;&gt;"",IF(ISNUMBER(FIND(",",Tabela1[[#This Row],[18]])),LEN(Tabela1[[#This Row],[18]])-LEN(SUBSTITUTE(Tabela1[[#This Row],[18]],",",""))+1,1),"")</f>
        <v/>
      </c>
      <c r="AR392" s="13" t="str">
        <f>IF(Tabela1[[#This Row],[19_LENGTH]]&lt;&gt;"",IF(ISNUMBER(FIND(",",Tabela1[[#This Row],[19_LENGTH]])),LEN(Tabela1[[#This Row],[19_LENGTH]])-LEN(SUBSTITUTE(Tabela1[[#This Row],[19_LENGTH]],",",""))+1,1),"")</f>
        <v/>
      </c>
      <c r="AS392" s="21">
        <f>SUM(Tabela1[[#This Row],[1_]:[19_]])</f>
        <v>1</v>
      </c>
    </row>
    <row r="393" spans="1:45" x14ac:dyDescent="0.25">
      <c r="A393" s="27" t="s">
        <v>1326</v>
      </c>
      <c r="B393" s="19" t="s">
        <v>505</v>
      </c>
      <c r="C393" s="19">
        <v>101</v>
      </c>
      <c r="D393" s="19" t="s">
        <v>1298</v>
      </c>
      <c r="E393" s="20">
        <v>43518</v>
      </c>
      <c r="F393" s="19"/>
      <c r="G393" s="19"/>
      <c r="H393" s="19" t="s">
        <v>162</v>
      </c>
      <c r="I393" s="19"/>
      <c r="J393" s="19">
        <v>73</v>
      </c>
      <c r="K393" s="19"/>
      <c r="L393" s="19"/>
      <c r="M393" s="19"/>
      <c r="N393" s="19"/>
      <c r="O393" s="19"/>
      <c r="P393" s="19"/>
      <c r="Q393" s="19"/>
      <c r="R393" s="19"/>
      <c r="S393" s="19"/>
      <c r="T393" s="19"/>
      <c r="U393" s="19"/>
      <c r="V393" s="19"/>
      <c r="W393" s="19"/>
      <c r="X393" s="19"/>
      <c r="Y393" s="19"/>
      <c r="Z393" t="str">
        <f>IF(Tabela1[[#This Row],[1]]&lt;&gt;"",IF(ISNUMBER(FIND(",",Tabela1[[#This Row],[1]])),LEN(Tabela1[[#This Row],[1]])-LEN(SUBSTITUTE(Tabela1[[#This Row],[1]],",",""))+1,1),"")</f>
        <v/>
      </c>
      <c r="AA393" t="str">
        <f>IF(Tabela1[[#This Row],[2]]&lt;&gt;"",IF(ISNUMBER(FIND(",",Tabela1[[#This Row],[2]])),LEN(Tabela1[[#This Row],[2]])-LEN(SUBSTITUTE(Tabela1[[#This Row],[2]],",",""))+1,1),"")</f>
        <v/>
      </c>
      <c r="AB393">
        <f>IF(Tabela1[[#This Row],[3]]&lt;&gt;"",IF(ISNUMBER(FIND(",",Tabela1[[#This Row],[3]])),LEN(Tabela1[[#This Row],[3]])-LEN(SUBSTITUTE(Tabela1[[#This Row],[3]],",",""))+1,1),"")</f>
        <v>2</v>
      </c>
      <c r="AC393" t="str">
        <f>IF(Tabela1[[#This Row],[4]]&lt;&gt;"",IF(ISNUMBER(FIND(",",Tabela1[[#This Row],[4]])),LEN(Tabela1[[#This Row],[4]])-LEN(SUBSTITUTE(Tabela1[[#This Row],[4]],",",""))+1,1),"")</f>
        <v/>
      </c>
      <c r="AD393">
        <f>IF(Tabela1[[#This Row],[5]]&lt;&gt;"",IF(ISNUMBER(FIND(",",Tabela1[[#This Row],[5]])),LEN(Tabela1[[#This Row],[5]])-LEN(SUBSTITUTE(Tabela1[[#This Row],[5]],",",""))+1,1),"")</f>
        <v>1</v>
      </c>
      <c r="AE393" t="str">
        <f>IF(Tabela1[[#This Row],[6]]&lt;&gt;"",IF(ISNUMBER(FIND(",",Tabela1[[#This Row],[6]])),LEN(Tabela1[[#This Row],[6]])-LEN(SUBSTITUTE(Tabela1[[#This Row],[6]],",",""))+1,1),"")</f>
        <v/>
      </c>
      <c r="AF393" t="str">
        <f>IF(Tabela1[[#This Row],[7]]&lt;&gt;"",IF(ISNUMBER(FIND(",",Tabela1[[#This Row],[7]])),LEN(Tabela1[[#This Row],[7]])-LEN(SUBSTITUTE(Tabela1[[#This Row],[7]],",",""))+1,1),"")</f>
        <v/>
      </c>
      <c r="AG393" t="str">
        <f>IF(Tabela1[[#This Row],[8]]&lt;&gt;"",IF(ISNUMBER(FIND(",",Tabela1[[#This Row],[8]])),LEN(Tabela1[[#This Row],[8]])-LEN(SUBSTITUTE(Tabela1[[#This Row],[8]],",",""))+1,1),"")</f>
        <v/>
      </c>
      <c r="AH393" t="str">
        <f>IF(Tabela1[[#This Row],[9]]&lt;&gt;"",IF(ISNUMBER(FIND(",",Tabela1[[#This Row],[9]])),LEN(Tabela1[[#This Row],[9]])-LEN(SUBSTITUTE(Tabela1[[#This Row],[9]],",",""))+1,1),"")</f>
        <v/>
      </c>
      <c r="AI393" t="str">
        <f>IF(Tabela1[[#This Row],[10]]&lt;&gt;"",IF(ISNUMBER(FIND(",",Tabela1[[#This Row],[10]])),LEN(Tabela1[[#This Row],[10]])-LEN(SUBSTITUTE(Tabela1[[#This Row],[10]],",",""))+1,1),"")</f>
        <v/>
      </c>
      <c r="AJ393" t="str">
        <f>IF(Tabela1[[#This Row],[11]]&lt;&gt;"",IF(ISNUMBER(FIND(",",Tabela1[[#This Row],[11]])),LEN(Tabela1[[#This Row],[11]])-LEN(SUBSTITUTE(Tabela1[[#This Row],[11]],",",""))+1,1),"")</f>
        <v/>
      </c>
      <c r="AK393" t="str">
        <f>IF(Tabela1[[#This Row],[12]]&lt;&gt;"",IF(ISNUMBER(FIND(",",Tabela1[[#This Row],[12]])),LEN(Tabela1[[#This Row],[12]])-LEN(SUBSTITUTE(Tabela1[[#This Row],[12]],",",""))+1,1),"")</f>
        <v/>
      </c>
      <c r="AL393" t="str">
        <f>IF(Tabela1[[#This Row],[13]]&lt;&gt;"",IF(ISNUMBER(FIND(",",Tabela1[[#This Row],[13]])),LEN(Tabela1[[#This Row],[13]])-LEN(SUBSTITUTE(Tabela1[[#This Row],[13]],",",""))+1,1),"")</f>
        <v/>
      </c>
      <c r="AM393" t="str">
        <f>IF(Tabela1[[#This Row],[14]]&lt;&gt;"",IF(ISNUMBER(FIND(",",Tabela1[[#This Row],[14]])),LEN(Tabela1[[#This Row],[14]])-LEN(SUBSTITUTE(Tabela1[[#This Row],[14]],",",""))+1,1),"")</f>
        <v/>
      </c>
      <c r="AN393" t="str">
        <f>IF(Tabela1[[#This Row],[15]]&lt;&gt;"",IF(ISNUMBER(FIND(",",Tabela1[[#This Row],[15]])),LEN(Tabela1[[#This Row],[15]])-LEN(SUBSTITUTE(Tabela1[[#This Row],[15]],",",""))+1,1),"")</f>
        <v/>
      </c>
      <c r="AO393" t="str">
        <f>IF(Tabela1[[#This Row],[16]]&lt;&gt;"",IF(ISNUMBER(FIND(",",Tabela1[[#This Row],[16]])),LEN(Tabela1[[#This Row],[16]])-LEN(SUBSTITUTE(Tabela1[[#This Row],[16]],",",""))+1,1),"")</f>
        <v/>
      </c>
      <c r="AP393" t="str">
        <f>IF(Tabela1[[#This Row],[17]]&lt;&gt;"",IF(ISNUMBER(FIND(",",Tabela1[[#This Row],[17]])),LEN(Tabela1[[#This Row],[17]])-LEN(SUBSTITUTE(Tabela1[[#This Row],[17]],",",""))+1,1),"")</f>
        <v/>
      </c>
      <c r="AQ393" t="str">
        <f>IF(Tabela1[[#This Row],[18]]&lt;&gt;"",IF(ISNUMBER(FIND(",",Tabela1[[#This Row],[18]])),LEN(Tabela1[[#This Row],[18]])-LEN(SUBSTITUTE(Tabela1[[#This Row],[18]],",",""))+1,1),"")</f>
        <v/>
      </c>
      <c r="AR393" s="13" t="str">
        <f>IF(Tabela1[[#This Row],[19_LENGTH]]&lt;&gt;"",IF(ISNUMBER(FIND(",",Tabela1[[#This Row],[19_LENGTH]])),LEN(Tabela1[[#This Row],[19_LENGTH]])-LEN(SUBSTITUTE(Tabela1[[#This Row],[19_LENGTH]],",",""))+1,1),"")</f>
        <v/>
      </c>
      <c r="AS393" s="21">
        <f>SUM(Tabela1[[#This Row],[1_]:[19_]])</f>
        <v>3</v>
      </c>
    </row>
    <row r="394" spans="1:45" x14ac:dyDescent="0.25">
      <c r="A394" s="27" t="s">
        <v>1327</v>
      </c>
      <c r="B394" s="19" t="s">
        <v>506</v>
      </c>
      <c r="C394" s="19">
        <v>202</v>
      </c>
      <c r="D394" s="19" t="s">
        <v>1304</v>
      </c>
      <c r="E394" s="20">
        <v>43526</v>
      </c>
      <c r="F394" s="19"/>
      <c r="G394" s="19"/>
      <c r="H394" s="19"/>
      <c r="I394" s="19">
        <v>114</v>
      </c>
      <c r="J394" s="19"/>
      <c r="K394" s="19"/>
      <c r="L394" s="19"/>
      <c r="M394" s="19"/>
      <c r="N394" s="19" t="s">
        <v>163</v>
      </c>
      <c r="O394" s="19"/>
      <c r="P394" s="19"/>
      <c r="Q394" s="19"/>
      <c r="R394" s="19"/>
      <c r="S394" s="19"/>
      <c r="T394" s="19"/>
      <c r="U394" s="19"/>
      <c r="V394" s="19">
        <v>114</v>
      </c>
      <c r="W394" s="19"/>
      <c r="X394" s="19"/>
      <c r="Y394" s="19"/>
      <c r="Z394" t="str">
        <f>IF(Tabela1[[#This Row],[1]]&lt;&gt;"",IF(ISNUMBER(FIND(",",Tabela1[[#This Row],[1]])),LEN(Tabela1[[#This Row],[1]])-LEN(SUBSTITUTE(Tabela1[[#This Row],[1]],",",""))+1,1),"")</f>
        <v/>
      </c>
      <c r="AA394" t="str">
        <f>IF(Tabela1[[#This Row],[2]]&lt;&gt;"",IF(ISNUMBER(FIND(",",Tabela1[[#This Row],[2]])),LEN(Tabela1[[#This Row],[2]])-LEN(SUBSTITUTE(Tabela1[[#This Row],[2]],",",""))+1,1),"")</f>
        <v/>
      </c>
      <c r="AB394" t="str">
        <f>IF(Tabela1[[#This Row],[3]]&lt;&gt;"",IF(ISNUMBER(FIND(",",Tabela1[[#This Row],[3]])),LEN(Tabela1[[#This Row],[3]])-LEN(SUBSTITUTE(Tabela1[[#This Row],[3]],",",""))+1,1),"")</f>
        <v/>
      </c>
      <c r="AC394">
        <f>IF(Tabela1[[#This Row],[4]]&lt;&gt;"",IF(ISNUMBER(FIND(",",Tabela1[[#This Row],[4]])),LEN(Tabela1[[#This Row],[4]])-LEN(SUBSTITUTE(Tabela1[[#This Row],[4]],",",""))+1,1),"")</f>
        <v>1</v>
      </c>
      <c r="AD394" t="str">
        <f>IF(Tabela1[[#This Row],[5]]&lt;&gt;"",IF(ISNUMBER(FIND(",",Tabela1[[#This Row],[5]])),LEN(Tabela1[[#This Row],[5]])-LEN(SUBSTITUTE(Tabela1[[#This Row],[5]],",",""))+1,1),"")</f>
        <v/>
      </c>
      <c r="AE394" t="str">
        <f>IF(Tabela1[[#This Row],[6]]&lt;&gt;"",IF(ISNUMBER(FIND(",",Tabela1[[#This Row],[6]])),LEN(Tabela1[[#This Row],[6]])-LEN(SUBSTITUTE(Tabela1[[#This Row],[6]],",",""))+1,1),"")</f>
        <v/>
      </c>
      <c r="AF394" t="str">
        <f>IF(Tabela1[[#This Row],[7]]&lt;&gt;"",IF(ISNUMBER(FIND(",",Tabela1[[#This Row],[7]])),LEN(Tabela1[[#This Row],[7]])-LEN(SUBSTITUTE(Tabela1[[#This Row],[7]],",",""))+1,1),"")</f>
        <v/>
      </c>
      <c r="AG394" t="str">
        <f>IF(Tabela1[[#This Row],[8]]&lt;&gt;"",IF(ISNUMBER(FIND(",",Tabela1[[#This Row],[8]])),LEN(Tabela1[[#This Row],[8]])-LEN(SUBSTITUTE(Tabela1[[#This Row],[8]],",",""))+1,1),"")</f>
        <v/>
      </c>
      <c r="AH394">
        <f>IF(Tabela1[[#This Row],[9]]&lt;&gt;"",IF(ISNUMBER(FIND(",",Tabela1[[#This Row],[9]])),LEN(Tabela1[[#This Row],[9]])-LEN(SUBSTITUTE(Tabela1[[#This Row],[9]],",",""))+1,1),"")</f>
        <v>2</v>
      </c>
      <c r="AI394" t="str">
        <f>IF(Tabela1[[#This Row],[10]]&lt;&gt;"",IF(ISNUMBER(FIND(",",Tabela1[[#This Row],[10]])),LEN(Tabela1[[#This Row],[10]])-LEN(SUBSTITUTE(Tabela1[[#This Row],[10]],",",""))+1,1),"")</f>
        <v/>
      </c>
      <c r="AJ394" t="str">
        <f>IF(Tabela1[[#This Row],[11]]&lt;&gt;"",IF(ISNUMBER(FIND(",",Tabela1[[#This Row],[11]])),LEN(Tabela1[[#This Row],[11]])-LEN(SUBSTITUTE(Tabela1[[#This Row],[11]],",",""))+1,1),"")</f>
        <v/>
      </c>
      <c r="AK394" t="str">
        <f>IF(Tabela1[[#This Row],[12]]&lt;&gt;"",IF(ISNUMBER(FIND(",",Tabela1[[#This Row],[12]])),LEN(Tabela1[[#This Row],[12]])-LEN(SUBSTITUTE(Tabela1[[#This Row],[12]],",",""))+1,1),"")</f>
        <v/>
      </c>
      <c r="AL394" t="str">
        <f>IF(Tabela1[[#This Row],[13]]&lt;&gt;"",IF(ISNUMBER(FIND(",",Tabela1[[#This Row],[13]])),LEN(Tabela1[[#This Row],[13]])-LEN(SUBSTITUTE(Tabela1[[#This Row],[13]],",",""))+1,1),"")</f>
        <v/>
      </c>
      <c r="AM394" t="str">
        <f>IF(Tabela1[[#This Row],[14]]&lt;&gt;"",IF(ISNUMBER(FIND(",",Tabela1[[#This Row],[14]])),LEN(Tabela1[[#This Row],[14]])-LEN(SUBSTITUTE(Tabela1[[#This Row],[14]],",",""))+1,1),"")</f>
        <v/>
      </c>
      <c r="AN394" t="str">
        <f>IF(Tabela1[[#This Row],[15]]&lt;&gt;"",IF(ISNUMBER(FIND(",",Tabela1[[#This Row],[15]])),LEN(Tabela1[[#This Row],[15]])-LEN(SUBSTITUTE(Tabela1[[#This Row],[15]],",",""))+1,1),"")</f>
        <v/>
      </c>
      <c r="AO394" t="str">
        <f>IF(Tabela1[[#This Row],[16]]&lt;&gt;"",IF(ISNUMBER(FIND(",",Tabela1[[#This Row],[16]])),LEN(Tabela1[[#This Row],[16]])-LEN(SUBSTITUTE(Tabela1[[#This Row],[16]],",",""))+1,1),"")</f>
        <v/>
      </c>
      <c r="AP394">
        <f>IF(Tabela1[[#This Row],[17]]&lt;&gt;"",IF(ISNUMBER(FIND(",",Tabela1[[#This Row],[17]])),LEN(Tabela1[[#This Row],[17]])-LEN(SUBSTITUTE(Tabela1[[#This Row],[17]],",",""))+1,1),"")</f>
        <v>1</v>
      </c>
      <c r="AQ394" t="str">
        <f>IF(Tabela1[[#This Row],[18]]&lt;&gt;"",IF(ISNUMBER(FIND(",",Tabela1[[#This Row],[18]])),LEN(Tabela1[[#This Row],[18]])-LEN(SUBSTITUTE(Tabela1[[#This Row],[18]],",",""))+1,1),"")</f>
        <v/>
      </c>
      <c r="AR394" s="13" t="str">
        <f>IF(Tabela1[[#This Row],[19_LENGTH]]&lt;&gt;"",IF(ISNUMBER(FIND(",",Tabela1[[#This Row],[19_LENGTH]])),LEN(Tabela1[[#This Row],[19_LENGTH]])-LEN(SUBSTITUTE(Tabela1[[#This Row],[19_LENGTH]],",",""))+1,1),"")</f>
        <v/>
      </c>
      <c r="AS394" s="21">
        <f>SUM(Tabela1[[#This Row],[1_]:[19_]])</f>
        <v>4</v>
      </c>
    </row>
    <row r="395" spans="1:45" x14ac:dyDescent="0.25">
      <c r="A395" s="27" t="s">
        <v>1327</v>
      </c>
      <c r="B395" s="19" t="s">
        <v>507</v>
      </c>
      <c r="C395" s="19">
        <v>202</v>
      </c>
      <c r="D395" s="19" t="s">
        <v>1304</v>
      </c>
      <c r="E395" s="20">
        <v>43526</v>
      </c>
      <c r="F395" s="19"/>
      <c r="G395" s="19" t="s">
        <v>164</v>
      </c>
      <c r="H395" s="19"/>
      <c r="I395" s="19">
        <v>50</v>
      </c>
      <c r="J395" s="19"/>
      <c r="K395" s="19"/>
      <c r="L395" s="19"/>
      <c r="M395" s="19"/>
      <c r="N395" s="19"/>
      <c r="O395" s="19"/>
      <c r="P395" s="19"/>
      <c r="Q395" s="19"/>
      <c r="R395" s="19" t="s">
        <v>165</v>
      </c>
      <c r="S395" s="19"/>
      <c r="T395" s="19"/>
      <c r="U395" s="19"/>
      <c r="V395" s="19"/>
      <c r="W395" s="19">
        <v>50</v>
      </c>
      <c r="X395" s="19"/>
      <c r="Y395" s="19"/>
      <c r="Z395" t="str">
        <f>IF(Tabela1[[#This Row],[1]]&lt;&gt;"",IF(ISNUMBER(FIND(",",Tabela1[[#This Row],[1]])),LEN(Tabela1[[#This Row],[1]])-LEN(SUBSTITUTE(Tabela1[[#This Row],[1]],",",""))+1,1),"")</f>
        <v/>
      </c>
      <c r="AA395">
        <f>IF(Tabela1[[#This Row],[2]]&lt;&gt;"",IF(ISNUMBER(FIND(",",Tabela1[[#This Row],[2]])),LEN(Tabela1[[#This Row],[2]])-LEN(SUBSTITUTE(Tabela1[[#This Row],[2]],",",""))+1,1),"")</f>
        <v>2</v>
      </c>
      <c r="AB395" t="str">
        <f>IF(Tabela1[[#This Row],[3]]&lt;&gt;"",IF(ISNUMBER(FIND(",",Tabela1[[#This Row],[3]])),LEN(Tabela1[[#This Row],[3]])-LEN(SUBSTITUTE(Tabela1[[#This Row],[3]],",",""))+1,1),"")</f>
        <v/>
      </c>
      <c r="AC395">
        <f>IF(Tabela1[[#This Row],[4]]&lt;&gt;"",IF(ISNUMBER(FIND(",",Tabela1[[#This Row],[4]])),LEN(Tabela1[[#This Row],[4]])-LEN(SUBSTITUTE(Tabela1[[#This Row],[4]],",",""))+1,1),"")</f>
        <v>1</v>
      </c>
      <c r="AD395" t="str">
        <f>IF(Tabela1[[#This Row],[5]]&lt;&gt;"",IF(ISNUMBER(FIND(",",Tabela1[[#This Row],[5]])),LEN(Tabela1[[#This Row],[5]])-LEN(SUBSTITUTE(Tabela1[[#This Row],[5]],",",""))+1,1),"")</f>
        <v/>
      </c>
      <c r="AE395" t="str">
        <f>IF(Tabela1[[#This Row],[6]]&lt;&gt;"",IF(ISNUMBER(FIND(",",Tabela1[[#This Row],[6]])),LEN(Tabela1[[#This Row],[6]])-LEN(SUBSTITUTE(Tabela1[[#This Row],[6]],",",""))+1,1),"")</f>
        <v/>
      </c>
      <c r="AF395" t="str">
        <f>IF(Tabela1[[#This Row],[7]]&lt;&gt;"",IF(ISNUMBER(FIND(",",Tabela1[[#This Row],[7]])),LEN(Tabela1[[#This Row],[7]])-LEN(SUBSTITUTE(Tabela1[[#This Row],[7]],",",""))+1,1),"")</f>
        <v/>
      </c>
      <c r="AG395" t="str">
        <f>IF(Tabela1[[#This Row],[8]]&lt;&gt;"",IF(ISNUMBER(FIND(",",Tabela1[[#This Row],[8]])),LEN(Tabela1[[#This Row],[8]])-LEN(SUBSTITUTE(Tabela1[[#This Row],[8]],",",""))+1,1),"")</f>
        <v/>
      </c>
      <c r="AH395" t="str">
        <f>IF(Tabela1[[#This Row],[9]]&lt;&gt;"",IF(ISNUMBER(FIND(",",Tabela1[[#This Row],[9]])),LEN(Tabela1[[#This Row],[9]])-LEN(SUBSTITUTE(Tabela1[[#This Row],[9]],",",""))+1,1),"")</f>
        <v/>
      </c>
      <c r="AI395" t="str">
        <f>IF(Tabela1[[#This Row],[10]]&lt;&gt;"",IF(ISNUMBER(FIND(",",Tabela1[[#This Row],[10]])),LEN(Tabela1[[#This Row],[10]])-LEN(SUBSTITUTE(Tabela1[[#This Row],[10]],",",""))+1,1),"")</f>
        <v/>
      </c>
      <c r="AJ395" t="str">
        <f>IF(Tabela1[[#This Row],[11]]&lt;&gt;"",IF(ISNUMBER(FIND(",",Tabela1[[#This Row],[11]])),LEN(Tabela1[[#This Row],[11]])-LEN(SUBSTITUTE(Tabela1[[#This Row],[11]],",",""))+1,1),"")</f>
        <v/>
      </c>
      <c r="AK395" t="str">
        <f>IF(Tabela1[[#This Row],[12]]&lt;&gt;"",IF(ISNUMBER(FIND(",",Tabela1[[#This Row],[12]])),LEN(Tabela1[[#This Row],[12]])-LEN(SUBSTITUTE(Tabela1[[#This Row],[12]],",",""))+1,1),"")</f>
        <v/>
      </c>
      <c r="AL395">
        <f>IF(Tabela1[[#This Row],[13]]&lt;&gt;"",IF(ISNUMBER(FIND(",",Tabela1[[#This Row],[13]])),LEN(Tabela1[[#This Row],[13]])-LEN(SUBSTITUTE(Tabela1[[#This Row],[13]],",",""))+1,1),"")</f>
        <v>1</v>
      </c>
      <c r="AM395" t="str">
        <f>IF(Tabela1[[#This Row],[14]]&lt;&gt;"",IF(ISNUMBER(FIND(",",Tabela1[[#This Row],[14]])),LEN(Tabela1[[#This Row],[14]])-LEN(SUBSTITUTE(Tabela1[[#This Row],[14]],",",""))+1,1),"")</f>
        <v/>
      </c>
      <c r="AN395" t="str">
        <f>IF(Tabela1[[#This Row],[15]]&lt;&gt;"",IF(ISNUMBER(FIND(",",Tabela1[[#This Row],[15]])),LEN(Tabela1[[#This Row],[15]])-LEN(SUBSTITUTE(Tabela1[[#This Row],[15]],",",""))+1,1),"")</f>
        <v/>
      </c>
      <c r="AO395" t="str">
        <f>IF(Tabela1[[#This Row],[16]]&lt;&gt;"",IF(ISNUMBER(FIND(",",Tabela1[[#This Row],[16]])),LEN(Tabela1[[#This Row],[16]])-LEN(SUBSTITUTE(Tabela1[[#This Row],[16]],",",""))+1,1),"")</f>
        <v/>
      </c>
      <c r="AP395" t="str">
        <f>IF(Tabela1[[#This Row],[17]]&lt;&gt;"",IF(ISNUMBER(FIND(",",Tabela1[[#This Row],[17]])),LEN(Tabela1[[#This Row],[17]])-LEN(SUBSTITUTE(Tabela1[[#This Row],[17]],",",""))+1,1),"")</f>
        <v/>
      </c>
      <c r="AQ395">
        <f>IF(Tabela1[[#This Row],[18]]&lt;&gt;"",IF(ISNUMBER(FIND(",",Tabela1[[#This Row],[18]])),LEN(Tabela1[[#This Row],[18]])-LEN(SUBSTITUTE(Tabela1[[#This Row],[18]],",",""))+1,1),"")</f>
        <v>1</v>
      </c>
      <c r="AR395" s="13" t="str">
        <f>IF(Tabela1[[#This Row],[19_LENGTH]]&lt;&gt;"",IF(ISNUMBER(FIND(",",Tabela1[[#This Row],[19_LENGTH]])),LEN(Tabela1[[#This Row],[19_LENGTH]])-LEN(SUBSTITUTE(Tabela1[[#This Row],[19_LENGTH]],",",""))+1,1),"")</f>
        <v/>
      </c>
      <c r="AS395" s="21">
        <f>SUM(Tabela1[[#This Row],[1_]:[19_]])</f>
        <v>5</v>
      </c>
    </row>
    <row r="396" spans="1:45" x14ac:dyDescent="0.25">
      <c r="A396" s="27" t="s">
        <v>1325</v>
      </c>
      <c r="B396" s="19" t="s">
        <v>820</v>
      </c>
      <c r="C396" s="19">
        <v>204</v>
      </c>
      <c r="D396" s="19" t="s">
        <v>1315</v>
      </c>
      <c r="E396" s="20">
        <v>43526</v>
      </c>
      <c r="F396" s="19"/>
      <c r="G396" s="19"/>
      <c r="H396" s="19"/>
      <c r="I396" s="19"/>
      <c r="J396" s="19" t="s">
        <v>166</v>
      </c>
      <c r="K396" s="19"/>
      <c r="L396" s="19"/>
      <c r="M396" s="19">
        <v>190</v>
      </c>
      <c r="N396" s="19"/>
      <c r="O396" s="19"/>
      <c r="P396" s="19"/>
      <c r="Q396" s="19"/>
      <c r="R396" s="19">
        <v>34</v>
      </c>
      <c r="S396" s="19"/>
      <c r="T396" s="19"/>
      <c r="U396" s="19"/>
      <c r="V396" s="19"/>
      <c r="W396" s="19"/>
      <c r="X396" s="19"/>
      <c r="Y396" s="19"/>
      <c r="Z396" t="str">
        <f>IF(Tabela1[[#This Row],[1]]&lt;&gt;"",IF(ISNUMBER(FIND(",",Tabela1[[#This Row],[1]])),LEN(Tabela1[[#This Row],[1]])-LEN(SUBSTITUTE(Tabela1[[#This Row],[1]],",",""))+1,1),"")</f>
        <v/>
      </c>
      <c r="AA396" t="str">
        <f>IF(Tabela1[[#This Row],[2]]&lt;&gt;"",IF(ISNUMBER(FIND(",",Tabela1[[#This Row],[2]])),LEN(Tabela1[[#This Row],[2]])-LEN(SUBSTITUTE(Tabela1[[#This Row],[2]],",",""))+1,1),"")</f>
        <v/>
      </c>
      <c r="AB396" t="str">
        <f>IF(Tabela1[[#This Row],[3]]&lt;&gt;"",IF(ISNUMBER(FIND(",",Tabela1[[#This Row],[3]])),LEN(Tabela1[[#This Row],[3]])-LEN(SUBSTITUTE(Tabela1[[#This Row],[3]],",",""))+1,1),"")</f>
        <v/>
      </c>
      <c r="AC396" t="str">
        <f>IF(Tabela1[[#This Row],[4]]&lt;&gt;"",IF(ISNUMBER(FIND(",",Tabela1[[#This Row],[4]])),LEN(Tabela1[[#This Row],[4]])-LEN(SUBSTITUTE(Tabela1[[#This Row],[4]],",",""))+1,1),"")</f>
        <v/>
      </c>
      <c r="AD396">
        <f>IF(Tabela1[[#This Row],[5]]&lt;&gt;"",IF(ISNUMBER(FIND(",",Tabela1[[#This Row],[5]])),LEN(Tabela1[[#This Row],[5]])-LEN(SUBSTITUTE(Tabela1[[#This Row],[5]],",",""))+1,1),"")</f>
        <v>2</v>
      </c>
      <c r="AE396" t="str">
        <f>IF(Tabela1[[#This Row],[6]]&lt;&gt;"",IF(ISNUMBER(FIND(",",Tabela1[[#This Row],[6]])),LEN(Tabela1[[#This Row],[6]])-LEN(SUBSTITUTE(Tabela1[[#This Row],[6]],",",""))+1,1),"")</f>
        <v/>
      </c>
      <c r="AF396" t="str">
        <f>IF(Tabela1[[#This Row],[7]]&lt;&gt;"",IF(ISNUMBER(FIND(",",Tabela1[[#This Row],[7]])),LEN(Tabela1[[#This Row],[7]])-LEN(SUBSTITUTE(Tabela1[[#This Row],[7]],",",""))+1,1),"")</f>
        <v/>
      </c>
      <c r="AG396">
        <f>IF(Tabela1[[#This Row],[8]]&lt;&gt;"",IF(ISNUMBER(FIND(",",Tabela1[[#This Row],[8]])),LEN(Tabela1[[#This Row],[8]])-LEN(SUBSTITUTE(Tabela1[[#This Row],[8]],",",""))+1,1),"")</f>
        <v>1</v>
      </c>
      <c r="AH396" t="str">
        <f>IF(Tabela1[[#This Row],[9]]&lt;&gt;"",IF(ISNUMBER(FIND(",",Tabela1[[#This Row],[9]])),LEN(Tabela1[[#This Row],[9]])-LEN(SUBSTITUTE(Tabela1[[#This Row],[9]],",",""))+1,1),"")</f>
        <v/>
      </c>
      <c r="AI396" t="str">
        <f>IF(Tabela1[[#This Row],[10]]&lt;&gt;"",IF(ISNUMBER(FIND(",",Tabela1[[#This Row],[10]])),LEN(Tabela1[[#This Row],[10]])-LEN(SUBSTITUTE(Tabela1[[#This Row],[10]],",",""))+1,1),"")</f>
        <v/>
      </c>
      <c r="AJ396" t="str">
        <f>IF(Tabela1[[#This Row],[11]]&lt;&gt;"",IF(ISNUMBER(FIND(",",Tabela1[[#This Row],[11]])),LEN(Tabela1[[#This Row],[11]])-LEN(SUBSTITUTE(Tabela1[[#This Row],[11]],",",""))+1,1),"")</f>
        <v/>
      </c>
      <c r="AK396" t="str">
        <f>IF(Tabela1[[#This Row],[12]]&lt;&gt;"",IF(ISNUMBER(FIND(",",Tabela1[[#This Row],[12]])),LEN(Tabela1[[#This Row],[12]])-LEN(SUBSTITUTE(Tabela1[[#This Row],[12]],",",""))+1,1),"")</f>
        <v/>
      </c>
      <c r="AL396">
        <f>IF(Tabela1[[#This Row],[13]]&lt;&gt;"",IF(ISNUMBER(FIND(",",Tabela1[[#This Row],[13]])),LEN(Tabela1[[#This Row],[13]])-LEN(SUBSTITUTE(Tabela1[[#This Row],[13]],",",""))+1,1),"")</f>
        <v>1</v>
      </c>
      <c r="AM396" t="str">
        <f>IF(Tabela1[[#This Row],[14]]&lt;&gt;"",IF(ISNUMBER(FIND(",",Tabela1[[#This Row],[14]])),LEN(Tabela1[[#This Row],[14]])-LEN(SUBSTITUTE(Tabela1[[#This Row],[14]],",",""))+1,1),"")</f>
        <v/>
      </c>
      <c r="AN396" t="str">
        <f>IF(Tabela1[[#This Row],[15]]&lt;&gt;"",IF(ISNUMBER(FIND(",",Tabela1[[#This Row],[15]])),LEN(Tabela1[[#This Row],[15]])-LEN(SUBSTITUTE(Tabela1[[#This Row],[15]],",",""))+1,1),"")</f>
        <v/>
      </c>
      <c r="AO396" t="str">
        <f>IF(Tabela1[[#This Row],[16]]&lt;&gt;"",IF(ISNUMBER(FIND(",",Tabela1[[#This Row],[16]])),LEN(Tabela1[[#This Row],[16]])-LEN(SUBSTITUTE(Tabela1[[#This Row],[16]],",",""))+1,1),"")</f>
        <v/>
      </c>
      <c r="AP396" t="str">
        <f>IF(Tabela1[[#This Row],[17]]&lt;&gt;"",IF(ISNUMBER(FIND(",",Tabela1[[#This Row],[17]])),LEN(Tabela1[[#This Row],[17]])-LEN(SUBSTITUTE(Tabela1[[#This Row],[17]],",",""))+1,1),"")</f>
        <v/>
      </c>
      <c r="AQ396" t="str">
        <f>IF(Tabela1[[#This Row],[18]]&lt;&gt;"",IF(ISNUMBER(FIND(",",Tabela1[[#This Row],[18]])),LEN(Tabela1[[#This Row],[18]])-LEN(SUBSTITUTE(Tabela1[[#This Row],[18]],",",""))+1,1),"")</f>
        <v/>
      </c>
      <c r="AR396" s="13" t="str">
        <f>IF(Tabela1[[#This Row],[19_LENGTH]]&lt;&gt;"",IF(ISNUMBER(FIND(",",Tabela1[[#This Row],[19_LENGTH]])),LEN(Tabela1[[#This Row],[19_LENGTH]])-LEN(SUBSTITUTE(Tabela1[[#This Row],[19_LENGTH]],",",""))+1,1),"")</f>
        <v/>
      </c>
      <c r="AS396" s="21">
        <f>SUM(Tabela1[[#This Row],[1_]:[19_]])</f>
        <v>4</v>
      </c>
    </row>
    <row r="397" spans="1:45" x14ac:dyDescent="0.25">
      <c r="A397" s="27" t="s">
        <v>1325</v>
      </c>
      <c r="B397" s="19" t="s">
        <v>821</v>
      </c>
      <c r="C397" s="19">
        <v>202</v>
      </c>
      <c r="D397" s="19" t="s">
        <v>1315</v>
      </c>
      <c r="E397" s="20">
        <v>43525</v>
      </c>
      <c r="F397" s="19"/>
      <c r="G397" s="19"/>
      <c r="H397" s="19"/>
      <c r="I397" s="19"/>
      <c r="J397" s="19"/>
      <c r="K397" s="19">
        <v>113</v>
      </c>
      <c r="L397" s="19"/>
      <c r="M397" s="19"/>
      <c r="N397" s="19"/>
      <c r="O397" s="19"/>
      <c r="P397" s="19"/>
      <c r="Q397" s="19"/>
      <c r="R397" s="19"/>
      <c r="S397" s="19"/>
      <c r="T397" s="19"/>
      <c r="U397" s="19"/>
      <c r="V397" s="19"/>
      <c r="W397" s="19"/>
      <c r="X397" s="19"/>
      <c r="Y397" s="19"/>
      <c r="Z397" t="str">
        <f>IF(Tabela1[[#This Row],[1]]&lt;&gt;"",IF(ISNUMBER(FIND(",",Tabela1[[#This Row],[1]])),LEN(Tabela1[[#This Row],[1]])-LEN(SUBSTITUTE(Tabela1[[#This Row],[1]],",",""))+1,1),"")</f>
        <v/>
      </c>
      <c r="AA397" t="str">
        <f>IF(Tabela1[[#This Row],[2]]&lt;&gt;"",IF(ISNUMBER(FIND(",",Tabela1[[#This Row],[2]])),LEN(Tabela1[[#This Row],[2]])-LEN(SUBSTITUTE(Tabela1[[#This Row],[2]],",",""))+1,1),"")</f>
        <v/>
      </c>
      <c r="AB397" t="str">
        <f>IF(Tabela1[[#This Row],[3]]&lt;&gt;"",IF(ISNUMBER(FIND(",",Tabela1[[#This Row],[3]])),LEN(Tabela1[[#This Row],[3]])-LEN(SUBSTITUTE(Tabela1[[#This Row],[3]],",",""))+1,1),"")</f>
        <v/>
      </c>
      <c r="AC397" t="str">
        <f>IF(Tabela1[[#This Row],[4]]&lt;&gt;"",IF(ISNUMBER(FIND(",",Tabela1[[#This Row],[4]])),LEN(Tabela1[[#This Row],[4]])-LEN(SUBSTITUTE(Tabela1[[#This Row],[4]],",",""))+1,1),"")</f>
        <v/>
      </c>
      <c r="AD397" t="str">
        <f>IF(Tabela1[[#This Row],[5]]&lt;&gt;"",IF(ISNUMBER(FIND(",",Tabela1[[#This Row],[5]])),LEN(Tabela1[[#This Row],[5]])-LEN(SUBSTITUTE(Tabela1[[#This Row],[5]],",",""))+1,1),"")</f>
        <v/>
      </c>
      <c r="AE397">
        <f>IF(Tabela1[[#This Row],[6]]&lt;&gt;"",IF(ISNUMBER(FIND(",",Tabela1[[#This Row],[6]])),LEN(Tabela1[[#This Row],[6]])-LEN(SUBSTITUTE(Tabela1[[#This Row],[6]],",",""))+1,1),"")</f>
        <v>1</v>
      </c>
      <c r="AF397" t="str">
        <f>IF(Tabela1[[#This Row],[7]]&lt;&gt;"",IF(ISNUMBER(FIND(",",Tabela1[[#This Row],[7]])),LEN(Tabela1[[#This Row],[7]])-LEN(SUBSTITUTE(Tabela1[[#This Row],[7]],",",""))+1,1),"")</f>
        <v/>
      </c>
      <c r="AG397" t="str">
        <f>IF(Tabela1[[#This Row],[8]]&lt;&gt;"",IF(ISNUMBER(FIND(",",Tabela1[[#This Row],[8]])),LEN(Tabela1[[#This Row],[8]])-LEN(SUBSTITUTE(Tabela1[[#This Row],[8]],",",""))+1,1),"")</f>
        <v/>
      </c>
      <c r="AH397" t="str">
        <f>IF(Tabela1[[#This Row],[9]]&lt;&gt;"",IF(ISNUMBER(FIND(",",Tabela1[[#This Row],[9]])),LEN(Tabela1[[#This Row],[9]])-LEN(SUBSTITUTE(Tabela1[[#This Row],[9]],",",""))+1,1),"")</f>
        <v/>
      </c>
      <c r="AI397" t="str">
        <f>IF(Tabela1[[#This Row],[10]]&lt;&gt;"",IF(ISNUMBER(FIND(",",Tabela1[[#This Row],[10]])),LEN(Tabela1[[#This Row],[10]])-LEN(SUBSTITUTE(Tabela1[[#This Row],[10]],",",""))+1,1),"")</f>
        <v/>
      </c>
      <c r="AJ397" t="str">
        <f>IF(Tabela1[[#This Row],[11]]&lt;&gt;"",IF(ISNUMBER(FIND(",",Tabela1[[#This Row],[11]])),LEN(Tabela1[[#This Row],[11]])-LEN(SUBSTITUTE(Tabela1[[#This Row],[11]],",",""))+1,1),"")</f>
        <v/>
      </c>
      <c r="AK397" t="str">
        <f>IF(Tabela1[[#This Row],[12]]&lt;&gt;"",IF(ISNUMBER(FIND(",",Tabela1[[#This Row],[12]])),LEN(Tabela1[[#This Row],[12]])-LEN(SUBSTITUTE(Tabela1[[#This Row],[12]],",",""))+1,1),"")</f>
        <v/>
      </c>
      <c r="AL397" t="str">
        <f>IF(Tabela1[[#This Row],[13]]&lt;&gt;"",IF(ISNUMBER(FIND(",",Tabela1[[#This Row],[13]])),LEN(Tabela1[[#This Row],[13]])-LEN(SUBSTITUTE(Tabela1[[#This Row],[13]],",",""))+1,1),"")</f>
        <v/>
      </c>
      <c r="AM397" t="str">
        <f>IF(Tabela1[[#This Row],[14]]&lt;&gt;"",IF(ISNUMBER(FIND(",",Tabela1[[#This Row],[14]])),LEN(Tabela1[[#This Row],[14]])-LEN(SUBSTITUTE(Tabela1[[#This Row],[14]],",",""))+1,1),"")</f>
        <v/>
      </c>
      <c r="AN397" t="str">
        <f>IF(Tabela1[[#This Row],[15]]&lt;&gt;"",IF(ISNUMBER(FIND(",",Tabela1[[#This Row],[15]])),LEN(Tabela1[[#This Row],[15]])-LEN(SUBSTITUTE(Tabela1[[#This Row],[15]],",",""))+1,1),"")</f>
        <v/>
      </c>
      <c r="AO397" t="str">
        <f>IF(Tabela1[[#This Row],[16]]&lt;&gt;"",IF(ISNUMBER(FIND(",",Tabela1[[#This Row],[16]])),LEN(Tabela1[[#This Row],[16]])-LEN(SUBSTITUTE(Tabela1[[#This Row],[16]],",",""))+1,1),"")</f>
        <v/>
      </c>
      <c r="AP397" t="str">
        <f>IF(Tabela1[[#This Row],[17]]&lt;&gt;"",IF(ISNUMBER(FIND(",",Tabela1[[#This Row],[17]])),LEN(Tabela1[[#This Row],[17]])-LEN(SUBSTITUTE(Tabela1[[#This Row],[17]],",",""))+1,1),"")</f>
        <v/>
      </c>
      <c r="AQ397" t="str">
        <f>IF(Tabela1[[#This Row],[18]]&lt;&gt;"",IF(ISNUMBER(FIND(",",Tabela1[[#This Row],[18]])),LEN(Tabela1[[#This Row],[18]])-LEN(SUBSTITUTE(Tabela1[[#This Row],[18]],",",""))+1,1),"")</f>
        <v/>
      </c>
      <c r="AR397" s="13" t="str">
        <f>IF(Tabela1[[#This Row],[19_LENGTH]]&lt;&gt;"",IF(ISNUMBER(FIND(",",Tabela1[[#This Row],[19_LENGTH]])),LEN(Tabela1[[#This Row],[19_LENGTH]])-LEN(SUBSTITUTE(Tabela1[[#This Row],[19_LENGTH]],",",""))+1,1),"")</f>
        <v/>
      </c>
      <c r="AS397" s="21">
        <f>SUM(Tabela1[[#This Row],[1_]:[19_]])</f>
        <v>1</v>
      </c>
    </row>
    <row r="398" spans="1:45" x14ac:dyDescent="0.25">
      <c r="A398" s="27" t="s">
        <v>1325</v>
      </c>
      <c r="B398" s="19" t="s">
        <v>822</v>
      </c>
      <c r="C398" s="19">
        <v>202</v>
      </c>
      <c r="D398" s="19" t="s">
        <v>1315</v>
      </c>
      <c r="E398" s="20">
        <v>43525</v>
      </c>
      <c r="F398" s="19"/>
      <c r="G398" s="19"/>
      <c r="H398" s="19"/>
      <c r="I398" s="19">
        <v>17</v>
      </c>
      <c r="J398" s="19"/>
      <c r="K398" s="19"/>
      <c r="L398" s="19"/>
      <c r="M398" s="19"/>
      <c r="N398" s="19"/>
      <c r="O398" s="19"/>
      <c r="P398" s="19"/>
      <c r="Q398" s="19"/>
      <c r="R398" s="19"/>
      <c r="S398" s="19"/>
      <c r="T398" s="19"/>
      <c r="U398" s="19"/>
      <c r="V398" s="19"/>
      <c r="W398" s="19"/>
      <c r="X398" s="19"/>
      <c r="Y398" s="19"/>
      <c r="Z398" t="str">
        <f>IF(Tabela1[[#This Row],[1]]&lt;&gt;"",IF(ISNUMBER(FIND(",",Tabela1[[#This Row],[1]])),LEN(Tabela1[[#This Row],[1]])-LEN(SUBSTITUTE(Tabela1[[#This Row],[1]],",",""))+1,1),"")</f>
        <v/>
      </c>
      <c r="AA398" t="str">
        <f>IF(Tabela1[[#This Row],[2]]&lt;&gt;"",IF(ISNUMBER(FIND(",",Tabela1[[#This Row],[2]])),LEN(Tabela1[[#This Row],[2]])-LEN(SUBSTITUTE(Tabela1[[#This Row],[2]],",",""))+1,1),"")</f>
        <v/>
      </c>
      <c r="AB398" t="str">
        <f>IF(Tabela1[[#This Row],[3]]&lt;&gt;"",IF(ISNUMBER(FIND(",",Tabela1[[#This Row],[3]])),LEN(Tabela1[[#This Row],[3]])-LEN(SUBSTITUTE(Tabela1[[#This Row],[3]],",",""))+1,1),"")</f>
        <v/>
      </c>
      <c r="AC398">
        <f>IF(Tabela1[[#This Row],[4]]&lt;&gt;"",IF(ISNUMBER(FIND(",",Tabela1[[#This Row],[4]])),LEN(Tabela1[[#This Row],[4]])-LEN(SUBSTITUTE(Tabela1[[#This Row],[4]],",",""))+1,1),"")</f>
        <v>1</v>
      </c>
      <c r="AD398" t="str">
        <f>IF(Tabela1[[#This Row],[5]]&lt;&gt;"",IF(ISNUMBER(FIND(",",Tabela1[[#This Row],[5]])),LEN(Tabela1[[#This Row],[5]])-LEN(SUBSTITUTE(Tabela1[[#This Row],[5]],",",""))+1,1),"")</f>
        <v/>
      </c>
      <c r="AE398" t="str">
        <f>IF(Tabela1[[#This Row],[6]]&lt;&gt;"",IF(ISNUMBER(FIND(",",Tabela1[[#This Row],[6]])),LEN(Tabela1[[#This Row],[6]])-LEN(SUBSTITUTE(Tabela1[[#This Row],[6]],",",""))+1,1),"")</f>
        <v/>
      </c>
      <c r="AF398" t="str">
        <f>IF(Tabela1[[#This Row],[7]]&lt;&gt;"",IF(ISNUMBER(FIND(",",Tabela1[[#This Row],[7]])),LEN(Tabela1[[#This Row],[7]])-LEN(SUBSTITUTE(Tabela1[[#This Row],[7]],",",""))+1,1),"")</f>
        <v/>
      </c>
      <c r="AG398" t="str">
        <f>IF(Tabela1[[#This Row],[8]]&lt;&gt;"",IF(ISNUMBER(FIND(",",Tabela1[[#This Row],[8]])),LEN(Tabela1[[#This Row],[8]])-LEN(SUBSTITUTE(Tabela1[[#This Row],[8]],",",""))+1,1),"")</f>
        <v/>
      </c>
      <c r="AH398" t="str">
        <f>IF(Tabela1[[#This Row],[9]]&lt;&gt;"",IF(ISNUMBER(FIND(",",Tabela1[[#This Row],[9]])),LEN(Tabela1[[#This Row],[9]])-LEN(SUBSTITUTE(Tabela1[[#This Row],[9]],",",""))+1,1),"")</f>
        <v/>
      </c>
      <c r="AI398" t="str">
        <f>IF(Tabela1[[#This Row],[10]]&lt;&gt;"",IF(ISNUMBER(FIND(",",Tabela1[[#This Row],[10]])),LEN(Tabela1[[#This Row],[10]])-LEN(SUBSTITUTE(Tabela1[[#This Row],[10]],",",""))+1,1),"")</f>
        <v/>
      </c>
      <c r="AJ398" t="str">
        <f>IF(Tabela1[[#This Row],[11]]&lt;&gt;"",IF(ISNUMBER(FIND(",",Tabela1[[#This Row],[11]])),LEN(Tabela1[[#This Row],[11]])-LEN(SUBSTITUTE(Tabela1[[#This Row],[11]],",",""))+1,1),"")</f>
        <v/>
      </c>
      <c r="AK398" t="str">
        <f>IF(Tabela1[[#This Row],[12]]&lt;&gt;"",IF(ISNUMBER(FIND(",",Tabela1[[#This Row],[12]])),LEN(Tabela1[[#This Row],[12]])-LEN(SUBSTITUTE(Tabela1[[#This Row],[12]],",",""))+1,1),"")</f>
        <v/>
      </c>
      <c r="AL398" t="str">
        <f>IF(Tabela1[[#This Row],[13]]&lt;&gt;"",IF(ISNUMBER(FIND(",",Tabela1[[#This Row],[13]])),LEN(Tabela1[[#This Row],[13]])-LEN(SUBSTITUTE(Tabela1[[#This Row],[13]],",",""))+1,1),"")</f>
        <v/>
      </c>
      <c r="AM398" t="str">
        <f>IF(Tabela1[[#This Row],[14]]&lt;&gt;"",IF(ISNUMBER(FIND(",",Tabela1[[#This Row],[14]])),LEN(Tabela1[[#This Row],[14]])-LEN(SUBSTITUTE(Tabela1[[#This Row],[14]],",",""))+1,1),"")</f>
        <v/>
      </c>
      <c r="AN398" t="str">
        <f>IF(Tabela1[[#This Row],[15]]&lt;&gt;"",IF(ISNUMBER(FIND(",",Tabela1[[#This Row],[15]])),LEN(Tabela1[[#This Row],[15]])-LEN(SUBSTITUTE(Tabela1[[#This Row],[15]],",",""))+1,1),"")</f>
        <v/>
      </c>
      <c r="AO398" t="str">
        <f>IF(Tabela1[[#This Row],[16]]&lt;&gt;"",IF(ISNUMBER(FIND(",",Tabela1[[#This Row],[16]])),LEN(Tabela1[[#This Row],[16]])-LEN(SUBSTITUTE(Tabela1[[#This Row],[16]],",",""))+1,1),"")</f>
        <v/>
      </c>
      <c r="AP398" t="str">
        <f>IF(Tabela1[[#This Row],[17]]&lt;&gt;"",IF(ISNUMBER(FIND(",",Tabela1[[#This Row],[17]])),LEN(Tabela1[[#This Row],[17]])-LEN(SUBSTITUTE(Tabela1[[#This Row],[17]],",",""))+1,1),"")</f>
        <v/>
      </c>
      <c r="AQ398" t="str">
        <f>IF(Tabela1[[#This Row],[18]]&lt;&gt;"",IF(ISNUMBER(FIND(",",Tabela1[[#This Row],[18]])),LEN(Tabela1[[#This Row],[18]])-LEN(SUBSTITUTE(Tabela1[[#This Row],[18]],",",""))+1,1),"")</f>
        <v/>
      </c>
      <c r="AR398" s="13" t="str">
        <f>IF(Tabela1[[#This Row],[19_LENGTH]]&lt;&gt;"",IF(ISNUMBER(FIND(",",Tabela1[[#This Row],[19_LENGTH]])),LEN(Tabela1[[#This Row],[19_LENGTH]])-LEN(SUBSTITUTE(Tabela1[[#This Row],[19_LENGTH]],",",""))+1,1),"")</f>
        <v/>
      </c>
      <c r="AS398" s="21">
        <f>SUM(Tabela1[[#This Row],[1_]:[19_]])</f>
        <v>1</v>
      </c>
    </row>
    <row r="399" spans="1:45" x14ac:dyDescent="0.25">
      <c r="A399" s="27" t="s">
        <v>1325</v>
      </c>
      <c r="B399" s="19" t="s">
        <v>823</v>
      </c>
      <c r="C399" s="19">
        <v>202</v>
      </c>
      <c r="D399" s="19" t="s">
        <v>1315</v>
      </c>
      <c r="E399" s="20">
        <v>43525</v>
      </c>
      <c r="F399" s="19"/>
      <c r="G399" s="19"/>
      <c r="H399" s="19"/>
      <c r="I399" s="19"/>
      <c r="J399" s="19"/>
      <c r="K399" s="19"/>
      <c r="L399" s="19"/>
      <c r="M399" s="19" t="s">
        <v>167</v>
      </c>
      <c r="N399" s="19"/>
      <c r="O399" s="19"/>
      <c r="P399" s="19"/>
      <c r="Q399" s="19"/>
      <c r="R399" s="19"/>
      <c r="S399" s="19"/>
      <c r="T399" s="19"/>
      <c r="U399" s="19"/>
      <c r="V399" s="19"/>
      <c r="W399" s="19"/>
      <c r="X399" s="19"/>
      <c r="Y399" s="19"/>
      <c r="Z399" t="str">
        <f>IF(Tabela1[[#This Row],[1]]&lt;&gt;"",IF(ISNUMBER(FIND(",",Tabela1[[#This Row],[1]])),LEN(Tabela1[[#This Row],[1]])-LEN(SUBSTITUTE(Tabela1[[#This Row],[1]],",",""))+1,1),"")</f>
        <v/>
      </c>
      <c r="AA399" t="str">
        <f>IF(Tabela1[[#This Row],[2]]&lt;&gt;"",IF(ISNUMBER(FIND(",",Tabela1[[#This Row],[2]])),LEN(Tabela1[[#This Row],[2]])-LEN(SUBSTITUTE(Tabela1[[#This Row],[2]],",",""))+1,1),"")</f>
        <v/>
      </c>
      <c r="AB399" t="str">
        <f>IF(Tabela1[[#This Row],[3]]&lt;&gt;"",IF(ISNUMBER(FIND(",",Tabela1[[#This Row],[3]])),LEN(Tabela1[[#This Row],[3]])-LEN(SUBSTITUTE(Tabela1[[#This Row],[3]],",",""))+1,1),"")</f>
        <v/>
      </c>
      <c r="AC399" t="str">
        <f>IF(Tabela1[[#This Row],[4]]&lt;&gt;"",IF(ISNUMBER(FIND(",",Tabela1[[#This Row],[4]])),LEN(Tabela1[[#This Row],[4]])-LEN(SUBSTITUTE(Tabela1[[#This Row],[4]],",",""))+1,1),"")</f>
        <v/>
      </c>
      <c r="AD399" t="str">
        <f>IF(Tabela1[[#This Row],[5]]&lt;&gt;"",IF(ISNUMBER(FIND(",",Tabela1[[#This Row],[5]])),LEN(Tabela1[[#This Row],[5]])-LEN(SUBSTITUTE(Tabela1[[#This Row],[5]],",",""))+1,1),"")</f>
        <v/>
      </c>
      <c r="AE399" t="str">
        <f>IF(Tabela1[[#This Row],[6]]&lt;&gt;"",IF(ISNUMBER(FIND(",",Tabela1[[#This Row],[6]])),LEN(Tabela1[[#This Row],[6]])-LEN(SUBSTITUTE(Tabela1[[#This Row],[6]],",",""))+1,1),"")</f>
        <v/>
      </c>
      <c r="AF399" t="str">
        <f>IF(Tabela1[[#This Row],[7]]&lt;&gt;"",IF(ISNUMBER(FIND(",",Tabela1[[#This Row],[7]])),LEN(Tabela1[[#This Row],[7]])-LEN(SUBSTITUTE(Tabela1[[#This Row],[7]],",",""))+1,1),"")</f>
        <v/>
      </c>
      <c r="AG399">
        <f>IF(Tabela1[[#This Row],[8]]&lt;&gt;"",IF(ISNUMBER(FIND(",",Tabela1[[#This Row],[8]])),LEN(Tabela1[[#This Row],[8]])-LEN(SUBSTITUTE(Tabela1[[#This Row],[8]],",",""))+1,1),"")</f>
        <v>2</v>
      </c>
      <c r="AH399" t="str">
        <f>IF(Tabela1[[#This Row],[9]]&lt;&gt;"",IF(ISNUMBER(FIND(",",Tabela1[[#This Row],[9]])),LEN(Tabela1[[#This Row],[9]])-LEN(SUBSTITUTE(Tabela1[[#This Row],[9]],",",""))+1,1),"")</f>
        <v/>
      </c>
      <c r="AI399" t="str">
        <f>IF(Tabela1[[#This Row],[10]]&lt;&gt;"",IF(ISNUMBER(FIND(",",Tabela1[[#This Row],[10]])),LEN(Tabela1[[#This Row],[10]])-LEN(SUBSTITUTE(Tabela1[[#This Row],[10]],",",""))+1,1),"")</f>
        <v/>
      </c>
      <c r="AJ399" t="str">
        <f>IF(Tabela1[[#This Row],[11]]&lt;&gt;"",IF(ISNUMBER(FIND(",",Tabela1[[#This Row],[11]])),LEN(Tabela1[[#This Row],[11]])-LEN(SUBSTITUTE(Tabela1[[#This Row],[11]],",",""))+1,1),"")</f>
        <v/>
      </c>
      <c r="AK399" t="str">
        <f>IF(Tabela1[[#This Row],[12]]&lt;&gt;"",IF(ISNUMBER(FIND(",",Tabela1[[#This Row],[12]])),LEN(Tabela1[[#This Row],[12]])-LEN(SUBSTITUTE(Tabela1[[#This Row],[12]],",",""))+1,1),"")</f>
        <v/>
      </c>
      <c r="AL399" t="str">
        <f>IF(Tabela1[[#This Row],[13]]&lt;&gt;"",IF(ISNUMBER(FIND(",",Tabela1[[#This Row],[13]])),LEN(Tabela1[[#This Row],[13]])-LEN(SUBSTITUTE(Tabela1[[#This Row],[13]],",",""))+1,1),"")</f>
        <v/>
      </c>
      <c r="AM399" t="str">
        <f>IF(Tabela1[[#This Row],[14]]&lt;&gt;"",IF(ISNUMBER(FIND(",",Tabela1[[#This Row],[14]])),LEN(Tabela1[[#This Row],[14]])-LEN(SUBSTITUTE(Tabela1[[#This Row],[14]],",",""))+1,1),"")</f>
        <v/>
      </c>
      <c r="AN399" t="str">
        <f>IF(Tabela1[[#This Row],[15]]&lt;&gt;"",IF(ISNUMBER(FIND(",",Tabela1[[#This Row],[15]])),LEN(Tabela1[[#This Row],[15]])-LEN(SUBSTITUTE(Tabela1[[#This Row],[15]],",",""))+1,1),"")</f>
        <v/>
      </c>
      <c r="AO399" t="str">
        <f>IF(Tabela1[[#This Row],[16]]&lt;&gt;"",IF(ISNUMBER(FIND(",",Tabela1[[#This Row],[16]])),LEN(Tabela1[[#This Row],[16]])-LEN(SUBSTITUTE(Tabela1[[#This Row],[16]],",",""))+1,1),"")</f>
        <v/>
      </c>
      <c r="AP399" t="str">
        <f>IF(Tabela1[[#This Row],[17]]&lt;&gt;"",IF(ISNUMBER(FIND(",",Tabela1[[#This Row],[17]])),LEN(Tabela1[[#This Row],[17]])-LEN(SUBSTITUTE(Tabela1[[#This Row],[17]],",",""))+1,1),"")</f>
        <v/>
      </c>
      <c r="AQ399" t="str">
        <f>IF(Tabela1[[#This Row],[18]]&lt;&gt;"",IF(ISNUMBER(FIND(",",Tabela1[[#This Row],[18]])),LEN(Tabela1[[#This Row],[18]])-LEN(SUBSTITUTE(Tabela1[[#This Row],[18]],",",""))+1,1),"")</f>
        <v/>
      </c>
      <c r="AR399" s="13" t="str">
        <f>IF(Tabela1[[#This Row],[19_LENGTH]]&lt;&gt;"",IF(ISNUMBER(FIND(",",Tabela1[[#This Row],[19_LENGTH]])),LEN(Tabela1[[#This Row],[19_LENGTH]])-LEN(SUBSTITUTE(Tabela1[[#This Row],[19_LENGTH]],",",""))+1,1),"")</f>
        <v/>
      </c>
      <c r="AS399" s="21">
        <f>SUM(Tabela1[[#This Row],[1_]:[19_]])</f>
        <v>2</v>
      </c>
    </row>
    <row r="400" spans="1:45" x14ac:dyDescent="0.25">
      <c r="A400" s="27" t="s">
        <v>1325</v>
      </c>
      <c r="B400" s="19" t="s">
        <v>824</v>
      </c>
      <c r="C400" s="19">
        <v>202</v>
      </c>
      <c r="D400" s="19" t="s">
        <v>1315</v>
      </c>
      <c r="E400" s="20">
        <v>43525</v>
      </c>
      <c r="F400" s="19"/>
      <c r="G400" s="19"/>
      <c r="H400" s="19"/>
      <c r="I400" s="19">
        <v>159</v>
      </c>
      <c r="J400" s="19"/>
      <c r="K400" s="19"/>
      <c r="L400" s="19"/>
      <c r="M400" s="19"/>
      <c r="N400" s="19"/>
      <c r="O400" s="19"/>
      <c r="P400" s="19"/>
      <c r="Q400" s="19"/>
      <c r="R400" s="19"/>
      <c r="S400" s="19"/>
      <c r="T400" s="19"/>
      <c r="U400" s="19"/>
      <c r="V400" s="19"/>
      <c r="W400" s="19"/>
      <c r="X400" s="19"/>
      <c r="Y400" s="19"/>
      <c r="Z400" t="str">
        <f>IF(Tabela1[[#This Row],[1]]&lt;&gt;"",IF(ISNUMBER(FIND(",",Tabela1[[#This Row],[1]])),LEN(Tabela1[[#This Row],[1]])-LEN(SUBSTITUTE(Tabela1[[#This Row],[1]],",",""))+1,1),"")</f>
        <v/>
      </c>
      <c r="AA400" t="str">
        <f>IF(Tabela1[[#This Row],[2]]&lt;&gt;"",IF(ISNUMBER(FIND(",",Tabela1[[#This Row],[2]])),LEN(Tabela1[[#This Row],[2]])-LEN(SUBSTITUTE(Tabela1[[#This Row],[2]],",",""))+1,1),"")</f>
        <v/>
      </c>
      <c r="AB400" t="str">
        <f>IF(Tabela1[[#This Row],[3]]&lt;&gt;"",IF(ISNUMBER(FIND(",",Tabela1[[#This Row],[3]])),LEN(Tabela1[[#This Row],[3]])-LEN(SUBSTITUTE(Tabela1[[#This Row],[3]],",",""))+1,1),"")</f>
        <v/>
      </c>
      <c r="AC400">
        <f>IF(Tabela1[[#This Row],[4]]&lt;&gt;"",IF(ISNUMBER(FIND(",",Tabela1[[#This Row],[4]])),LEN(Tabela1[[#This Row],[4]])-LEN(SUBSTITUTE(Tabela1[[#This Row],[4]],",",""))+1,1),"")</f>
        <v>1</v>
      </c>
      <c r="AD400" t="str">
        <f>IF(Tabela1[[#This Row],[5]]&lt;&gt;"",IF(ISNUMBER(FIND(",",Tabela1[[#This Row],[5]])),LEN(Tabela1[[#This Row],[5]])-LEN(SUBSTITUTE(Tabela1[[#This Row],[5]],",",""))+1,1),"")</f>
        <v/>
      </c>
      <c r="AE400" t="str">
        <f>IF(Tabela1[[#This Row],[6]]&lt;&gt;"",IF(ISNUMBER(FIND(",",Tabela1[[#This Row],[6]])),LEN(Tabela1[[#This Row],[6]])-LEN(SUBSTITUTE(Tabela1[[#This Row],[6]],",",""))+1,1),"")</f>
        <v/>
      </c>
      <c r="AF400" t="str">
        <f>IF(Tabela1[[#This Row],[7]]&lt;&gt;"",IF(ISNUMBER(FIND(",",Tabela1[[#This Row],[7]])),LEN(Tabela1[[#This Row],[7]])-LEN(SUBSTITUTE(Tabela1[[#This Row],[7]],",",""))+1,1),"")</f>
        <v/>
      </c>
      <c r="AG400" t="str">
        <f>IF(Tabela1[[#This Row],[8]]&lt;&gt;"",IF(ISNUMBER(FIND(",",Tabela1[[#This Row],[8]])),LEN(Tabela1[[#This Row],[8]])-LEN(SUBSTITUTE(Tabela1[[#This Row],[8]],",",""))+1,1),"")</f>
        <v/>
      </c>
      <c r="AH400" t="str">
        <f>IF(Tabela1[[#This Row],[9]]&lt;&gt;"",IF(ISNUMBER(FIND(",",Tabela1[[#This Row],[9]])),LEN(Tabela1[[#This Row],[9]])-LEN(SUBSTITUTE(Tabela1[[#This Row],[9]],",",""))+1,1),"")</f>
        <v/>
      </c>
      <c r="AI400" t="str">
        <f>IF(Tabela1[[#This Row],[10]]&lt;&gt;"",IF(ISNUMBER(FIND(",",Tabela1[[#This Row],[10]])),LEN(Tabela1[[#This Row],[10]])-LEN(SUBSTITUTE(Tabela1[[#This Row],[10]],",",""))+1,1),"")</f>
        <v/>
      </c>
      <c r="AJ400" t="str">
        <f>IF(Tabela1[[#This Row],[11]]&lt;&gt;"",IF(ISNUMBER(FIND(",",Tabela1[[#This Row],[11]])),LEN(Tabela1[[#This Row],[11]])-LEN(SUBSTITUTE(Tabela1[[#This Row],[11]],",",""))+1,1),"")</f>
        <v/>
      </c>
      <c r="AK400" t="str">
        <f>IF(Tabela1[[#This Row],[12]]&lt;&gt;"",IF(ISNUMBER(FIND(",",Tabela1[[#This Row],[12]])),LEN(Tabela1[[#This Row],[12]])-LEN(SUBSTITUTE(Tabela1[[#This Row],[12]],",",""))+1,1),"")</f>
        <v/>
      </c>
      <c r="AL400" t="str">
        <f>IF(Tabela1[[#This Row],[13]]&lt;&gt;"",IF(ISNUMBER(FIND(",",Tabela1[[#This Row],[13]])),LEN(Tabela1[[#This Row],[13]])-LEN(SUBSTITUTE(Tabela1[[#This Row],[13]],",",""))+1,1),"")</f>
        <v/>
      </c>
      <c r="AM400" t="str">
        <f>IF(Tabela1[[#This Row],[14]]&lt;&gt;"",IF(ISNUMBER(FIND(",",Tabela1[[#This Row],[14]])),LEN(Tabela1[[#This Row],[14]])-LEN(SUBSTITUTE(Tabela1[[#This Row],[14]],",",""))+1,1),"")</f>
        <v/>
      </c>
      <c r="AN400" t="str">
        <f>IF(Tabela1[[#This Row],[15]]&lt;&gt;"",IF(ISNUMBER(FIND(",",Tabela1[[#This Row],[15]])),LEN(Tabela1[[#This Row],[15]])-LEN(SUBSTITUTE(Tabela1[[#This Row],[15]],",",""))+1,1),"")</f>
        <v/>
      </c>
      <c r="AO400" t="str">
        <f>IF(Tabela1[[#This Row],[16]]&lt;&gt;"",IF(ISNUMBER(FIND(",",Tabela1[[#This Row],[16]])),LEN(Tabela1[[#This Row],[16]])-LEN(SUBSTITUTE(Tabela1[[#This Row],[16]],",",""))+1,1),"")</f>
        <v/>
      </c>
      <c r="AP400" t="str">
        <f>IF(Tabela1[[#This Row],[17]]&lt;&gt;"",IF(ISNUMBER(FIND(",",Tabela1[[#This Row],[17]])),LEN(Tabela1[[#This Row],[17]])-LEN(SUBSTITUTE(Tabela1[[#This Row],[17]],",",""))+1,1),"")</f>
        <v/>
      </c>
      <c r="AQ400" t="str">
        <f>IF(Tabela1[[#This Row],[18]]&lt;&gt;"",IF(ISNUMBER(FIND(",",Tabela1[[#This Row],[18]])),LEN(Tabela1[[#This Row],[18]])-LEN(SUBSTITUTE(Tabela1[[#This Row],[18]],",",""))+1,1),"")</f>
        <v/>
      </c>
      <c r="AR400" s="13" t="str">
        <f>IF(Tabela1[[#This Row],[19_LENGTH]]&lt;&gt;"",IF(ISNUMBER(FIND(",",Tabela1[[#This Row],[19_LENGTH]])),LEN(Tabela1[[#This Row],[19_LENGTH]])-LEN(SUBSTITUTE(Tabela1[[#This Row],[19_LENGTH]],",",""))+1,1),"")</f>
        <v/>
      </c>
      <c r="AS400" s="21">
        <f>SUM(Tabela1[[#This Row],[1_]:[19_]])</f>
        <v>1</v>
      </c>
    </row>
    <row r="401" spans="1:45" x14ac:dyDescent="0.25">
      <c r="A401" s="27" t="s">
        <v>1327</v>
      </c>
      <c r="B401" s="19" t="s">
        <v>508</v>
      </c>
      <c r="C401" s="19">
        <v>202</v>
      </c>
      <c r="D401" s="19" t="s">
        <v>1304</v>
      </c>
      <c r="E401" s="20">
        <v>43526</v>
      </c>
      <c r="F401" s="19"/>
      <c r="G401" s="19"/>
      <c r="H401" s="19"/>
      <c r="I401" s="19"/>
      <c r="J401" s="19"/>
      <c r="K401" s="19"/>
      <c r="L401" s="19"/>
      <c r="M401" s="19"/>
      <c r="N401" s="19"/>
      <c r="O401" s="19" t="s">
        <v>168</v>
      </c>
      <c r="P401" s="19"/>
      <c r="Q401" s="19"/>
      <c r="R401" s="19"/>
      <c r="S401" s="19"/>
      <c r="T401" s="19"/>
      <c r="U401" s="19"/>
      <c r="V401" s="19"/>
      <c r="W401" s="19"/>
      <c r="X401" s="19"/>
      <c r="Y401" s="19"/>
      <c r="Z401" t="str">
        <f>IF(Tabela1[[#This Row],[1]]&lt;&gt;"",IF(ISNUMBER(FIND(",",Tabela1[[#This Row],[1]])),LEN(Tabela1[[#This Row],[1]])-LEN(SUBSTITUTE(Tabela1[[#This Row],[1]],",",""))+1,1),"")</f>
        <v/>
      </c>
      <c r="AA401" t="str">
        <f>IF(Tabela1[[#This Row],[2]]&lt;&gt;"",IF(ISNUMBER(FIND(",",Tabela1[[#This Row],[2]])),LEN(Tabela1[[#This Row],[2]])-LEN(SUBSTITUTE(Tabela1[[#This Row],[2]],",",""))+1,1),"")</f>
        <v/>
      </c>
      <c r="AB401" t="str">
        <f>IF(Tabela1[[#This Row],[3]]&lt;&gt;"",IF(ISNUMBER(FIND(",",Tabela1[[#This Row],[3]])),LEN(Tabela1[[#This Row],[3]])-LEN(SUBSTITUTE(Tabela1[[#This Row],[3]],",",""))+1,1),"")</f>
        <v/>
      </c>
      <c r="AC401" t="str">
        <f>IF(Tabela1[[#This Row],[4]]&lt;&gt;"",IF(ISNUMBER(FIND(",",Tabela1[[#This Row],[4]])),LEN(Tabela1[[#This Row],[4]])-LEN(SUBSTITUTE(Tabela1[[#This Row],[4]],",",""))+1,1),"")</f>
        <v/>
      </c>
      <c r="AD401" t="str">
        <f>IF(Tabela1[[#This Row],[5]]&lt;&gt;"",IF(ISNUMBER(FIND(",",Tabela1[[#This Row],[5]])),LEN(Tabela1[[#This Row],[5]])-LEN(SUBSTITUTE(Tabela1[[#This Row],[5]],",",""))+1,1),"")</f>
        <v/>
      </c>
      <c r="AE401" t="str">
        <f>IF(Tabela1[[#This Row],[6]]&lt;&gt;"",IF(ISNUMBER(FIND(",",Tabela1[[#This Row],[6]])),LEN(Tabela1[[#This Row],[6]])-LEN(SUBSTITUTE(Tabela1[[#This Row],[6]],",",""))+1,1),"")</f>
        <v/>
      </c>
      <c r="AF401" t="str">
        <f>IF(Tabela1[[#This Row],[7]]&lt;&gt;"",IF(ISNUMBER(FIND(",",Tabela1[[#This Row],[7]])),LEN(Tabela1[[#This Row],[7]])-LEN(SUBSTITUTE(Tabela1[[#This Row],[7]],",",""))+1,1),"")</f>
        <v/>
      </c>
      <c r="AG401" t="str">
        <f>IF(Tabela1[[#This Row],[8]]&lt;&gt;"",IF(ISNUMBER(FIND(",",Tabela1[[#This Row],[8]])),LEN(Tabela1[[#This Row],[8]])-LEN(SUBSTITUTE(Tabela1[[#This Row],[8]],",",""))+1,1),"")</f>
        <v/>
      </c>
      <c r="AH401" t="str">
        <f>IF(Tabela1[[#This Row],[9]]&lt;&gt;"",IF(ISNUMBER(FIND(",",Tabela1[[#This Row],[9]])),LEN(Tabela1[[#This Row],[9]])-LEN(SUBSTITUTE(Tabela1[[#This Row],[9]],",",""))+1,1),"")</f>
        <v/>
      </c>
      <c r="AI401">
        <f>IF(Tabela1[[#This Row],[10]]&lt;&gt;"",IF(ISNUMBER(FIND(",",Tabela1[[#This Row],[10]])),LEN(Tabela1[[#This Row],[10]])-LEN(SUBSTITUTE(Tabela1[[#This Row],[10]],",",""))+1,1),"")</f>
        <v>1</v>
      </c>
      <c r="AJ401" t="str">
        <f>IF(Tabela1[[#This Row],[11]]&lt;&gt;"",IF(ISNUMBER(FIND(",",Tabela1[[#This Row],[11]])),LEN(Tabela1[[#This Row],[11]])-LEN(SUBSTITUTE(Tabela1[[#This Row],[11]],",",""))+1,1),"")</f>
        <v/>
      </c>
      <c r="AK401" t="str">
        <f>IF(Tabela1[[#This Row],[12]]&lt;&gt;"",IF(ISNUMBER(FIND(",",Tabela1[[#This Row],[12]])),LEN(Tabela1[[#This Row],[12]])-LEN(SUBSTITUTE(Tabela1[[#This Row],[12]],",",""))+1,1),"")</f>
        <v/>
      </c>
      <c r="AL401" t="str">
        <f>IF(Tabela1[[#This Row],[13]]&lt;&gt;"",IF(ISNUMBER(FIND(",",Tabela1[[#This Row],[13]])),LEN(Tabela1[[#This Row],[13]])-LEN(SUBSTITUTE(Tabela1[[#This Row],[13]],",",""))+1,1),"")</f>
        <v/>
      </c>
      <c r="AM401" t="str">
        <f>IF(Tabela1[[#This Row],[14]]&lt;&gt;"",IF(ISNUMBER(FIND(",",Tabela1[[#This Row],[14]])),LEN(Tabela1[[#This Row],[14]])-LEN(SUBSTITUTE(Tabela1[[#This Row],[14]],",",""))+1,1),"")</f>
        <v/>
      </c>
      <c r="AN401" t="str">
        <f>IF(Tabela1[[#This Row],[15]]&lt;&gt;"",IF(ISNUMBER(FIND(",",Tabela1[[#This Row],[15]])),LEN(Tabela1[[#This Row],[15]])-LEN(SUBSTITUTE(Tabela1[[#This Row],[15]],",",""))+1,1),"")</f>
        <v/>
      </c>
      <c r="AO401" t="str">
        <f>IF(Tabela1[[#This Row],[16]]&lt;&gt;"",IF(ISNUMBER(FIND(",",Tabela1[[#This Row],[16]])),LEN(Tabela1[[#This Row],[16]])-LEN(SUBSTITUTE(Tabela1[[#This Row],[16]],",",""))+1,1),"")</f>
        <v/>
      </c>
      <c r="AP401" t="str">
        <f>IF(Tabela1[[#This Row],[17]]&lt;&gt;"",IF(ISNUMBER(FIND(",",Tabela1[[#This Row],[17]])),LEN(Tabela1[[#This Row],[17]])-LEN(SUBSTITUTE(Tabela1[[#This Row],[17]],",",""))+1,1),"")</f>
        <v/>
      </c>
      <c r="AQ401" t="str">
        <f>IF(Tabela1[[#This Row],[18]]&lt;&gt;"",IF(ISNUMBER(FIND(",",Tabela1[[#This Row],[18]])),LEN(Tabela1[[#This Row],[18]])-LEN(SUBSTITUTE(Tabela1[[#This Row],[18]],",",""))+1,1),"")</f>
        <v/>
      </c>
      <c r="AR401" s="13" t="str">
        <f>IF(Tabela1[[#This Row],[19_LENGTH]]&lt;&gt;"",IF(ISNUMBER(FIND(",",Tabela1[[#This Row],[19_LENGTH]])),LEN(Tabela1[[#This Row],[19_LENGTH]])-LEN(SUBSTITUTE(Tabela1[[#This Row],[19_LENGTH]],",",""))+1,1),"")</f>
        <v/>
      </c>
      <c r="AS401" s="21">
        <f>SUM(Tabela1[[#This Row],[1_]:[19_]])</f>
        <v>1</v>
      </c>
    </row>
    <row r="402" spans="1:45" x14ac:dyDescent="0.25">
      <c r="A402" s="27" t="s">
        <v>1325</v>
      </c>
      <c r="B402" s="19" t="s">
        <v>509</v>
      </c>
      <c r="C402" s="19">
        <v>202</v>
      </c>
      <c r="D402" s="19" t="s">
        <v>1298</v>
      </c>
      <c r="E402" s="20">
        <v>43524</v>
      </c>
      <c r="F402" s="19"/>
      <c r="G402" s="19"/>
      <c r="H402" s="19">
        <v>163</v>
      </c>
      <c r="I402" s="19"/>
      <c r="J402" s="19"/>
      <c r="K402" s="19"/>
      <c r="L402" s="19"/>
      <c r="M402" s="19"/>
      <c r="N402" s="19"/>
      <c r="O402" s="19"/>
      <c r="P402" s="19"/>
      <c r="Q402" s="19"/>
      <c r="R402" s="19"/>
      <c r="S402" s="19"/>
      <c r="T402" s="19"/>
      <c r="U402" s="19"/>
      <c r="V402" s="19"/>
      <c r="W402" s="19"/>
      <c r="X402" s="19"/>
      <c r="Y402" s="19"/>
      <c r="Z402" t="str">
        <f>IF(Tabela1[[#This Row],[1]]&lt;&gt;"",IF(ISNUMBER(FIND(",",Tabela1[[#This Row],[1]])),LEN(Tabela1[[#This Row],[1]])-LEN(SUBSTITUTE(Tabela1[[#This Row],[1]],",",""))+1,1),"")</f>
        <v/>
      </c>
      <c r="AA402" t="str">
        <f>IF(Tabela1[[#This Row],[2]]&lt;&gt;"",IF(ISNUMBER(FIND(",",Tabela1[[#This Row],[2]])),LEN(Tabela1[[#This Row],[2]])-LEN(SUBSTITUTE(Tabela1[[#This Row],[2]],",",""))+1,1),"")</f>
        <v/>
      </c>
      <c r="AB402">
        <f>IF(Tabela1[[#This Row],[3]]&lt;&gt;"",IF(ISNUMBER(FIND(",",Tabela1[[#This Row],[3]])),LEN(Tabela1[[#This Row],[3]])-LEN(SUBSTITUTE(Tabela1[[#This Row],[3]],",",""))+1,1),"")</f>
        <v>1</v>
      </c>
      <c r="AC402" t="str">
        <f>IF(Tabela1[[#This Row],[4]]&lt;&gt;"",IF(ISNUMBER(FIND(",",Tabela1[[#This Row],[4]])),LEN(Tabela1[[#This Row],[4]])-LEN(SUBSTITUTE(Tabela1[[#This Row],[4]],",",""))+1,1),"")</f>
        <v/>
      </c>
      <c r="AD402" t="str">
        <f>IF(Tabela1[[#This Row],[5]]&lt;&gt;"",IF(ISNUMBER(FIND(",",Tabela1[[#This Row],[5]])),LEN(Tabela1[[#This Row],[5]])-LEN(SUBSTITUTE(Tabela1[[#This Row],[5]],",",""))+1,1),"")</f>
        <v/>
      </c>
      <c r="AE402" t="str">
        <f>IF(Tabela1[[#This Row],[6]]&lt;&gt;"",IF(ISNUMBER(FIND(",",Tabela1[[#This Row],[6]])),LEN(Tabela1[[#This Row],[6]])-LEN(SUBSTITUTE(Tabela1[[#This Row],[6]],",",""))+1,1),"")</f>
        <v/>
      </c>
      <c r="AF402" t="str">
        <f>IF(Tabela1[[#This Row],[7]]&lt;&gt;"",IF(ISNUMBER(FIND(",",Tabela1[[#This Row],[7]])),LEN(Tabela1[[#This Row],[7]])-LEN(SUBSTITUTE(Tabela1[[#This Row],[7]],",",""))+1,1),"")</f>
        <v/>
      </c>
      <c r="AG402" t="str">
        <f>IF(Tabela1[[#This Row],[8]]&lt;&gt;"",IF(ISNUMBER(FIND(",",Tabela1[[#This Row],[8]])),LEN(Tabela1[[#This Row],[8]])-LEN(SUBSTITUTE(Tabela1[[#This Row],[8]],",",""))+1,1),"")</f>
        <v/>
      </c>
      <c r="AH402" t="str">
        <f>IF(Tabela1[[#This Row],[9]]&lt;&gt;"",IF(ISNUMBER(FIND(",",Tabela1[[#This Row],[9]])),LEN(Tabela1[[#This Row],[9]])-LEN(SUBSTITUTE(Tabela1[[#This Row],[9]],",",""))+1,1),"")</f>
        <v/>
      </c>
      <c r="AI402" t="str">
        <f>IF(Tabela1[[#This Row],[10]]&lt;&gt;"",IF(ISNUMBER(FIND(",",Tabela1[[#This Row],[10]])),LEN(Tabela1[[#This Row],[10]])-LEN(SUBSTITUTE(Tabela1[[#This Row],[10]],",",""))+1,1),"")</f>
        <v/>
      </c>
      <c r="AJ402" t="str">
        <f>IF(Tabela1[[#This Row],[11]]&lt;&gt;"",IF(ISNUMBER(FIND(",",Tabela1[[#This Row],[11]])),LEN(Tabela1[[#This Row],[11]])-LEN(SUBSTITUTE(Tabela1[[#This Row],[11]],",",""))+1,1),"")</f>
        <v/>
      </c>
      <c r="AK402" t="str">
        <f>IF(Tabela1[[#This Row],[12]]&lt;&gt;"",IF(ISNUMBER(FIND(",",Tabela1[[#This Row],[12]])),LEN(Tabela1[[#This Row],[12]])-LEN(SUBSTITUTE(Tabela1[[#This Row],[12]],",",""))+1,1),"")</f>
        <v/>
      </c>
      <c r="AL402" t="str">
        <f>IF(Tabela1[[#This Row],[13]]&lt;&gt;"",IF(ISNUMBER(FIND(",",Tabela1[[#This Row],[13]])),LEN(Tabela1[[#This Row],[13]])-LEN(SUBSTITUTE(Tabela1[[#This Row],[13]],",",""))+1,1),"")</f>
        <v/>
      </c>
      <c r="AM402" t="str">
        <f>IF(Tabela1[[#This Row],[14]]&lt;&gt;"",IF(ISNUMBER(FIND(",",Tabela1[[#This Row],[14]])),LEN(Tabela1[[#This Row],[14]])-LEN(SUBSTITUTE(Tabela1[[#This Row],[14]],",",""))+1,1),"")</f>
        <v/>
      </c>
      <c r="AN402" t="str">
        <f>IF(Tabela1[[#This Row],[15]]&lt;&gt;"",IF(ISNUMBER(FIND(",",Tabela1[[#This Row],[15]])),LEN(Tabela1[[#This Row],[15]])-LEN(SUBSTITUTE(Tabela1[[#This Row],[15]],",",""))+1,1),"")</f>
        <v/>
      </c>
      <c r="AO402" t="str">
        <f>IF(Tabela1[[#This Row],[16]]&lt;&gt;"",IF(ISNUMBER(FIND(",",Tabela1[[#This Row],[16]])),LEN(Tabela1[[#This Row],[16]])-LEN(SUBSTITUTE(Tabela1[[#This Row],[16]],",",""))+1,1),"")</f>
        <v/>
      </c>
      <c r="AP402" t="str">
        <f>IF(Tabela1[[#This Row],[17]]&lt;&gt;"",IF(ISNUMBER(FIND(",",Tabela1[[#This Row],[17]])),LEN(Tabela1[[#This Row],[17]])-LEN(SUBSTITUTE(Tabela1[[#This Row],[17]],",",""))+1,1),"")</f>
        <v/>
      </c>
      <c r="AQ402" t="str">
        <f>IF(Tabela1[[#This Row],[18]]&lt;&gt;"",IF(ISNUMBER(FIND(",",Tabela1[[#This Row],[18]])),LEN(Tabela1[[#This Row],[18]])-LEN(SUBSTITUTE(Tabela1[[#This Row],[18]],",",""))+1,1),"")</f>
        <v/>
      </c>
      <c r="AR402" s="13" t="str">
        <f>IF(Tabela1[[#This Row],[19_LENGTH]]&lt;&gt;"",IF(ISNUMBER(FIND(",",Tabela1[[#This Row],[19_LENGTH]])),LEN(Tabela1[[#This Row],[19_LENGTH]])-LEN(SUBSTITUTE(Tabela1[[#This Row],[19_LENGTH]],",",""))+1,1),"")</f>
        <v/>
      </c>
      <c r="AS402" s="21">
        <f>SUM(Tabela1[[#This Row],[1_]:[19_]])</f>
        <v>1</v>
      </c>
    </row>
    <row r="403" spans="1:45" x14ac:dyDescent="0.25">
      <c r="A403" s="27" t="s">
        <v>1325</v>
      </c>
      <c r="B403" s="19" t="s">
        <v>510</v>
      </c>
      <c r="C403" s="19">
        <v>202</v>
      </c>
      <c r="D403" s="19" t="s">
        <v>1297</v>
      </c>
      <c r="E403" s="20">
        <v>43524</v>
      </c>
      <c r="F403" s="19"/>
      <c r="G403" s="19"/>
      <c r="H403" s="19"/>
      <c r="I403" s="19"/>
      <c r="J403" s="19"/>
      <c r="K403" s="19"/>
      <c r="L403" s="19"/>
      <c r="M403" s="19"/>
      <c r="N403" s="19"/>
      <c r="O403" s="19"/>
      <c r="P403" s="19"/>
      <c r="Q403" s="19"/>
      <c r="R403" s="19"/>
      <c r="S403" s="19"/>
      <c r="T403" s="19"/>
      <c r="U403" s="19">
        <v>56</v>
      </c>
      <c r="V403" s="19"/>
      <c r="W403" s="19"/>
      <c r="X403" s="19"/>
      <c r="Y403" s="19"/>
      <c r="Z403" t="str">
        <f>IF(Tabela1[[#This Row],[1]]&lt;&gt;"",IF(ISNUMBER(FIND(",",Tabela1[[#This Row],[1]])),LEN(Tabela1[[#This Row],[1]])-LEN(SUBSTITUTE(Tabela1[[#This Row],[1]],",",""))+1,1),"")</f>
        <v/>
      </c>
      <c r="AA403" t="str">
        <f>IF(Tabela1[[#This Row],[2]]&lt;&gt;"",IF(ISNUMBER(FIND(",",Tabela1[[#This Row],[2]])),LEN(Tabela1[[#This Row],[2]])-LEN(SUBSTITUTE(Tabela1[[#This Row],[2]],",",""))+1,1),"")</f>
        <v/>
      </c>
      <c r="AB403" t="str">
        <f>IF(Tabela1[[#This Row],[3]]&lt;&gt;"",IF(ISNUMBER(FIND(",",Tabela1[[#This Row],[3]])),LEN(Tabela1[[#This Row],[3]])-LEN(SUBSTITUTE(Tabela1[[#This Row],[3]],",",""))+1,1),"")</f>
        <v/>
      </c>
      <c r="AC403" t="str">
        <f>IF(Tabela1[[#This Row],[4]]&lt;&gt;"",IF(ISNUMBER(FIND(",",Tabela1[[#This Row],[4]])),LEN(Tabela1[[#This Row],[4]])-LEN(SUBSTITUTE(Tabela1[[#This Row],[4]],",",""))+1,1),"")</f>
        <v/>
      </c>
      <c r="AD403" t="str">
        <f>IF(Tabela1[[#This Row],[5]]&lt;&gt;"",IF(ISNUMBER(FIND(",",Tabela1[[#This Row],[5]])),LEN(Tabela1[[#This Row],[5]])-LEN(SUBSTITUTE(Tabela1[[#This Row],[5]],",",""))+1,1),"")</f>
        <v/>
      </c>
      <c r="AE403" t="str">
        <f>IF(Tabela1[[#This Row],[6]]&lt;&gt;"",IF(ISNUMBER(FIND(",",Tabela1[[#This Row],[6]])),LEN(Tabela1[[#This Row],[6]])-LEN(SUBSTITUTE(Tabela1[[#This Row],[6]],",",""))+1,1),"")</f>
        <v/>
      </c>
      <c r="AF403" t="str">
        <f>IF(Tabela1[[#This Row],[7]]&lt;&gt;"",IF(ISNUMBER(FIND(",",Tabela1[[#This Row],[7]])),LEN(Tabela1[[#This Row],[7]])-LEN(SUBSTITUTE(Tabela1[[#This Row],[7]],",",""))+1,1),"")</f>
        <v/>
      </c>
      <c r="AG403" t="str">
        <f>IF(Tabela1[[#This Row],[8]]&lt;&gt;"",IF(ISNUMBER(FIND(",",Tabela1[[#This Row],[8]])),LEN(Tabela1[[#This Row],[8]])-LEN(SUBSTITUTE(Tabela1[[#This Row],[8]],",",""))+1,1),"")</f>
        <v/>
      </c>
      <c r="AH403" t="str">
        <f>IF(Tabela1[[#This Row],[9]]&lt;&gt;"",IF(ISNUMBER(FIND(",",Tabela1[[#This Row],[9]])),LEN(Tabela1[[#This Row],[9]])-LEN(SUBSTITUTE(Tabela1[[#This Row],[9]],",",""))+1,1),"")</f>
        <v/>
      </c>
      <c r="AI403" t="str">
        <f>IF(Tabela1[[#This Row],[10]]&lt;&gt;"",IF(ISNUMBER(FIND(",",Tabela1[[#This Row],[10]])),LEN(Tabela1[[#This Row],[10]])-LEN(SUBSTITUTE(Tabela1[[#This Row],[10]],",",""))+1,1),"")</f>
        <v/>
      </c>
      <c r="AJ403" t="str">
        <f>IF(Tabela1[[#This Row],[11]]&lt;&gt;"",IF(ISNUMBER(FIND(",",Tabela1[[#This Row],[11]])),LEN(Tabela1[[#This Row],[11]])-LEN(SUBSTITUTE(Tabela1[[#This Row],[11]],",",""))+1,1),"")</f>
        <v/>
      </c>
      <c r="AK403" t="str">
        <f>IF(Tabela1[[#This Row],[12]]&lt;&gt;"",IF(ISNUMBER(FIND(",",Tabela1[[#This Row],[12]])),LEN(Tabela1[[#This Row],[12]])-LEN(SUBSTITUTE(Tabela1[[#This Row],[12]],",",""))+1,1),"")</f>
        <v/>
      </c>
      <c r="AL403" t="str">
        <f>IF(Tabela1[[#This Row],[13]]&lt;&gt;"",IF(ISNUMBER(FIND(",",Tabela1[[#This Row],[13]])),LEN(Tabela1[[#This Row],[13]])-LEN(SUBSTITUTE(Tabela1[[#This Row],[13]],",",""))+1,1),"")</f>
        <v/>
      </c>
      <c r="AM403" t="str">
        <f>IF(Tabela1[[#This Row],[14]]&lt;&gt;"",IF(ISNUMBER(FIND(",",Tabela1[[#This Row],[14]])),LEN(Tabela1[[#This Row],[14]])-LEN(SUBSTITUTE(Tabela1[[#This Row],[14]],",",""))+1,1),"")</f>
        <v/>
      </c>
      <c r="AN403" t="str">
        <f>IF(Tabela1[[#This Row],[15]]&lt;&gt;"",IF(ISNUMBER(FIND(",",Tabela1[[#This Row],[15]])),LEN(Tabela1[[#This Row],[15]])-LEN(SUBSTITUTE(Tabela1[[#This Row],[15]],",",""))+1,1),"")</f>
        <v/>
      </c>
      <c r="AO403">
        <f>IF(Tabela1[[#This Row],[16]]&lt;&gt;"",IF(ISNUMBER(FIND(",",Tabela1[[#This Row],[16]])),LEN(Tabela1[[#This Row],[16]])-LEN(SUBSTITUTE(Tabela1[[#This Row],[16]],",",""))+1,1),"")</f>
        <v>1</v>
      </c>
      <c r="AP403" t="str">
        <f>IF(Tabela1[[#This Row],[17]]&lt;&gt;"",IF(ISNUMBER(FIND(",",Tabela1[[#This Row],[17]])),LEN(Tabela1[[#This Row],[17]])-LEN(SUBSTITUTE(Tabela1[[#This Row],[17]],",",""))+1,1),"")</f>
        <v/>
      </c>
      <c r="AQ403" t="str">
        <f>IF(Tabela1[[#This Row],[18]]&lt;&gt;"",IF(ISNUMBER(FIND(",",Tabela1[[#This Row],[18]])),LEN(Tabela1[[#This Row],[18]])-LEN(SUBSTITUTE(Tabela1[[#This Row],[18]],",",""))+1,1),"")</f>
        <v/>
      </c>
      <c r="AR403" s="13" t="str">
        <f>IF(Tabela1[[#This Row],[19_LENGTH]]&lt;&gt;"",IF(ISNUMBER(FIND(",",Tabela1[[#This Row],[19_LENGTH]])),LEN(Tabela1[[#This Row],[19_LENGTH]])-LEN(SUBSTITUTE(Tabela1[[#This Row],[19_LENGTH]],",",""))+1,1),"")</f>
        <v/>
      </c>
      <c r="AS403" s="21">
        <f>SUM(Tabela1[[#This Row],[1_]:[19_]])</f>
        <v>1</v>
      </c>
    </row>
    <row r="404" spans="1:45" x14ac:dyDescent="0.25">
      <c r="A404" s="27" t="s">
        <v>1325</v>
      </c>
      <c r="B404" s="19" t="s">
        <v>825</v>
      </c>
      <c r="C404" s="19">
        <v>210</v>
      </c>
      <c r="D404" s="19" t="s">
        <v>1315</v>
      </c>
      <c r="E404" s="20">
        <v>43524</v>
      </c>
      <c r="F404" s="19"/>
      <c r="G404" s="19"/>
      <c r="H404" s="19" t="s">
        <v>169</v>
      </c>
      <c r="I404" s="19"/>
      <c r="J404" s="19"/>
      <c r="K404" s="19"/>
      <c r="L404" s="19"/>
      <c r="M404" s="19"/>
      <c r="N404" s="19"/>
      <c r="O404" s="19"/>
      <c r="P404" s="19"/>
      <c r="Q404" s="19"/>
      <c r="R404" s="19">
        <v>201</v>
      </c>
      <c r="S404" s="19"/>
      <c r="T404" s="19"/>
      <c r="U404" s="19"/>
      <c r="V404" s="19"/>
      <c r="W404" s="19"/>
      <c r="X404" s="19"/>
      <c r="Y404" s="19"/>
      <c r="Z404" t="str">
        <f>IF(Tabela1[[#This Row],[1]]&lt;&gt;"",IF(ISNUMBER(FIND(",",Tabela1[[#This Row],[1]])),LEN(Tabela1[[#This Row],[1]])-LEN(SUBSTITUTE(Tabela1[[#This Row],[1]],",",""))+1,1),"")</f>
        <v/>
      </c>
      <c r="AA404" t="str">
        <f>IF(Tabela1[[#This Row],[2]]&lt;&gt;"",IF(ISNUMBER(FIND(",",Tabela1[[#This Row],[2]])),LEN(Tabela1[[#This Row],[2]])-LEN(SUBSTITUTE(Tabela1[[#This Row],[2]],",",""))+1,1),"")</f>
        <v/>
      </c>
      <c r="AB404">
        <f>IF(Tabela1[[#This Row],[3]]&lt;&gt;"",IF(ISNUMBER(FIND(",",Tabela1[[#This Row],[3]])),LEN(Tabela1[[#This Row],[3]])-LEN(SUBSTITUTE(Tabela1[[#This Row],[3]],",",""))+1,1),"")</f>
        <v>1</v>
      </c>
      <c r="AC404" t="str">
        <f>IF(Tabela1[[#This Row],[4]]&lt;&gt;"",IF(ISNUMBER(FIND(",",Tabela1[[#This Row],[4]])),LEN(Tabela1[[#This Row],[4]])-LEN(SUBSTITUTE(Tabela1[[#This Row],[4]],",",""))+1,1),"")</f>
        <v/>
      </c>
      <c r="AD404" t="str">
        <f>IF(Tabela1[[#This Row],[5]]&lt;&gt;"",IF(ISNUMBER(FIND(",",Tabela1[[#This Row],[5]])),LEN(Tabela1[[#This Row],[5]])-LEN(SUBSTITUTE(Tabela1[[#This Row],[5]],",",""))+1,1),"")</f>
        <v/>
      </c>
      <c r="AE404" t="str">
        <f>IF(Tabela1[[#This Row],[6]]&lt;&gt;"",IF(ISNUMBER(FIND(",",Tabela1[[#This Row],[6]])),LEN(Tabela1[[#This Row],[6]])-LEN(SUBSTITUTE(Tabela1[[#This Row],[6]],",",""))+1,1),"")</f>
        <v/>
      </c>
      <c r="AF404" t="str">
        <f>IF(Tabela1[[#This Row],[7]]&lt;&gt;"",IF(ISNUMBER(FIND(",",Tabela1[[#This Row],[7]])),LEN(Tabela1[[#This Row],[7]])-LEN(SUBSTITUTE(Tabela1[[#This Row],[7]],",",""))+1,1),"")</f>
        <v/>
      </c>
      <c r="AG404" t="str">
        <f>IF(Tabela1[[#This Row],[8]]&lt;&gt;"",IF(ISNUMBER(FIND(",",Tabela1[[#This Row],[8]])),LEN(Tabela1[[#This Row],[8]])-LEN(SUBSTITUTE(Tabela1[[#This Row],[8]],",",""))+1,1),"")</f>
        <v/>
      </c>
      <c r="AH404" t="str">
        <f>IF(Tabela1[[#This Row],[9]]&lt;&gt;"",IF(ISNUMBER(FIND(",",Tabela1[[#This Row],[9]])),LEN(Tabela1[[#This Row],[9]])-LEN(SUBSTITUTE(Tabela1[[#This Row],[9]],",",""))+1,1),"")</f>
        <v/>
      </c>
      <c r="AI404" t="str">
        <f>IF(Tabela1[[#This Row],[10]]&lt;&gt;"",IF(ISNUMBER(FIND(",",Tabela1[[#This Row],[10]])),LEN(Tabela1[[#This Row],[10]])-LEN(SUBSTITUTE(Tabela1[[#This Row],[10]],",",""))+1,1),"")</f>
        <v/>
      </c>
      <c r="AJ404" t="str">
        <f>IF(Tabela1[[#This Row],[11]]&lt;&gt;"",IF(ISNUMBER(FIND(",",Tabela1[[#This Row],[11]])),LEN(Tabela1[[#This Row],[11]])-LEN(SUBSTITUTE(Tabela1[[#This Row],[11]],",",""))+1,1),"")</f>
        <v/>
      </c>
      <c r="AK404" t="str">
        <f>IF(Tabela1[[#This Row],[12]]&lt;&gt;"",IF(ISNUMBER(FIND(",",Tabela1[[#This Row],[12]])),LEN(Tabela1[[#This Row],[12]])-LEN(SUBSTITUTE(Tabela1[[#This Row],[12]],",",""))+1,1),"")</f>
        <v/>
      </c>
      <c r="AL404">
        <f>IF(Tabela1[[#This Row],[13]]&lt;&gt;"",IF(ISNUMBER(FIND(",",Tabela1[[#This Row],[13]])),LEN(Tabela1[[#This Row],[13]])-LEN(SUBSTITUTE(Tabela1[[#This Row],[13]],",",""))+1,1),"")</f>
        <v>1</v>
      </c>
      <c r="AM404" t="str">
        <f>IF(Tabela1[[#This Row],[14]]&lt;&gt;"",IF(ISNUMBER(FIND(",",Tabela1[[#This Row],[14]])),LEN(Tabela1[[#This Row],[14]])-LEN(SUBSTITUTE(Tabela1[[#This Row],[14]],",",""))+1,1),"")</f>
        <v/>
      </c>
      <c r="AN404" t="str">
        <f>IF(Tabela1[[#This Row],[15]]&lt;&gt;"",IF(ISNUMBER(FIND(",",Tabela1[[#This Row],[15]])),LEN(Tabela1[[#This Row],[15]])-LEN(SUBSTITUTE(Tabela1[[#This Row],[15]],",",""))+1,1),"")</f>
        <v/>
      </c>
      <c r="AO404" t="str">
        <f>IF(Tabela1[[#This Row],[16]]&lt;&gt;"",IF(ISNUMBER(FIND(",",Tabela1[[#This Row],[16]])),LEN(Tabela1[[#This Row],[16]])-LEN(SUBSTITUTE(Tabela1[[#This Row],[16]],",",""))+1,1),"")</f>
        <v/>
      </c>
      <c r="AP404" t="str">
        <f>IF(Tabela1[[#This Row],[17]]&lt;&gt;"",IF(ISNUMBER(FIND(",",Tabela1[[#This Row],[17]])),LEN(Tabela1[[#This Row],[17]])-LEN(SUBSTITUTE(Tabela1[[#This Row],[17]],",",""))+1,1),"")</f>
        <v/>
      </c>
      <c r="AQ404" t="str">
        <f>IF(Tabela1[[#This Row],[18]]&lt;&gt;"",IF(ISNUMBER(FIND(",",Tabela1[[#This Row],[18]])),LEN(Tabela1[[#This Row],[18]])-LEN(SUBSTITUTE(Tabela1[[#This Row],[18]],",",""))+1,1),"")</f>
        <v/>
      </c>
      <c r="AR404" s="13" t="str">
        <f>IF(Tabela1[[#This Row],[19_LENGTH]]&lt;&gt;"",IF(ISNUMBER(FIND(",",Tabela1[[#This Row],[19_LENGTH]])),LEN(Tabela1[[#This Row],[19_LENGTH]])-LEN(SUBSTITUTE(Tabela1[[#This Row],[19_LENGTH]],",",""))+1,1),"")</f>
        <v/>
      </c>
      <c r="AS404" s="21">
        <f>SUM(Tabela1[[#This Row],[1_]:[19_]])</f>
        <v>2</v>
      </c>
    </row>
    <row r="405" spans="1:45" x14ac:dyDescent="0.25">
      <c r="A405" s="27" t="s">
        <v>1327</v>
      </c>
      <c r="B405" s="19" t="s">
        <v>826</v>
      </c>
      <c r="C405" s="19">
        <v>206</v>
      </c>
      <c r="D405" s="19" t="s">
        <v>1304</v>
      </c>
      <c r="E405" s="20">
        <v>43524</v>
      </c>
      <c r="F405" s="19"/>
      <c r="G405" s="19"/>
      <c r="H405" s="19">
        <v>83</v>
      </c>
      <c r="I405" s="19">
        <v>56</v>
      </c>
      <c r="J405" s="19"/>
      <c r="K405" s="19"/>
      <c r="L405" s="19"/>
      <c r="M405" s="19"/>
      <c r="N405" s="19"/>
      <c r="O405" s="19"/>
      <c r="P405" s="19"/>
      <c r="Q405" s="19"/>
      <c r="R405" s="19"/>
      <c r="S405" s="19"/>
      <c r="T405" s="19"/>
      <c r="U405" s="19" t="s">
        <v>170</v>
      </c>
      <c r="V405" s="19"/>
      <c r="W405" s="19"/>
      <c r="X405" s="19"/>
      <c r="Y405" s="19"/>
      <c r="Z405" t="str">
        <f>IF(Tabela1[[#This Row],[1]]&lt;&gt;"",IF(ISNUMBER(FIND(",",Tabela1[[#This Row],[1]])),LEN(Tabela1[[#This Row],[1]])-LEN(SUBSTITUTE(Tabela1[[#This Row],[1]],",",""))+1,1),"")</f>
        <v/>
      </c>
      <c r="AA405" t="str">
        <f>IF(Tabela1[[#This Row],[2]]&lt;&gt;"",IF(ISNUMBER(FIND(",",Tabela1[[#This Row],[2]])),LEN(Tabela1[[#This Row],[2]])-LEN(SUBSTITUTE(Tabela1[[#This Row],[2]],",",""))+1,1),"")</f>
        <v/>
      </c>
      <c r="AB405">
        <f>IF(Tabela1[[#This Row],[3]]&lt;&gt;"",IF(ISNUMBER(FIND(",",Tabela1[[#This Row],[3]])),LEN(Tabela1[[#This Row],[3]])-LEN(SUBSTITUTE(Tabela1[[#This Row],[3]],",",""))+1,1),"")</f>
        <v>1</v>
      </c>
      <c r="AC405">
        <f>IF(Tabela1[[#This Row],[4]]&lt;&gt;"",IF(ISNUMBER(FIND(",",Tabela1[[#This Row],[4]])),LEN(Tabela1[[#This Row],[4]])-LEN(SUBSTITUTE(Tabela1[[#This Row],[4]],",",""))+1,1),"")</f>
        <v>1</v>
      </c>
      <c r="AD405" t="str">
        <f>IF(Tabela1[[#This Row],[5]]&lt;&gt;"",IF(ISNUMBER(FIND(",",Tabela1[[#This Row],[5]])),LEN(Tabela1[[#This Row],[5]])-LEN(SUBSTITUTE(Tabela1[[#This Row],[5]],",",""))+1,1),"")</f>
        <v/>
      </c>
      <c r="AE405" t="str">
        <f>IF(Tabela1[[#This Row],[6]]&lt;&gt;"",IF(ISNUMBER(FIND(",",Tabela1[[#This Row],[6]])),LEN(Tabela1[[#This Row],[6]])-LEN(SUBSTITUTE(Tabela1[[#This Row],[6]],",",""))+1,1),"")</f>
        <v/>
      </c>
      <c r="AF405" t="str">
        <f>IF(Tabela1[[#This Row],[7]]&lt;&gt;"",IF(ISNUMBER(FIND(",",Tabela1[[#This Row],[7]])),LEN(Tabela1[[#This Row],[7]])-LEN(SUBSTITUTE(Tabela1[[#This Row],[7]],",",""))+1,1),"")</f>
        <v/>
      </c>
      <c r="AG405" t="str">
        <f>IF(Tabela1[[#This Row],[8]]&lt;&gt;"",IF(ISNUMBER(FIND(",",Tabela1[[#This Row],[8]])),LEN(Tabela1[[#This Row],[8]])-LEN(SUBSTITUTE(Tabela1[[#This Row],[8]],",",""))+1,1),"")</f>
        <v/>
      </c>
      <c r="AH405" t="str">
        <f>IF(Tabela1[[#This Row],[9]]&lt;&gt;"",IF(ISNUMBER(FIND(",",Tabela1[[#This Row],[9]])),LEN(Tabela1[[#This Row],[9]])-LEN(SUBSTITUTE(Tabela1[[#This Row],[9]],",",""))+1,1),"")</f>
        <v/>
      </c>
      <c r="AI405" t="str">
        <f>IF(Tabela1[[#This Row],[10]]&lt;&gt;"",IF(ISNUMBER(FIND(",",Tabela1[[#This Row],[10]])),LEN(Tabela1[[#This Row],[10]])-LEN(SUBSTITUTE(Tabela1[[#This Row],[10]],",",""))+1,1),"")</f>
        <v/>
      </c>
      <c r="AJ405" t="str">
        <f>IF(Tabela1[[#This Row],[11]]&lt;&gt;"",IF(ISNUMBER(FIND(",",Tabela1[[#This Row],[11]])),LEN(Tabela1[[#This Row],[11]])-LEN(SUBSTITUTE(Tabela1[[#This Row],[11]],",",""))+1,1),"")</f>
        <v/>
      </c>
      <c r="AK405" t="str">
        <f>IF(Tabela1[[#This Row],[12]]&lt;&gt;"",IF(ISNUMBER(FIND(",",Tabela1[[#This Row],[12]])),LEN(Tabela1[[#This Row],[12]])-LEN(SUBSTITUTE(Tabela1[[#This Row],[12]],",",""))+1,1),"")</f>
        <v/>
      </c>
      <c r="AL405" t="str">
        <f>IF(Tabela1[[#This Row],[13]]&lt;&gt;"",IF(ISNUMBER(FIND(",",Tabela1[[#This Row],[13]])),LEN(Tabela1[[#This Row],[13]])-LEN(SUBSTITUTE(Tabela1[[#This Row],[13]],",",""))+1,1),"")</f>
        <v/>
      </c>
      <c r="AM405" t="str">
        <f>IF(Tabela1[[#This Row],[14]]&lt;&gt;"",IF(ISNUMBER(FIND(",",Tabela1[[#This Row],[14]])),LEN(Tabela1[[#This Row],[14]])-LEN(SUBSTITUTE(Tabela1[[#This Row],[14]],",",""))+1,1),"")</f>
        <v/>
      </c>
      <c r="AN405" t="str">
        <f>IF(Tabela1[[#This Row],[15]]&lt;&gt;"",IF(ISNUMBER(FIND(",",Tabela1[[#This Row],[15]])),LEN(Tabela1[[#This Row],[15]])-LEN(SUBSTITUTE(Tabela1[[#This Row],[15]],",",""))+1,1),"")</f>
        <v/>
      </c>
      <c r="AO405">
        <f>IF(Tabela1[[#This Row],[16]]&lt;&gt;"",IF(ISNUMBER(FIND(",",Tabela1[[#This Row],[16]])),LEN(Tabela1[[#This Row],[16]])-LEN(SUBSTITUTE(Tabela1[[#This Row],[16]],",",""))+1,1),"")</f>
        <v>2</v>
      </c>
      <c r="AP405" t="str">
        <f>IF(Tabela1[[#This Row],[17]]&lt;&gt;"",IF(ISNUMBER(FIND(",",Tabela1[[#This Row],[17]])),LEN(Tabela1[[#This Row],[17]])-LEN(SUBSTITUTE(Tabela1[[#This Row],[17]],",",""))+1,1),"")</f>
        <v/>
      </c>
      <c r="AQ405" t="str">
        <f>IF(Tabela1[[#This Row],[18]]&lt;&gt;"",IF(ISNUMBER(FIND(",",Tabela1[[#This Row],[18]])),LEN(Tabela1[[#This Row],[18]])-LEN(SUBSTITUTE(Tabela1[[#This Row],[18]],",",""))+1,1),"")</f>
        <v/>
      </c>
      <c r="AR405" s="13" t="str">
        <f>IF(Tabela1[[#This Row],[19_LENGTH]]&lt;&gt;"",IF(ISNUMBER(FIND(",",Tabela1[[#This Row],[19_LENGTH]])),LEN(Tabela1[[#This Row],[19_LENGTH]])-LEN(SUBSTITUTE(Tabela1[[#This Row],[19_LENGTH]],",",""))+1,1),"")</f>
        <v/>
      </c>
      <c r="AS405" s="21">
        <f>SUM(Tabela1[[#This Row],[1_]:[19_]])</f>
        <v>4</v>
      </c>
    </row>
    <row r="406" spans="1:45" x14ac:dyDescent="0.25">
      <c r="A406" s="27" t="s">
        <v>1327</v>
      </c>
      <c r="B406" s="19" t="s">
        <v>827</v>
      </c>
      <c r="C406" s="19">
        <v>202</v>
      </c>
      <c r="D406" s="19" t="s">
        <v>1304</v>
      </c>
      <c r="E406" s="20">
        <v>43524</v>
      </c>
      <c r="F406" s="19"/>
      <c r="G406" s="19">
        <v>7</v>
      </c>
      <c r="H406" s="19"/>
      <c r="I406" s="19" t="s">
        <v>171</v>
      </c>
      <c r="J406" s="19"/>
      <c r="K406" s="19"/>
      <c r="L406" s="19"/>
      <c r="M406" s="19"/>
      <c r="N406" s="19"/>
      <c r="O406" s="19"/>
      <c r="P406" s="19"/>
      <c r="Q406" s="19"/>
      <c r="R406" s="19"/>
      <c r="S406" s="19"/>
      <c r="T406" s="19"/>
      <c r="U406" s="19" t="s">
        <v>172</v>
      </c>
      <c r="V406" s="19"/>
      <c r="W406" s="19"/>
      <c r="X406" s="19"/>
      <c r="Y406" s="19"/>
      <c r="Z406" t="str">
        <f>IF(Tabela1[[#This Row],[1]]&lt;&gt;"",IF(ISNUMBER(FIND(",",Tabela1[[#This Row],[1]])),LEN(Tabela1[[#This Row],[1]])-LEN(SUBSTITUTE(Tabela1[[#This Row],[1]],",",""))+1,1),"")</f>
        <v/>
      </c>
      <c r="AA406">
        <f>IF(Tabela1[[#This Row],[2]]&lt;&gt;"",IF(ISNUMBER(FIND(",",Tabela1[[#This Row],[2]])),LEN(Tabela1[[#This Row],[2]])-LEN(SUBSTITUTE(Tabela1[[#This Row],[2]],",",""))+1,1),"")</f>
        <v>1</v>
      </c>
      <c r="AB406" t="str">
        <f>IF(Tabela1[[#This Row],[3]]&lt;&gt;"",IF(ISNUMBER(FIND(",",Tabela1[[#This Row],[3]])),LEN(Tabela1[[#This Row],[3]])-LEN(SUBSTITUTE(Tabela1[[#This Row],[3]],",",""))+1,1),"")</f>
        <v/>
      </c>
      <c r="AC406">
        <f>IF(Tabela1[[#This Row],[4]]&lt;&gt;"",IF(ISNUMBER(FIND(",",Tabela1[[#This Row],[4]])),LEN(Tabela1[[#This Row],[4]])-LEN(SUBSTITUTE(Tabela1[[#This Row],[4]],",",""))+1,1),"")</f>
        <v>2</v>
      </c>
      <c r="AD406" t="str">
        <f>IF(Tabela1[[#This Row],[5]]&lt;&gt;"",IF(ISNUMBER(FIND(",",Tabela1[[#This Row],[5]])),LEN(Tabela1[[#This Row],[5]])-LEN(SUBSTITUTE(Tabela1[[#This Row],[5]],",",""))+1,1),"")</f>
        <v/>
      </c>
      <c r="AE406" t="str">
        <f>IF(Tabela1[[#This Row],[6]]&lt;&gt;"",IF(ISNUMBER(FIND(",",Tabela1[[#This Row],[6]])),LEN(Tabela1[[#This Row],[6]])-LEN(SUBSTITUTE(Tabela1[[#This Row],[6]],",",""))+1,1),"")</f>
        <v/>
      </c>
      <c r="AF406" t="str">
        <f>IF(Tabela1[[#This Row],[7]]&lt;&gt;"",IF(ISNUMBER(FIND(",",Tabela1[[#This Row],[7]])),LEN(Tabela1[[#This Row],[7]])-LEN(SUBSTITUTE(Tabela1[[#This Row],[7]],",",""))+1,1),"")</f>
        <v/>
      </c>
      <c r="AG406" t="str">
        <f>IF(Tabela1[[#This Row],[8]]&lt;&gt;"",IF(ISNUMBER(FIND(",",Tabela1[[#This Row],[8]])),LEN(Tabela1[[#This Row],[8]])-LEN(SUBSTITUTE(Tabela1[[#This Row],[8]],",",""))+1,1),"")</f>
        <v/>
      </c>
      <c r="AH406" t="str">
        <f>IF(Tabela1[[#This Row],[9]]&lt;&gt;"",IF(ISNUMBER(FIND(",",Tabela1[[#This Row],[9]])),LEN(Tabela1[[#This Row],[9]])-LEN(SUBSTITUTE(Tabela1[[#This Row],[9]],",",""))+1,1),"")</f>
        <v/>
      </c>
      <c r="AI406" t="str">
        <f>IF(Tabela1[[#This Row],[10]]&lt;&gt;"",IF(ISNUMBER(FIND(",",Tabela1[[#This Row],[10]])),LEN(Tabela1[[#This Row],[10]])-LEN(SUBSTITUTE(Tabela1[[#This Row],[10]],",",""))+1,1),"")</f>
        <v/>
      </c>
      <c r="AJ406" t="str">
        <f>IF(Tabela1[[#This Row],[11]]&lt;&gt;"",IF(ISNUMBER(FIND(",",Tabela1[[#This Row],[11]])),LEN(Tabela1[[#This Row],[11]])-LEN(SUBSTITUTE(Tabela1[[#This Row],[11]],",",""))+1,1),"")</f>
        <v/>
      </c>
      <c r="AK406" t="str">
        <f>IF(Tabela1[[#This Row],[12]]&lt;&gt;"",IF(ISNUMBER(FIND(",",Tabela1[[#This Row],[12]])),LEN(Tabela1[[#This Row],[12]])-LEN(SUBSTITUTE(Tabela1[[#This Row],[12]],",",""))+1,1),"")</f>
        <v/>
      </c>
      <c r="AL406" t="str">
        <f>IF(Tabela1[[#This Row],[13]]&lt;&gt;"",IF(ISNUMBER(FIND(",",Tabela1[[#This Row],[13]])),LEN(Tabela1[[#This Row],[13]])-LEN(SUBSTITUTE(Tabela1[[#This Row],[13]],",",""))+1,1),"")</f>
        <v/>
      </c>
      <c r="AM406" t="str">
        <f>IF(Tabela1[[#This Row],[14]]&lt;&gt;"",IF(ISNUMBER(FIND(",",Tabela1[[#This Row],[14]])),LEN(Tabela1[[#This Row],[14]])-LEN(SUBSTITUTE(Tabela1[[#This Row],[14]],",",""))+1,1),"")</f>
        <v/>
      </c>
      <c r="AN406" t="str">
        <f>IF(Tabela1[[#This Row],[15]]&lt;&gt;"",IF(ISNUMBER(FIND(",",Tabela1[[#This Row],[15]])),LEN(Tabela1[[#This Row],[15]])-LEN(SUBSTITUTE(Tabela1[[#This Row],[15]],",",""))+1,1),"")</f>
        <v/>
      </c>
      <c r="AO406">
        <f>IF(Tabela1[[#This Row],[16]]&lt;&gt;"",IF(ISNUMBER(FIND(",",Tabela1[[#This Row],[16]])),LEN(Tabela1[[#This Row],[16]])-LEN(SUBSTITUTE(Tabela1[[#This Row],[16]],",",""))+1,1),"")</f>
        <v>2</v>
      </c>
      <c r="AP406" t="str">
        <f>IF(Tabela1[[#This Row],[17]]&lt;&gt;"",IF(ISNUMBER(FIND(",",Tabela1[[#This Row],[17]])),LEN(Tabela1[[#This Row],[17]])-LEN(SUBSTITUTE(Tabela1[[#This Row],[17]],",",""))+1,1),"")</f>
        <v/>
      </c>
      <c r="AQ406" t="str">
        <f>IF(Tabela1[[#This Row],[18]]&lt;&gt;"",IF(ISNUMBER(FIND(",",Tabela1[[#This Row],[18]])),LEN(Tabela1[[#This Row],[18]])-LEN(SUBSTITUTE(Tabela1[[#This Row],[18]],",",""))+1,1),"")</f>
        <v/>
      </c>
      <c r="AR406" s="13" t="str">
        <f>IF(Tabela1[[#This Row],[19_LENGTH]]&lt;&gt;"",IF(ISNUMBER(FIND(",",Tabela1[[#This Row],[19_LENGTH]])),LEN(Tabela1[[#This Row],[19_LENGTH]])-LEN(SUBSTITUTE(Tabela1[[#This Row],[19_LENGTH]],",",""))+1,1),"")</f>
        <v/>
      </c>
      <c r="AS406" s="21">
        <f>SUM(Tabela1[[#This Row],[1_]:[19_]])</f>
        <v>5</v>
      </c>
    </row>
    <row r="407" spans="1:45" x14ac:dyDescent="0.25">
      <c r="A407" s="27" t="s">
        <v>1327</v>
      </c>
      <c r="B407" s="19" t="s">
        <v>828</v>
      </c>
      <c r="C407" s="19">
        <v>202</v>
      </c>
      <c r="D407" s="19" t="s">
        <v>1304</v>
      </c>
      <c r="E407" s="20">
        <v>43524</v>
      </c>
      <c r="F407" s="19"/>
      <c r="G407" s="19"/>
      <c r="H407" s="19" t="s">
        <v>173</v>
      </c>
      <c r="I407" s="19" t="s">
        <v>174</v>
      </c>
      <c r="J407" s="19"/>
      <c r="K407" s="19"/>
      <c r="L407" s="19"/>
      <c r="M407" s="19"/>
      <c r="N407" s="19"/>
      <c r="O407" s="19">
        <v>145</v>
      </c>
      <c r="P407" s="19">
        <v>38</v>
      </c>
      <c r="Q407" s="19"/>
      <c r="R407" s="19"/>
      <c r="S407" s="19"/>
      <c r="T407" s="19"/>
      <c r="U407" s="19"/>
      <c r="V407" s="19"/>
      <c r="W407" s="19"/>
      <c r="X407" s="19"/>
      <c r="Y407" s="19"/>
      <c r="Z407" t="str">
        <f>IF(Tabela1[[#This Row],[1]]&lt;&gt;"",IF(ISNUMBER(FIND(",",Tabela1[[#This Row],[1]])),LEN(Tabela1[[#This Row],[1]])-LEN(SUBSTITUTE(Tabela1[[#This Row],[1]],",",""))+1,1),"")</f>
        <v/>
      </c>
      <c r="AA407" t="str">
        <f>IF(Tabela1[[#This Row],[2]]&lt;&gt;"",IF(ISNUMBER(FIND(",",Tabela1[[#This Row],[2]])),LEN(Tabela1[[#This Row],[2]])-LEN(SUBSTITUTE(Tabela1[[#This Row],[2]],",",""))+1,1),"")</f>
        <v/>
      </c>
      <c r="AB407">
        <f>IF(Tabela1[[#This Row],[3]]&lt;&gt;"",IF(ISNUMBER(FIND(",",Tabela1[[#This Row],[3]])),LEN(Tabela1[[#This Row],[3]])-LEN(SUBSTITUTE(Tabela1[[#This Row],[3]],",",""))+1,1),"")</f>
        <v>1</v>
      </c>
      <c r="AC407">
        <f>IF(Tabela1[[#This Row],[4]]&lt;&gt;"",IF(ISNUMBER(FIND(",",Tabela1[[#This Row],[4]])),LEN(Tabela1[[#This Row],[4]])-LEN(SUBSTITUTE(Tabela1[[#This Row],[4]],",",""))+1,1),"")</f>
        <v>2</v>
      </c>
      <c r="AD407" t="str">
        <f>IF(Tabela1[[#This Row],[5]]&lt;&gt;"",IF(ISNUMBER(FIND(",",Tabela1[[#This Row],[5]])),LEN(Tabela1[[#This Row],[5]])-LEN(SUBSTITUTE(Tabela1[[#This Row],[5]],",",""))+1,1),"")</f>
        <v/>
      </c>
      <c r="AE407" t="str">
        <f>IF(Tabela1[[#This Row],[6]]&lt;&gt;"",IF(ISNUMBER(FIND(",",Tabela1[[#This Row],[6]])),LEN(Tabela1[[#This Row],[6]])-LEN(SUBSTITUTE(Tabela1[[#This Row],[6]],",",""))+1,1),"")</f>
        <v/>
      </c>
      <c r="AF407" t="str">
        <f>IF(Tabela1[[#This Row],[7]]&lt;&gt;"",IF(ISNUMBER(FIND(",",Tabela1[[#This Row],[7]])),LEN(Tabela1[[#This Row],[7]])-LEN(SUBSTITUTE(Tabela1[[#This Row],[7]],",",""))+1,1),"")</f>
        <v/>
      </c>
      <c r="AG407" t="str">
        <f>IF(Tabela1[[#This Row],[8]]&lt;&gt;"",IF(ISNUMBER(FIND(",",Tabela1[[#This Row],[8]])),LEN(Tabela1[[#This Row],[8]])-LEN(SUBSTITUTE(Tabela1[[#This Row],[8]],",",""))+1,1),"")</f>
        <v/>
      </c>
      <c r="AH407" t="str">
        <f>IF(Tabela1[[#This Row],[9]]&lt;&gt;"",IF(ISNUMBER(FIND(",",Tabela1[[#This Row],[9]])),LEN(Tabela1[[#This Row],[9]])-LEN(SUBSTITUTE(Tabela1[[#This Row],[9]],",",""))+1,1),"")</f>
        <v/>
      </c>
      <c r="AI407">
        <f>IF(Tabela1[[#This Row],[10]]&lt;&gt;"",IF(ISNUMBER(FIND(",",Tabela1[[#This Row],[10]])),LEN(Tabela1[[#This Row],[10]])-LEN(SUBSTITUTE(Tabela1[[#This Row],[10]],",",""))+1,1),"")</f>
        <v>1</v>
      </c>
      <c r="AJ407">
        <f>IF(Tabela1[[#This Row],[11]]&lt;&gt;"",IF(ISNUMBER(FIND(",",Tabela1[[#This Row],[11]])),LEN(Tabela1[[#This Row],[11]])-LEN(SUBSTITUTE(Tabela1[[#This Row],[11]],",",""))+1,1),"")</f>
        <v>1</v>
      </c>
      <c r="AK407" t="str">
        <f>IF(Tabela1[[#This Row],[12]]&lt;&gt;"",IF(ISNUMBER(FIND(",",Tabela1[[#This Row],[12]])),LEN(Tabela1[[#This Row],[12]])-LEN(SUBSTITUTE(Tabela1[[#This Row],[12]],",",""))+1,1),"")</f>
        <v/>
      </c>
      <c r="AL407" t="str">
        <f>IF(Tabela1[[#This Row],[13]]&lt;&gt;"",IF(ISNUMBER(FIND(",",Tabela1[[#This Row],[13]])),LEN(Tabela1[[#This Row],[13]])-LEN(SUBSTITUTE(Tabela1[[#This Row],[13]],",",""))+1,1),"")</f>
        <v/>
      </c>
      <c r="AM407" t="str">
        <f>IF(Tabela1[[#This Row],[14]]&lt;&gt;"",IF(ISNUMBER(FIND(",",Tabela1[[#This Row],[14]])),LEN(Tabela1[[#This Row],[14]])-LEN(SUBSTITUTE(Tabela1[[#This Row],[14]],",",""))+1,1),"")</f>
        <v/>
      </c>
      <c r="AN407" t="str">
        <f>IF(Tabela1[[#This Row],[15]]&lt;&gt;"",IF(ISNUMBER(FIND(",",Tabela1[[#This Row],[15]])),LEN(Tabela1[[#This Row],[15]])-LEN(SUBSTITUTE(Tabela1[[#This Row],[15]],",",""))+1,1),"")</f>
        <v/>
      </c>
      <c r="AO407" t="str">
        <f>IF(Tabela1[[#This Row],[16]]&lt;&gt;"",IF(ISNUMBER(FIND(",",Tabela1[[#This Row],[16]])),LEN(Tabela1[[#This Row],[16]])-LEN(SUBSTITUTE(Tabela1[[#This Row],[16]],",",""))+1,1),"")</f>
        <v/>
      </c>
      <c r="AP407" t="str">
        <f>IF(Tabela1[[#This Row],[17]]&lt;&gt;"",IF(ISNUMBER(FIND(",",Tabela1[[#This Row],[17]])),LEN(Tabela1[[#This Row],[17]])-LEN(SUBSTITUTE(Tabela1[[#This Row],[17]],",",""))+1,1),"")</f>
        <v/>
      </c>
      <c r="AQ407" t="str">
        <f>IF(Tabela1[[#This Row],[18]]&lt;&gt;"",IF(ISNUMBER(FIND(",",Tabela1[[#This Row],[18]])),LEN(Tabela1[[#This Row],[18]])-LEN(SUBSTITUTE(Tabela1[[#This Row],[18]],",",""))+1,1),"")</f>
        <v/>
      </c>
      <c r="AR407" s="13" t="str">
        <f>IF(Tabela1[[#This Row],[19_LENGTH]]&lt;&gt;"",IF(ISNUMBER(FIND(",",Tabela1[[#This Row],[19_LENGTH]])),LEN(Tabela1[[#This Row],[19_LENGTH]])-LEN(SUBSTITUTE(Tabela1[[#This Row],[19_LENGTH]],",",""))+1,1),"")</f>
        <v/>
      </c>
      <c r="AS407" s="21">
        <f>SUM(Tabela1[[#This Row],[1_]:[19_]])</f>
        <v>5</v>
      </c>
    </row>
    <row r="408" spans="1:45" x14ac:dyDescent="0.25">
      <c r="A408" s="27" t="s">
        <v>1323</v>
      </c>
      <c r="B408" s="19" t="s">
        <v>511</v>
      </c>
      <c r="C408" s="19">
        <v>208</v>
      </c>
      <c r="D408" s="19" t="s">
        <v>1298</v>
      </c>
      <c r="E408" s="20">
        <v>43523</v>
      </c>
      <c r="F408" s="19"/>
      <c r="G408" s="19">
        <v>171</v>
      </c>
      <c r="H408" s="19">
        <v>165</v>
      </c>
      <c r="I408" s="19"/>
      <c r="J408" s="19"/>
      <c r="K408" s="19"/>
      <c r="L408" s="19"/>
      <c r="M408" s="19"/>
      <c r="N408" s="19"/>
      <c r="O408" s="19"/>
      <c r="P408" s="19"/>
      <c r="Q408" s="19"/>
      <c r="R408" s="19"/>
      <c r="S408" s="19"/>
      <c r="T408" s="19"/>
      <c r="U408" s="19"/>
      <c r="V408" s="19"/>
      <c r="W408" s="19"/>
      <c r="X408" s="19"/>
      <c r="Y408" s="19"/>
      <c r="Z408" t="str">
        <f>IF(Tabela1[[#This Row],[1]]&lt;&gt;"",IF(ISNUMBER(FIND(",",Tabela1[[#This Row],[1]])),LEN(Tabela1[[#This Row],[1]])-LEN(SUBSTITUTE(Tabela1[[#This Row],[1]],",",""))+1,1),"")</f>
        <v/>
      </c>
      <c r="AA408">
        <f>IF(Tabela1[[#This Row],[2]]&lt;&gt;"",IF(ISNUMBER(FIND(",",Tabela1[[#This Row],[2]])),LEN(Tabela1[[#This Row],[2]])-LEN(SUBSTITUTE(Tabela1[[#This Row],[2]],",",""))+1,1),"")</f>
        <v>1</v>
      </c>
      <c r="AB408">
        <f>IF(Tabela1[[#This Row],[3]]&lt;&gt;"",IF(ISNUMBER(FIND(",",Tabela1[[#This Row],[3]])),LEN(Tabela1[[#This Row],[3]])-LEN(SUBSTITUTE(Tabela1[[#This Row],[3]],",",""))+1,1),"")</f>
        <v>1</v>
      </c>
      <c r="AC408" t="str">
        <f>IF(Tabela1[[#This Row],[4]]&lt;&gt;"",IF(ISNUMBER(FIND(",",Tabela1[[#This Row],[4]])),LEN(Tabela1[[#This Row],[4]])-LEN(SUBSTITUTE(Tabela1[[#This Row],[4]],",",""))+1,1),"")</f>
        <v/>
      </c>
      <c r="AD408" t="str">
        <f>IF(Tabela1[[#This Row],[5]]&lt;&gt;"",IF(ISNUMBER(FIND(",",Tabela1[[#This Row],[5]])),LEN(Tabela1[[#This Row],[5]])-LEN(SUBSTITUTE(Tabela1[[#This Row],[5]],",",""))+1,1),"")</f>
        <v/>
      </c>
      <c r="AE408" t="str">
        <f>IF(Tabela1[[#This Row],[6]]&lt;&gt;"",IF(ISNUMBER(FIND(",",Tabela1[[#This Row],[6]])),LEN(Tabela1[[#This Row],[6]])-LEN(SUBSTITUTE(Tabela1[[#This Row],[6]],",",""))+1,1),"")</f>
        <v/>
      </c>
      <c r="AF408" t="str">
        <f>IF(Tabela1[[#This Row],[7]]&lt;&gt;"",IF(ISNUMBER(FIND(",",Tabela1[[#This Row],[7]])),LEN(Tabela1[[#This Row],[7]])-LEN(SUBSTITUTE(Tabela1[[#This Row],[7]],",",""))+1,1),"")</f>
        <v/>
      </c>
      <c r="AG408" t="str">
        <f>IF(Tabela1[[#This Row],[8]]&lt;&gt;"",IF(ISNUMBER(FIND(",",Tabela1[[#This Row],[8]])),LEN(Tabela1[[#This Row],[8]])-LEN(SUBSTITUTE(Tabela1[[#This Row],[8]],",",""))+1,1),"")</f>
        <v/>
      </c>
      <c r="AH408" t="str">
        <f>IF(Tabela1[[#This Row],[9]]&lt;&gt;"",IF(ISNUMBER(FIND(",",Tabela1[[#This Row],[9]])),LEN(Tabela1[[#This Row],[9]])-LEN(SUBSTITUTE(Tabela1[[#This Row],[9]],",",""))+1,1),"")</f>
        <v/>
      </c>
      <c r="AI408" t="str">
        <f>IF(Tabela1[[#This Row],[10]]&lt;&gt;"",IF(ISNUMBER(FIND(",",Tabela1[[#This Row],[10]])),LEN(Tabela1[[#This Row],[10]])-LEN(SUBSTITUTE(Tabela1[[#This Row],[10]],",",""))+1,1),"")</f>
        <v/>
      </c>
      <c r="AJ408" t="str">
        <f>IF(Tabela1[[#This Row],[11]]&lt;&gt;"",IF(ISNUMBER(FIND(",",Tabela1[[#This Row],[11]])),LEN(Tabela1[[#This Row],[11]])-LEN(SUBSTITUTE(Tabela1[[#This Row],[11]],",",""))+1,1),"")</f>
        <v/>
      </c>
      <c r="AK408" t="str">
        <f>IF(Tabela1[[#This Row],[12]]&lt;&gt;"",IF(ISNUMBER(FIND(",",Tabela1[[#This Row],[12]])),LEN(Tabela1[[#This Row],[12]])-LEN(SUBSTITUTE(Tabela1[[#This Row],[12]],",",""))+1,1),"")</f>
        <v/>
      </c>
      <c r="AL408" t="str">
        <f>IF(Tabela1[[#This Row],[13]]&lt;&gt;"",IF(ISNUMBER(FIND(",",Tabela1[[#This Row],[13]])),LEN(Tabela1[[#This Row],[13]])-LEN(SUBSTITUTE(Tabela1[[#This Row],[13]],",",""))+1,1),"")</f>
        <v/>
      </c>
      <c r="AM408" t="str">
        <f>IF(Tabela1[[#This Row],[14]]&lt;&gt;"",IF(ISNUMBER(FIND(",",Tabela1[[#This Row],[14]])),LEN(Tabela1[[#This Row],[14]])-LEN(SUBSTITUTE(Tabela1[[#This Row],[14]],",",""))+1,1),"")</f>
        <v/>
      </c>
      <c r="AN408" t="str">
        <f>IF(Tabela1[[#This Row],[15]]&lt;&gt;"",IF(ISNUMBER(FIND(",",Tabela1[[#This Row],[15]])),LEN(Tabela1[[#This Row],[15]])-LEN(SUBSTITUTE(Tabela1[[#This Row],[15]],",",""))+1,1),"")</f>
        <v/>
      </c>
      <c r="AO408" t="str">
        <f>IF(Tabela1[[#This Row],[16]]&lt;&gt;"",IF(ISNUMBER(FIND(",",Tabela1[[#This Row],[16]])),LEN(Tabela1[[#This Row],[16]])-LEN(SUBSTITUTE(Tabela1[[#This Row],[16]],",",""))+1,1),"")</f>
        <v/>
      </c>
      <c r="AP408" t="str">
        <f>IF(Tabela1[[#This Row],[17]]&lt;&gt;"",IF(ISNUMBER(FIND(",",Tabela1[[#This Row],[17]])),LEN(Tabela1[[#This Row],[17]])-LEN(SUBSTITUTE(Tabela1[[#This Row],[17]],",",""))+1,1),"")</f>
        <v/>
      </c>
      <c r="AQ408" t="str">
        <f>IF(Tabela1[[#This Row],[18]]&lt;&gt;"",IF(ISNUMBER(FIND(",",Tabela1[[#This Row],[18]])),LEN(Tabela1[[#This Row],[18]])-LEN(SUBSTITUTE(Tabela1[[#This Row],[18]],",",""))+1,1),"")</f>
        <v/>
      </c>
      <c r="AR408" s="13" t="str">
        <f>IF(Tabela1[[#This Row],[19_LENGTH]]&lt;&gt;"",IF(ISNUMBER(FIND(",",Tabela1[[#This Row],[19_LENGTH]])),LEN(Tabela1[[#This Row],[19_LENGTH]])-LEN(SUBSTITUTE(Tabela1[[#This Row],[19_LENGTH]],",",""))+1,1),"")</f>
        <v/>
      </c>
      <c r="AS408" s="21">
        <f>SUM(Tabela1[[#This Row],[1_]:[19_]])</f>
        <v>2</v>
      </c>
    </row>
    <row r="409" spans="1:45" x14ac:dyDescent="0.25">
      <c r="A409" s="27" t="s">
        <v>1323</v>
      </c>
      <c r="B409" s="19" t="s">
        <v>512</v>
      </c>
      <c r="C409" s="19">
        <v>202</v>
      </c>
      <c r="D409" s="19" t="s">
        <v>1298</v>
      </c>
      <c r="E409" s="20">
        <v>43523</v>
      </c>
      <c r="F409" s="19"/>
      <c r="G409" s="19"/>
      <c r="H409" s="19"/>
      <c r="I409" s="19"/>
      <c r="J409" s="19"/>
      <c r="K409" s="19"/>
      <c r="L409" s="19"/>
      <c r="M409" s="19"/>
      <c r="N409" s="19"/>
      <c r="O409" s="19"/>
      <c r="P409" s="19"/>
      <c r="Q409" s="19"/>
      <c r="R409" s="19"/>
      <c r="S409" s="19"/>
      <c r="T409" s="19"/>
      <c r="U409" s="19">
        <v>192</v>
      </c>
      <c r="V409" s="19"/>
      <c r="W409" s="19"/>
      <c r="X409" s="19"/>
      <c r="Y409" s="19"/>
      <c r="Z409" t="str">
        <f>IF(Tabela1[[#This Row],[1]]&lt;&gt;"",IF(ISNUMBER(FIND(",",Tabela1[[#This Row],[1]])),LEN(Tabela1[[#This Row],[1]])-LEN(SUBSTITUTE(Tabela1[[#This Row],[1]],",",""))+1,1),"")</f>
        <v/>
      </c>
      <c r="AA409" t="str">
        <f>IF(Tabela1[[#This Row],[2]]&lt;&gt;"",IF(ISNUMBER(FIND(",",Tabela1[[#This Row],[2]])),LEN(Tabela1[[#This Row],[2]])-LEN(SUBSTITUTE(Tabela1[[#This Row],[2]],",",""))+1,1),"")</f>
        <v/>
      </c>
      <c r="AB409" t="str">
        <f>IF(Tabela1[[#This Row],[3]]&lt;&gt;"",IF(ISNUMBER(FIND(",",Tabela1[[#This Row],[3]])),LEN(Tabela1[[#This Row],[3]])-LEN(SUBSTITUTE(Tabela1[[#This Row],[3]],",",""))+1,1),"")</f>
        <v/>
      </c>
      <c r="AC409" t="str">
        <f>IF(Tabela1[[#This Row],[4]]&lt;&gt;"",IF(ISNUMBER(FIND(",",Tabela1[[#This Row],[4]])),LEN(Tabela1[[#This Row],[4]])-LEN(SUBSTITUTE(Tabela1[[#This Row],[4]],",",""))+1,1),"")</f>
        <v/>
      </c>
      <c r="AD409" t="str">
        <f>IF(Tabela1[[#This Row],[5]]&lt;&gt;"",IF(ISNUMBER(FIND(",",Tabela1[[#This Row],[5]])),LEN(Tabela1[[#This Row],[5]])-LEN(SUBSTITUTE(Tabela1[[#This Row],[5]],",",""))+1,1),"")</f>
        <v/>
      </c>
      <c r="AE409" t="str">
        <f>IF(Tabela1[[#This Row],[6]]&lt;&gt;"",IF(ISNUMBER(FIND(",",Tabela1[[#This Row],[6]])),LEN(Tabela1[[#This Row],[6]])-LEN(SUBSTITUTE(Tabela1[[#This Row],[6]],",",""))+1,1),"")</f>
        <v/>
      </c>
      <c r="AF409" t="str">
        <f>IF(Tabela1[[#This Row],[7]]&lt;&gt;"",IF(ISNUMBER(FIND(",",Tabela1[[#This Row],[7]])),LEN(Tabela1[[#This Row],[7]])-LEN(SUBSTITUTE(Tabela1[[#This Row],[7]],",",""))+1,1),"")</f>
        <v/>
      </c>
      <c r="AG409" t="str">
        <f>IF(Tabela1[[#This Row],[8]]&lt;&gt;"",IF(ISNUMBER(FIND(",",Tabela1[[#This Row],[8]])),LEN(Tabela1[[#This Row],[8]])-LEN(SUBSTITUTE(Tabela1[[#This Row],[8]],",",""))+1,1),"")</f>
        <v/>
      </c>
      <c r="AH409" t="str">
        <f>IF(Tabela1[[#This Row],[9]]&lt;&gt;"",IF(ISNUMBER(FIND(",",Tabela1[[#This Row],[9]])),LEN(Tabela1[[#This Row],[9]])-LEN(SUBSTITUTE(Tabela1[[#This Row],[9]],",",""))+1,1),"")</f>
        <v/>
      </c>
      <c r="AI409" t="str">
        <f>IF(Tabela1[[#This Row],[10]]&lt;&gt;"",IF(ISNUMBER(FIND(",",Tabela1[[#This Row],[10]])),LEN(Tabela1[[#This Row],[10]])-LEN(SUBSTITUTE(Tabela1[[#This Row],[10]],",",""))+1,1),"")</f>
        <v/>
      </c>
      <c r="AJ409" t="str">
        <f>IF(Tabela1[[#This Row],[11]]&lt;&gt;"",IF(ISNUMBER(FIND(",",Tabela1[[#This Row],[11]])),LEN(Tabela1[[#This Row],[11]])-LEN(SUBSTITUTE(Tabela1[[#This Row],[11]],",",""))+1,1),"")</f>
        <v/>
      </c>
      <c r="AK409" t="str">
        <f>IF(Tabela1[[#This Row],[12]]&lt;&gt;"",IF(ISNUMBER(FIND(",",Tabela1[[#This Row],[12]])),LEN(Tabela1[[#This Row],[12]])-LEN(SUBSTITUTE(Tabela1[[#This Row],[12]],",",""))+1,1),"")</f>
        <v/>
      </c>
      <c r="AL409" t="str">
        <f>IF(Tabela1[[#This Row],[13]]&lt;&gt;"",IF(ISNUMBER(FIND(",",Tabela1[[#This Row],[13]])),LEN(Tabela1[[#This Row],[13]])-LEN(SUBSTITUTE(Tabela1[[#This Row],[13]],",",""))+1,1),"")</f>
        <v/>
      </c>
      <c r="AM409" t="str">
        <f>IF(Tabela1[[#This Row],[14]]&lt;&gt;"",IF(ISNUMBER(FIND(",",Tabela1[[#This Row],[14]])),LEN(Tabela1[[#This Row],[14]])-LEN(SUBSTITUTE(Tabela1[[#This Row],[14]],",",""))+1,1),"")</f>
        <v/>
      </c>
      <c r="AN409" t="str">
        <f>IF(Tabela1[[#This Row],[15]]&lt;&gt;"",IF(ISNUMBER(FIND(",",Tabela1[[#This Row],[15]])),LEN(Tabela1[[#This Row],[15]])-LEN(SUBSTITUTE(Tabela1[[#This Row],[15]],",",""))+1,1),"")</f>
        <v/>
      </c>
      <c r="AO409">
        <f>IF(Tabela1[[#This Row],[16]]&lt;&gt;"",IF(ISNUMBER(FIND(",",Tabela1[[#This Row],[16]])),LEN(Tabela1[[#This Row],[16]])-LEN(SUBSTITUTE(Tabela1[[#This Row],[16]],",",""))+1,1),"")</f>
        <v>1</v>
      </c>
      <c r="AP409" t="str">
        <f>IF(Tabela1[[#This Row],[17]]&lt;&gt;"",IF(ISNUMBER(FIND(",",Tabela1[[#This Row],[17]])),LEN(Tabela1[[#This Row],[17]])-LEN(SUBSTITUTE(Tabela1[[#This Row],[17]],",",""))+1,1),"")</f>
        <v/>
      </c>
      <c r="AQ409" t="str">
        <f>IF(Tabela1[[#This Row],[18]]&lt;&gt;"",IF(ISNUMBER(FIND(",",Tabela1[[#This Row],[18]])),LEN(Tabela1[[#This Row],[18]])-LEN(SUBSTITUTE(Tabela1[[#This Row],[18]],",",""))+1,1),"")</f>
        <v/>
      </c>
      <c r="AR409" s="13" t="str">
        <f>IF(Tabela1[[#This Row],[19_LENGTH]]&lt;&gt;"",IF(ISNUMBER(FIND(",",Tabela1[[#This Row],[19_LENGTH]])),LEN(Tabela1[[#This Row],[19_LENGTH]])-LEN(SUBSTITUTE(Tabela1[[#This Row],[19_LENGTH]],",",""))+1,1),"")</f>
        <v/>
      </c>
      <c r="AS409" s="21">
        <f>SUM(Tabela1[[#This Row],[1_]:[19_]])</f>
        <v>1</v>
      </c>
    </row>
    <row r="410" spans="1:45" x14ac:dyDescent="0.25">
      <c r="A410" s="27" t="s">
        <v>1325</v>
      </c>
      <c r="B410" s="19" t="s">
        <v>829</v>
      </c>
      <c r="C410" s="19">
        <v>200</v>
      </c>
      <c r="D410" s="19" t="s">
        <v>1315</v>
      </c>
      <c r="E410" s="20">
        <v>43523</v>
      </c>
      <c r="F410" s="19"/>
      <c r="G410" s="19"/>
      <c r="H410" s="19"/>
      <c r="I410" s="19" t="s">
        <v>175</v>
      </c>
      <c r="J410" s="19"/>
      <c r="K410" s="19">
        <v>111</v>
      </c>
      <c r="L410" s="19"/>
      <c r="M410" s="19"/>
      <c r="N410" s="19"/>
      <c r="O410" s="19"/>
      <c r="P410" s="19"/>
      <c r="Q410" s="19"/>
      <c r="R410" s="19"/>
      <c r="S410" s="19"/>
      <c r="T410" s="19"/>
      <c r="U410" s="19"/>
      <c r="V410" s="19"/>
      <c r="W410" s="19"/>
      <c r="X410" s="19"/>
      <c r="Y410" s="19"/>
      <c r="Z410" t="str">
        <f>IF(Tabela1[[#This Row],[1]]&lt;&gt;"",IF(ISNUMBER(FIND(",",Tabela1[[#This Row],[1]])),LEN(Tabela1[[#This Row],[1]])-LEN(SUBSTITUTE(Tabela1[[#This Row],[1]],",",""))+1,1),"")</f>
        <v/>
      </c>
      <c r="AA410" t="str">
        <f>IF(Tabela1[[#This Row],[2]]&lt;&gt;"",IF(ISNUMBER(FIND(",",Tabela1[[#This Row],[2]])),LEN(Tabela1[[#This Row],[2]])-LEN(SUBSTITUTE(Tabela1[[#This Row],[2]],",",""))+1,1),"")</f>
        <v/>
      </c>
      <c r="AB410" t="str">
        <f>IF(Tabela1[[#This Row],[3]]&lt;&gt;"",IF(ISNUMBER(FIND(",",Tabela1[[#This Row],[3]])),LEN(Tabela1[[#This Row],[3]])-LEN(SUBSTITUTE(Tabela1[[#This Row],[3]],",",""))+1,1),"")</f>
        <v/>
      </c>
      <c r="AC410">
        <f>IF(Tabela1[[#This Row],[4]]&lt;&gt;"",IF(ISNUMBER(FIND(",",Tabela1[[#This Row],[4]])),LEN(Tabela1[[#This Row],[4]])-LEN(SUBSTITUTE(Tabela1[[#This Row],[4]],",",""))+1,1),"")</f>
        <v>2</v>
      </c>
      <c r="AD410" t="str">
        <f>IF(Tabela1[[#This Row],[5]]&lt;&gt;"",IF(ISNUMBER(FIND(",",Tabela1[[#This Row],[5]])),LEN(Tabela1[[#This Row],[5]])-LEN(SUBSTITUTE(Tabela1[[#This Row],[5]],",",""))+1,1),"")</f>
        <v/>
      </c>
      <c r="AE410">
        <f>IF(Tabela1[[#This Row],[6]]&lt;&gt;"",IF(ISNUMBER(FIND(",",Tabela1[[#This Row],[6]])),LEN(Tabela1[[#This Row],[6]])-LEN(SUBSTITUTE(Tabela1[[#This Row],[6]],",",""))+1,1),"")</f>
        <v>1</v>
      </c>
      <c r="AF410" t="str">
        <f>IF(Tabela1[[#This Row],[7]]&lt;&gt;"",IF(ISNUMBER(FIND(",",Tabela1[[#This Row],[7]])),LEN(Tabela1[[#This Row],[7]])-LEN(SUBSTITUTE(Tabela1[[#This Row],[7]],",",""))+1,1),"")</f>
        <v/>
      </c>
      <c r="AG410" t="str">
        <f>IF(Tabela1[[#This Row],[8]]&lt;&gt;"",IF(ISNUMBER(FIND(",",Tabela1[[#This Row],[8]])),LEN(Tabela1[[#This Row],[8]])-LEN(SUBSTITUTE(Tabela1[[#This Row],[8]],",",""))+1,1),"")</f>
        <v/>
      </c>
      <c r="AH410" t="str">
        <f>IF(Tabela1[[#This Row],[9]]&lt;&gt;"",IF(ISNUMBER(FIND(",",Tabela1[[#This Row],[9]])),LEN(Tabela1[[#This Row],[9]])-LEN(SUBSTITUTE(Tabela1[[#This Row],[9]],",",""))+1,1),"")</f>
        <v/>
      </c>
      <c r="AI410" t="str">
        <f>IF(Tabela1[[#This Row],[10]]&lt;&gt;"",IF(ISNUMBER(FIND(",",Tabela1[[#This Row],[10]])),LEN(Tabela1[[#This Row],[10]])-LEN(SUBSTITUTE(Tabela1[[#This Row],[10]],",",""))+1,1),"")</f>
        <v/>
      </c>
      <c r="AJ410" t="str">
        <f>IF(Tabela1[[#This Row],[11]]&lt;&gt;"",IF(ISNUMBER(FIND(",",Tabela1[[#This Row],[11]])),LEN(Tabela1[[#This Row],[11]])-LEN(SUBSTITUTE(Tabela1[[#This Row],[11]],",",""))+1,1),"")</f>
        <v/>
      </c>
      <c r="AK410" t="str">
        <f>IF(Tabela1[[#This Row],[12]]&lt;&gt;"",IF(ISNUMBER(FIND(",",Tabela1[[#This Row],[12]])),LEN(Tabela1[[#This Row],[12]])-LEN(SUBSTITUTE(Tabela1[[#This Row],[12]],",",""))+1,1),"")</f>
        <v/>
      </c>
      <c r="AL410" t="str">
        <f>IF(Tabela1[[#This Row],[13]]&lt;&gt;"",IF(ISNUMBER(FIND(",",Tabela1[[#This Row],[13]])),LEN(Tabela1[[#This Row],[13]])-LEN(SUBSTITUTE(Tabela1[[#This Row],[13]],",",""))+1,1),"")</f>
        <v/>
      </c>
      <c r="AM410" t="str">
        <f>IF(Tabela1[[#This Row],[14]]&lt;&gt;"",IF(ISNUMBER(FIND(",",Tabela1[[#This Row],[14]])),LEN(Tabela1[[#This Row],[14]])-LEN(SUBSTITUTE(Tabela1[[#This Row],[14]],",",""))+1,1),"")</f>
        <v/>
      </c>
      <c r="AN410" t="str">
        <f>IF(Tabela1[[#This Row],[15]]&lt;&gt;"",IF(ISNUMBER(FIND(",",Tabela1[[#This Row],[15]])),LEN(Tabela1[[#This Row],[15]])-LEN(SUBSTITUTE(Tabela1[[#This Row],[15]],",",""))+1,1),"")</f>
        <v/>
      </c>
      <c r="AO410" t="str">
        <f>IF(Tabela1[[#This Row],[16]]&lt;&gt;"",IF(ISNUMBER(FIND(",",Tabela1[[#This Row],[16]])),LEN(Tabela1[[#This Row],[16]])-LEN(SUBSTITUTE(Tabela1[[#This Row],[16]],",",""))+1,1),"")</f>
        <v/>
      </c>
      <c r="AP410" t="str">
        <f>IF(Tabela1[[#This Row],[17]]&lt;&gt;"",IF(ISNUMBER(FIND(",",Tabela1[[#This Row],[17]])),LEN(Tabela1[[#This Row],[17]])-LEN(SUBSTITUTE(Tabela1[[#This Row],[17]],",",""))+1,1),"")</f>
        <v/>
      </c>
      <c r="AQ410" t="str">
        <f>IF(Tabela1[[#This Row],[18]]&lt;&gt;"",IF(ISNUMBER(FIND(",",Tabela1[[#This Row],[18]])),LEN(Tabela1[[#This Row],[18]])-LEN(SUBSTITUTE(Tabela1[[#This Row],[18]],",",""))+1,1),"")</f>
        <v/>
      </c>
      <c r="AR410" s="13" t="str">
        <f>IF(Tabela1[[#This Row],[19_LENGTH]]&lt;&gt;"",IF(ISNUMBER(FIND(",",Tabela1[[#This Row],[19_LENGTH]])),LEN(Tabela1[[#This Row],[19_LENGTH]])-LEN(SUBSTITUTE(Tabela1[[#This Row],[19_LENGTH]],",",""))+1,1),"")</f>
        <v/>
      </c>
      <c r="AS410" s="21">
        <f>SUM(Tabela1[[#This Row],[1_]:[19_]])</f>
        <v>3</v>
      </c>
    </row>
    <row r="411" spans="1:45" x14ac:dyDescent="0.25">
      <c r="A411" s="27" t="s">
        <v>1325</v>
      </c>
      <c r="B411" s="19" t="s">
        <v>830</v>
      </c>
      <c r="C411" s="19">
        <v>202</v>
      </c>
      <c r="D411" s="19" t="s">
        <v>1315</v>
      </c>
      <c r="E411" s="20">
        <v>43523</v>
      </c>
      <c r="F411" s="19"/>
      <c r="G411" s="19"/>
      <c r="H411" s="19"/>
      <c r="I411" s="19"/>
      <c r="J411" s="19">
        <v>89</v>
      </c>
      <c r="K411" s="19"/>
      <c r="L411" s="19"/>
      <c r="M411" s="19"/>
      <c r="N411" s="19"/>
      <c r="O411" s="19"/>
      <c r="P411" s="19"/>
      <c r="Q411" s="19"/>
      <c r="R411" s="19"/>
      <c r="S411" s="19"/>
      <c r="T411" s="19"/>
      <c r="U411" s="19"/>
      <c r="V411" s="19"/>
      <c r="W411" s="19"/>
      <c r="X411" s="19"/>
      <c r="Y411" s="19"/>
      <c r="Z411" t="str">
        <f>IF(Tabela1[[#This Row],[1]]&lt;&gt;"",IF(ISNUMBER(FIND(",",Tabela1[[#This Row],[1]])),LEN(Tabela1[[#This Row],[1]])-LEN(SUBSTITUTE(Tabela1[[#This Row],[1]],",",""))+1,1),"")</f>
        <v/>
      </c>
      <c r="AA411" t="str">
        <f>IF(Tabela1[[#This Row],[2]]&lt;&gt;"",IF(ISNUMBER(FIND(",",Tabela1[[#This Row],[2]])),LEN(Tabela1[[#This Row],[2]])-LEN(SUBSTITUTE(Tabela1[[#This Row],[2]],",",""))+1,1),"")</f>
        <v/>
      </c>
      <c r="AB411" t="str">
        <f>IF(Tabela1[[#This Row],[3]]&lt;&gt;"",IF(ISNUMBER(FIND(",",Tabela1[[#This Row],[3]])),LEN(Tabela1[[#This Row],[3]])-LEN(SUBSTITUTE(Tabela1[[#This Row],[3]],",",""))+1,1),"")</f>
        <v/>
      </c>
      <c r="AC411" t="str">
        <f>IF(Tabela1[[#This Row],[4]]&lt;&gt;"",IF(ISNUMBER(FIND(",",Tabela1[[#This Row],[4]])),LEN(Tabela1[[#This Row],[4]])-LEN(SUBSTITUTE(Tabela1[[#This Row],[4]],",",""))+1,1),"")</f>
        <v/>
      </c>
      <c r="AD411">
        <f>IF(Tabela1[[#This Row],[5]]&lt;&gt;"",IF(ISNUMBER(FIND(",",Tabela1[[#This Row],[5]])),LEN(Tabela1[[#This Row],[5]])-LEN(SUBSTITUTE(Tabela1[[#This Row],[5]],",",""))+1,1),"")</f>
        <v>1</v>
      </c>
      <c r="AE411" t="str">
        <f>IF(Tabela1[[#This Row],[6]]&lt;&gt;"",IF(ISNUMBER(FIND(",",Tabela1[[#This Row],[6]])),LEN(Tabela1[[#This Row],[6]])-LEN(SUBSTITUTE(Tabela1[[#This Row],[6]],",",""))+1,1),"")</f>
        <v/>
      </c>
      <c r="AF411" t="str">
        <f>IF(Tabela1[[#This Row],[7]]&lt;&gt;"",IF(ISNUMBER(FIND(",",Tabela1[[#This Row],[7]])),LEN(Tabela1[[#This Row],[7]])-LEN(SUBSTITUTE(Tabela1[[#This Row],[7]],",",""))+1,1),"")</f>
        <v/>
      </c>
      <c r="AG411" t="str">
        <f>IF(Tabela1[[#This Row],[8]]&lt;&gt;"",IF(ISNUMBER(FIND(",",Tabela1[[#This Row],[8]])),LEN(Tabela1[[#This Row],[8]])-LEN(SUBSTITUTE(Tabela1[[#This Row],[8]],",",""))+1,1),"")</f>
        <v/>
      </c>
      <c r="AH411" t="str">
        <f>IF(Tabela1[[#This Row],[9]]&lt;&gt;"",IF(ISNUMBER(FIND(",",Tabela1[[#This Row],[9]])),LEN(Tabela1[[#This Row],[9]])-LEN(SUBSTITUTE(Tabela1[[#This Row],[9]],",",""))+1,1),"")</f>
        <v/>
      </c>
      <c r="AI411" t="str">
        <f>IF(Tabela1[[#This Row],[10]]&lt;&gt;"",IF(ISNUMBER(FIND(",",Tabela1[[#This Row],[10]])),LEN(Tabela1[[#This Row],[10]])-LEN(SUBSTITUTE(Tabela1[[#This Row],[10]],",",""))+1,1),"")</f>
        <v/>
      </c>
      <c r="AJ411" t="str">
        <f>IF(Tabela1[[#This Row],[11]]&lt;&gt;"",IF(ISNUMBER(FIND(",",Tabela1[[#This Row],[11]])),LEN(Tabela1[[#This Row],[11]])-LEN(SUBSTITUTE(Tabela1[[#This Row],[11]],",",""))+1,1),"")</f>
        <v/>
      </c>
      <c r="AK411" t="str">
        <f>IF(Tabela1[[#This Row],[12]]&lt;&gt;"",IF(ISNUMBER(FIND(",",Tabela1[[#This Row],[12]])),LEN(Tabela1[[#This Row],[12]])-LEN(SUBSTITUTE(Tabela1[[#This Row],[12]],",",""))+1,1),"")</f>
        <v/>
      </c>
      <c r="AL411" t="str">
        <f>IF(Tabela1[[#This Row],[13]]&lt;&gt;"",IF(ISNUMBER(FIND(",",Tabela1[[#This Row],[13]])),LEN(Tabela1[[#This Row],[13]])-LEN(SUBSTITUTE(Tabela1[[#This Row],[13]],",",""))+1,1),"")</f>
        <v/>
      </c>
      <c r="AM411" t="str">
        <f>IF(Tabela1[[#This Row],[14]]&lt;&gt;"",IF(ISNUMBER(FIND(",",Tabela1[[#This Row],[14]])),LEN(Tabela1[[#This Row],[14]])-LEN(SUBSTITUTE(Tabela1[[#This Row],[14]],",",""))+1,1),"")</f>
        <v/>
      </c>
      <c r="AN411" t="str">
        <f>IF(Tabela1[[#This Row],[15]]&lt;&gt;"",IF(ISNUMBER(FIND(",",Tabela1[[#This Row],[15]])),LEN(Tabela1[[#This Row],[15]])-LEN(SUBSTITUTE(Tabela1[[#This Row],[15]],",",""))+1,1),"")</f>
        <v/>
      </c>
      <c r="AO411" t="str">
        <f>IF(Tabela1[[#This Row],[16]]&lt;&gt;"",IF(ISNUMBER(FIND(",",Tabela1[[#This Row],[16]])),LEN(Tabela1[[#This Row],[16]])-LEN(SUBSTITUTE(Tabela1[[#This Row],[16]],",",""))+1,1),"")</f>
        <v/>
      </c>
      <c r="AP411" t="str">
        <f>IF(Tabela1[[#This Row],[17]]&lt;&gt;"",IF(ISNUMBER(FIND(",",Tabela1[[#This Row],[17]])),LEN(Tabela1[[#This Row],[17]])-LEN(SUBSTITUTE(Tabela1[[#This Row],[17]],",",""))+1,1),"")</f>
        <v/>
      </c>
      <c r="AQ411" t="str">
        <f>IF(Tabela1[[#This Row],[18]]&lt;&gt;"",IF(ISNUMBER(FIND(",",Tabela1[[#This Row],[18]])),LEN(Tabela1[[#This Row],[18]])-LEN(SUBSTITUTE(Tabela1[[#This Row],[18]],",",""))+1,1),"")</f>
        <v/>
      </c>
      <c r="AR411" s="13" t="str">
        <f>IF(Tabela1[[#This Row],[19_LENGTH]]&lt;&gt;"",IF(ISNUMBER(FIND(",",Tabela1[[#This Row],[19_LENGTH]])),LEN(Tabela1[[#This Row],[19_LENGTH]])-LEN(SUBSTITUTE(Tabela1[[#This Row],[19_LENGTH]],",",""))+1,1),"")</f>
        <v/>
      </c>
      <c r="AS411" s="21">
        <f>SUM(Tabela1[[#This Row],[1_]:[19_]])</f>
        <v>1</v>
      </c>
    </row>
    <row r="412" spans="1:45" x14ac:dyDescent="0.25">
      <c r="A412" s="27" t="s">
        <v>1325</v>
      </c>
      <c r="B412" s="19" t="s">
        <v>513</v>
      </c>
      <c r="C412" s="19">
        <v>220</v>
      </c>
      <c r="D412" s="19" t="s">
        <v>1314</v>
      </c>
      <c r="E412" s="20">
        <v>43523</v>
      </c>
      <c r="F412" s="19"/>
      <c r="G412" s="19"/>
      <c r="H412" s="19"/>
      <c r="I412" s="19" t="s">
        <v>176</v>
      </c>
      <c r="J412" s="19"/>
      <c r="K412" s="19"/>
      <c r="L412" s="19"/>
      <c r="M412" s="19"/>
      <c r="N412" s="19"/>
      <c r="O412" s="19"/>
      <c r="P412" s="19"/>
      <c r="Q412" s="19"/>
      <c r="R412" s="19"/>
      <c r="S412" s="19"/>
      <c r="T412" s="19"/>
      <c r="U412" s="19"/>
      <c r="V412" s="19"/>
      <c r="W412" s="19"/>
      <c r="X412" s="19"/>
      <c r="Y412" s="19"/>
      <c r="Z412" t="str">
        <f>IF(Tabela1[[#This Row],[1]]&lt;&gt;"",IF(ISNUMBER(FIND(",",Tabela1[[#This Row],[1]])),LEN(Tabela1[[#This Row],[1]])-LEN(SUBSTITUTE(Tabela1[[#This Row],[1]],",",""))+1,1),"")</f>
        <v/>
      </c>
      <c r="AA412" t="str">
        <f>IF(Tabela1[[#This Row],[2]]&lt;&gt;"",IF(ISNUMBER(FIND(",",Tabela1[[#This Row],[2]])),LEN(Tabela1[[#This Row],[2]])-LEN(SUBSTITUTE(Tabela1[[#This Row],[2]],",",""))+1,1),"")</f>
        <v/>
      </c>
      <c r="AB412" t="str">
        <f>IF(Tabela1[[#This Row],[3]]&lt;&gt;"",IF(ISNUMBER(FIND(",",Tabela1[[#This Row],[3]])),LEN(Tabela1[[#This Row],[3]])-LEN(SUBSTITUTE(Tabela1[[#This Row],[3]],",",""))+1,1),"")</f>
        <v/>
      </c>
      <c r="AC412">
        <f>IF(Tabela1[[#This Row],[4]]&lt;&gt;"",IF(ISNUMBER(FIND(",",Tabela1[[#This Row],[4]])),LEN(Tabela1[[#This Row],[4]])-LEN(SUBSTITUTE(Tabela1[[#This Row],[4]],",",""))+1,1),"")</f>
        <v>2</v>
      </c>
      <c r="AD412" t="str">
        <f>IF(Tabela1[[#This Row],[5]]&lt;&gt;"",IF(ISNUMBER(FIND(",",Tabela1[[#This Row],[5]])),LEN(Tabela1[[#This Row],[5]])-LEN(SUBSTITUTE(Tabela1[[#This Row],[5]],",",""))+1,1),"")</f>
        <v/>
      </c>
      <c r="AE412" t="str">
        <f>IF(Tabela1[[#This Row],[6]]&lt;&gt;"",IF(ISNUMBER(FIND(",",Tabela1[[#This Row],[6]])),LEN(Tabela1[[#This Row],[6]])-LEN(SUBSTITUTE(Tabela1[[#This Row],[6]],",",""))+1,1),"")</f>
        <v/>
      </c>
      <c r="AF412" t="str">
        <f>IF(Tabela1[[#This Row],[7]]&lt;&gt;"",IF(ISNUMBER(FIND(",",Tabela1[[#This Row],[7]])),LEN(Tabela1[[#This Row],[7]])-LEN(SUBSTITUTE(Tabela1[[#This Row],[7]],",",""))+1,1),"")</f>
        <v/>
      </c>
      <c r="AG412" t="str">
        <f>IF(Tabela1[[#This Row],[8]]&lt;&gt;"",IF(ISNUMBER(FIND(",",Tabela1[[#This Row],[8]])),LEN(Tabela1[[#This Row],[8]])-LEN(SUBSTITUTE(Tabela1[[#This Row],[8]],",",""))+1,1),"")</f>
        <v/>
      </c>
      <c r="AH412" t="str">
        <f>IF(Tabela1[[#This Row],[9]]&lt;&gt;"",IF(ISNUMBER(FIND(",",Tabela1[[#This Row],[9]])),LEN(Tabela1[[#This Row],[9]])-LEN(SUBSTITUTE(Tabela1[[#This Row],[9]],",",""))+1,1),"")</f>
        <v/>
      </c>
      <c r="AI412" t="str">
        <f>IF(Tabela1[[#This Row],[10]]&lt;&gt;"",IF(ISNUMBER(FIND(",",Tabela1[[#This Row],[10]])),LEN(Tabela1[[#This Row],[10]])-LEN(SUBSTITUTE(Tabela1[[#This Row],[10]],",",""))+1,1),"")</f>
        <v/>
      </c>
      <c r="AJ412" t="str">
        <f>IF(Tabela1[[#This Row],[11]]&lt;&gt;"",IF(ISNUMBER(FIND(",",Tabela1[[#This Row],[11]])),LEN(Tabela1[[#This Row],[11]])-LEN(SUBSTITUTE(Tabela1[[#This Row],[11]],",",""))+1,1),"")</f>
        <v/>
      </c>
      <c r="AK412" t="str">
        <f>IF(Tabela1[[#This Row],[12]]&lt;&gt;"",IF(ISNUMBER(FIND(",",Tabela1[[#This Row],[12]])),LEN(Tabela1[[#This Row],[12]])-LEN(SUBSTITUTE(Tabela1[[#This Row],[12]],",",""))+1,1),"")</f>
        <v/>
      </c>
      <c r="AL412" t="str">
        <f>IF(Tabela1[[#This Row],[13]]&lt;&gt;"",IF(ISNUMBER(FIND(",",Tabela1[[#This Row],[13]])),LEN(Tabela1[[#This Row],[13]])-LEN(SUBSTITUTE(Tabela1[[#This Row],[13]],",",""))+1,1),"")</f>
        <v/>
      </c>
      <c r="AM412" t="str">
        <f>IF(Tabela1[[#This Row],[14]]&lt;&gt;"",IF(ISNUMBER(FIND(",",Tabela1[[#This Row],[14]])),LEN(Tabela1[[#This Row],[14]])-LEN(SUBSTITUTE(Tabela1[[#This Row],[14]],",",""))+1,1),"")</f>
        <v/>
      </c>
      <c r="AN412" t="str">
        <f>IF(Tabela1[[#This Row],[15]]&lt;&gt;"",IF(ISNUMBER(FIND(",",Tabela1[[#This Row],[15]])),LEN(Tabela1[[#This Row],[15]])-LEN(SUBSTITUTE(Tabela1[[#This Row],[15]],",",""))+1,1),"")</f>
        <v/>
      </c>
      <c r="AO412" t="str">
        <f>IF(Tabela1[[#This Row],[16]]&lt;&gt;"",IF(ISNUMBER(FIND(",",Tabela1[[#This Row],[16]])),LEN(Tabela1[[#This Row],[16]])-LEN(SUBSTITUTE(Tabela1[[#This Row],[16]],",",""))+1,1),"")</f>
        <v/>
      </c>
      <c r="AP412" t="str">
        <f>IF(Tabela1[[#This Row],[17]]&lt;&gt;"",IF(ISNUMBER(FIND(",",Tabela1[[#This Row],[17]])),LEN(Tabela1[[#This Row],[17]])-LEN(SUBSTITUTE(Tabela1[[#This Row],[17]],",",""))+1,1),"")</f>
        <v/>
      </c>
      <c r="AQ412" t="str">
        <f>IF(Tabela1[[#This Row],[18]]&lt;&gt;"",IF(ISNUMBER(FIND(",",Tabela1[[#This Row],[18]])),LEN(Tabela1[[#This Row],[18]])-LEN(SUBSTITUTE(Tabela1[[#This Row],[18]],",",""))+1,1),"")</f>
        <v/>
      </c>
      <c r="AR412" s="13" t="str">
        <f>IF(Tabela1[[#This Row],[19_LENGTH]]&lt;&gt;"",IF(ISNUMBER(FIND(",",Tabela1[[#This Row],[19_LENGTH]])),LEN(Tabela1[[#This Row],[19_LENGTH]])-LEN(SUBSTITUTE(Tabela1[[#This Row],[19_LENGTH]],",",""))+1,1),"")</f>
        <v/>
      </c>
      <c r="AS412" s="21">
        <f>SUM(Tabela1[[#This Row],[1_]:[19_]])</f>
        <v>2</v>
      </c>
    </row>
    <row r="413" spans="1:45" x14ac:dyDescent="0.25">
      <c r="A413" s="27" t="s">
        <v>1325</v>
      </c>
      <c r="B413" s="19" t="s">
        <v>514</v>
      </c>
      <c r="C413" s="19">
        <v>202</v>
      </c>
      <c r="D413" s="19" t="s">
        <v>1314</v>
      </c>
      <c r="E413" s="20">
        <v>43523</v>
      </c>
      <c r="F413" s="19"/>
      <c r="G413" s="19">
        <v>48</v>
      </c>
      <c r="H413" s="19"/>
      <c r="I413" s="19"/>
      <c r="J413" s="19"/>
      <c r="K413" s="19"/>
      <c r="L413" s="19"/>
      <c r="M413" s="19"/>
      <c r="N413" s="19"/>
      <c r="O413" s="19"/>
      <c r="P413" s="19"/>
      <c r="Q413" s="19"/>
      <c r="R413" s="19"/>
      <c r="S413" s="19"/>
      <c r="T413" s="19"/>
      <c r="U413" s="19"/>
      <c r="V413" s="19"/>
      <c r="W413" s="19"/>
      <c r="X413" s="19"/>
      <c r="Y413" s="19"/>
      <c r="Z413" t="str">
        <f>IF(Tabela1[[#This Row],[1]]&lt;&gt;"",IF(ISNUMBER(FIND(",",Tabela1[[#This Row],[1]])),LEN(Tabela1[[#This Row],[1]])-LEN(SUBSTITUTE(Tabela1[[#This Row],[1]],",",""))+1,1),"")</f>
        <v/>
      </c>
      <c r="AA413">
        <f>IF(Tabela1[[#This Row],[2]]&lt;&gt;"",IF(ISNUMBER(FIND(",",Tabela1[[#This Row],[2]])),LEN(Tabela1[[#This Row],[2]])-LEN(SUBSTITUTE(Tabela1[[#This Row],[2]],",",""))+1,1),"")</f>
        <v>1</v>
      </c>
      <c r="AB413" t="str">
        <f>IF(Tabela1[[#This Row],[3]]&lt;&gt;"",IF(ISNUMBER(FIND(",",Tabela1[[#This Row],[3]])),LEN(Tabela1[[#This Row],[3]])-LEN(SUBSTITUTE(Tabela1[[#This Row],[3]],",",""))+1,1),"")</f>
        <v/>
      </c>
      <c r="AC413" t="str">
        <f>IF(Tabela1[[#This Row],[4]]&lt;&gt;"",IF(ISNUMBER(FIND(",",Tabela1[[#This Row],[4]])),LEN(Tabela1[[#This Row],[4]])-LEN(SUBSTITUTE(Tabela1[[#This Row],[4]],",",""))+1,1),"")</f>
        <v/>
      </c>
      <c r="AD413" t="str">
        <f>IF(Tabela1[[#This Row],[5]]&lt;&gt;"",IF(ISNUMBER(FIND(",",Tabela1[[#This Row],[5]])),LEN(Tabela1[[#This Row],[5]])-LEN(SUBSTITUTE(Tabela1[[#This Row],[5]],",",""))+1,1),"")</f>
        <v/>
      </c>
      <c r="AE413" t="str">
        <f>IF(Tabela1[[#This Row],[6]]&lt;&gt;"",IF(ISNUMBER(FIND(",",Tabela1[[#This Row],[6]])),LEN(Tabela1[[#This Row],[6]])-LEN(SUBSTITUTE(Tabela1[[#This Row],[6]],",",""))+1,1),"")</f>
        <v/>
      </c>
      <c r="AF413" t="str">
        <f>IF(Tabela1[[#This Row],[7]]&lt;&gt;"",IF(ISNUMBER(FIND(",",Tabela1[[#This Row],[7]])),LEN(Tabela1[[#This Row],[7]])-LEN(SUBSTITUTE(Tabela1[[#This Row],[7]],",",""))+1,1),"")</f>
        <v/>
      </c>
      <c r="AG413" t="str">
        <f>IF(Tabela1[[#This Row],[8]]&lt;&gt;"",IF(ISNUMBER(FIND(",",Tabela1[[#This Row],[8]])),LEN(Tabela1[[#This Row],[8]])-LEN(SUBSTITUTE(Tabela1[[#This Row],[8]],",",""))+1,1),"")</f>
        <v/>
      </c>
      <c r="AH413" t="str">
        <f>IF(Tabela1[[#This Row],[9]]&lt;&gt;"",IF(ISNUMBER(FIND(",",Tabela1[[#This Row],[9]])),LEN(Tabela1[[#This Row],[9]])-LEN(SUBSTITUTE(Tabela1[[#This Row],[9]],",",""))+1,1),"")</f>
        <v/>
      </c>
      <c r="AI413" t="str">
        <f>IF(Tabela1[[#This Row],[10]]&lt;&gt;"",IF(ISNUMBER(FIND(",",Tabela1[[#This Row],[10]])),LEN(Tabela1[[#This Row],[10]])-LEN(SUBSTITUTE(Tabela1[[#This Row],[10]],",",""))+1,1),"")</f>
        <v/>
      </c>
      <c r="AJ413" t="str">
        <f>IF(Tabela1[[#This Row],[11]]&lt;&gt;"",IF(ISNUMBER(FIND(",",Tabela1[[#This Row],[11]])),LEN(Tabela1[[#This Row],[11]])-LEN(SUBSTITUTE(Tabela1[[#This Row],[11]],",",""))+1,1),"")</f>
        <v/>
      </c>
      <c r="AK413" t="str">
        <f>IF(Tabela1[[#This Row],[12]]&lt;&gt;"",IF(ISNUMBER(FIND(",",Tabela1[[#This Row],[12]])),LEN(Tabela1[[#This Row],[12]])-LEN(SUBSTITUTE(Tabela1[[#This Row],[12]],",",""))+1,1),"")</f>
        <v/>
      </c>
      <c r="AL413" t="str">
        <f>IF(Tabela1[[#This Row],[13]]&lt;&gt;"",IF(ISNUMBER(FIND(",",Tabela1[[#This Row],[13]])),LEN(Tabela1[[#This Row],[13]])-LEN(SUBSTITUTE(Tabela1[[#This Row],[13]],",",""))+1,1),"")</f>
        <v/>
      </c>
      <c r="AM413" t="str">
        <f>IF(Tabela1[[#This Row],[14]]&lt;&gt;"",IF(ISNUMBER(FIND(",",Tabela1[[#This Row],[14]])),LEN(Tabela1[[#This Row],[14]])-LEN(SUBSTITUTE(Tabela1[[#This Row],[14]],",",""))+1,1),"")</f>
        <v/>
      </c>
      <c r="AN413" t="str">
        <f>IF(Tabela1[[#This Row],[15]]&lt;&gt;"",IF(ISNUMBER(FIND(",",Tabela1[[#This Row],[15]])),LEN(Tabela1[[#This Row],[15]])-LEN(SUBSTITUTE(Tabela1[[#This Row],[15]],",",""))+1,1),"")</f>
        <v/>
      </c>
      <c r="AO413" t="str">
        <f>IF(Tabela1[[#This Row],[16]]&lt;&gt;"",IF(ISNUMBER(FIND(",",Tabela1[[#This Row],[16]])),LEN(Tabela1[[#This Row],[16]])-LEN(SUBSTITUTE(Tabela1[[#This Row],[16]],",",""))+1,1),"")</f>
        <v/>
      </c>
      <c r="AP413" t="str">
        <f>IF(Tabela1[[#This Row],[17]]&lt;&gt;"",IF(ISNUMBER(FIND(",",Tabela1[[#This Row],[17]])),LEN(Tabela1[[#This Row],[17]])-LEN(SUBSTITUTE(Tabela1[[#This Row],[17]],",",""))+1,1),"")</f>
        <v/>
      </c>
      <c r="AQ413" t="str">
        <f>IF(Tabela1[[#This Row],[18]]&lt;&gt;"",IF(ISNUMBER(FIND(",",Tabela1[[#This Row],[18]])),LEN(Tabela1[[#This Row],[18]])-LEN(SUBSTITUTE(Tabela1[[#This Row],[18]],",",""))+1,1),"")</f>
        <v/>
      </c>
      <c r="AR413" s="13" t="str">
        <f>IF(Tabela1[[#This Row],[19_LENGTH]]&lt;&gt;"",IF(ISNUMBER(FIND(",",Tabela1[[#This Row],[19_LENGTH]])),LEN(Tabela1[[#This Row],[19_LENGTH]])-LEN(SUBSTITUTE(Tabela1[[#This Row],[19_LENGTH]],",",""))+1,1),"")</f>
        <v/>
      </c>
      <c r="AS413" s="21">
        <f>SUM(Tabela1[[#This Row],[1_]:[19_]])</f>
        <v>1</v>
      </c>
    </row>
    <row r="414" spans="1:45" x14ac:dyDescent="0.25">
      <c r="A414" s="27" t="s">
        <v>1325</v>
      </c>
      <c r="B414" s="19" t="s">
        <v>515</v>
      </c>
      <c r="C414" s="19">
        <v>202</v>
      </c>
      <c r="D414" s="19" t="s">
        <v>1314</v>
      </c>
      <c r="E414" s="20">
        <v>43523</v>
      </c>
      <c r="F414" s="19"/>
      <c r="G414" s="19"/>
      <c r="H414" s="19"/>
      <c r="I414" s="19" t="s">
        <v>177</v>
      </c>
      <c r="J414" s="19"/>
      <c r="K414" s="19"/>
      <c r="L414" s="19"/>
      <c r="M414" s="19"/>
      <c r="N414" s="19"/>
      <c r="O414" s="19"/>
      <c r="P414" s="19"/>
      <c r="Q414" s="19"/>
      <c r="R414" s="19"/>
      <c r="S414" s="19"/>
      <c r="T414" s="19"/>
      <c r="U414" s="19"/>
      <c r="V414" s="19"/>
      <c r="W414" s="19"/>
      <c r="X414" s="19"/>
      <c r="Y414" s="19"/>
      <c r="Z414" t="str">
        <f>IF(Tabela1[[#This Row],[1]]&lt;&gt;"",IF(ISNUMBER(FIND(",",Tabela1[[#This Row],[1]])),LEN(Tabela1[[#This Row],[1]])-LEN(SUBSTITUTE(Tabela1[[#This Row],[1]],",",""))+1,1),"")</f>
        <v/>
      </c>
      <c r="AA414" t="str">
        <f>IF(Tabela1[[#This Row],[2]]&lt;&gt;"",IF(ISNUMBER(FIND(",",Tabela1[[#This Row],[2]])),LEN(Tabela1[[#This Row],[2]])-LEN(SUBSTITUTE(Tabela1[[#This Row],[2]],",",""))+1,1),"")</f>
        <v/>
      </c>
      <c r="AB414" t="str">
        <f>IF(Tabela1[[#This Row],[3]]&lt;&gt;"",IF(ISNUMBER(FIND(",",Tabela1[[#This Row],[3]])),LEN(Tabela1[[#This Row],[3]])-LEN(SUBSTITUTE(Tabela1[[#This Row],[3]],",",""))+1,1),"")</f>
        <v/>
      </c>
      <c r="AC414">
        <f>IF(Tabela1[[#This Row],[4]]&lt;&gt;"",IF(ISNUMBER(FIND(",",Tabela1[[#This Row],[4]])),LEN(Tabela1[[#This Row],[4]])-LEN(SUBSTITUTE(Tabela1[[#This Row],[4]],",",""))+1,1),"")</f>
        <v>2</v>
      </c>
      <c r="AD414" t="str">
        <f>IF(Tabela1[[#This Row],[5]]&lt;&gt;"",IF(ISNUMBER(FIND(",",Tabela1[[#This Row],[5]])),LEN(Tabela1[[#This Row],[5]])-LEN(SUBSTITUTE(Tabela1[[#This Row],[5]],",",""))+1,1),"")</f>
        <v/>
      </c>
      <c r="AE414" t="str">
        <f>IF(Tabela1[[#This Row],[6]]&lt;&gt;"",IF(ISNUMBER(FIND(",",Tabela1[[#This Row],[6]])),LEN(Tabela1[[#This Row],[6]])-LEN(SUBSTITUTE(Tabela1[[#This Row],[6]],",",""))+1,1),"")</f>
        <v/>
      </c>
      <c r="AF414" t="str">
        <f>IF(Tabela1[[#This Row],[7]]&lt;&gt;"",IF(ISNUMBER(FIND(",",Tabela1[[#This Row],[7]])),LEN(Tabela1[[#This Row],[7]])-LEN(SUBSTITUTE(Tabela1[[#This Row],[7]],",",""))+1,1),"")</f>
        <v/>
      </c>
      <c r="AG414" t="str">
        <f>IF(Tabela1[[#This Row],[8]]&lt;&gt;"",IF(ISNUMBER(FIND(",",Tabela1[[#This Row],[8]])),LEN(Tabela1[[#This Row],[8]])-LEN(SUBSTITUTE(Tabela1[[#This Row],[8]],",",""))+1,1),"")</f>
        <v/>
      </c>
      <c r="AH414" t="str">
        <f>IF(Tabela1[[#This Row],[9]]&lt;&gt;"",IF(ISNUMBER(FIND(",",Tabela1[[#This Row],[9]])),LEN(Tabela1[[#This Row],[9]])-LEN(SUBSTITUTE(Tabela1[[#This Row],[9]],",",""))+1,1),"")</f>
        <v/>
      </c>
      <c r="AI414" t="str">
        <f>IF(Tabela1[[#This Row],[10]]&lt;&gt;"",IF(ISNUMBER(FIND(",",Tabela1[[#This Row],[10]])),LEN(Tabela1[[#This Row],[10]])-LEN(SUBSTITUTE(Tabela1[[#This Row],[10]],",",""))+1,1),"")</f>
        <v/>
      </c>
      <c r="AJ414" t="str">
        <f>IF(Tabela1[[#This Row],[11]]&lt;&gt;"",IF(ISNUMBER(FIND(",",Tabela1[[#This Row],[11]])),LEN(Tabela1[[#This Row],[11]])-LEN(SUBSTITUTE(Tabela1[[#This Row],[11]],",",""))+1,1),"")</f>
        <v/>
      </c>
      <c r="AK414" t="str">
        <f>IF(Tabela1[[#This Row],[12]]&lt;&gt;"",IF(ISNUMBER(FIND(",",Tabela1[[#This Row],[12]])),LEN(Tabela1[[#This Row],[12]])-LEN(SUBSTITUTE(Tabela1[[#This Row],[12]],",",""))+1,1),"")</f>
        <v/>
      </c>
      <c r="AL414" t="str">
        <f>IF(Tabela1[[#This Row],[13]]&lt;&gt;"",IF(ISNUMBER(FIND(",",Tabela1[[#This Row],[13]])),LEN(Tabela1[[#This Row],[13]])-LEN(SUBSTITUTE(Tabela1[[#This Row],[13]],",",""))+1,1),"")</f>
        <v/>
      </c>
      <c r="AM414" t="str">
        <f>IF(Tabela1[[#This Row],[14]]&lt;&gt;"",IF(ISNUMBER(FIND(",",Tabela1[[#This Row],[14]])),LEN(Tabela1[[#This Row],[14]])-LEN(SUBSTITUTE(Tabela1[[#This Row],[14]],",",""))+1,1),"")</f>
        <v/>
      </c>
      <c r="AN414" t="str">
        <f>IF(Tabela1[[#This Row],[15]]&lt;&gt;"",IF(ISNUMBER(FIND(",",Tabela1[[#This Row],[15]])),LEN(Tabela1[[#This Row],[15]])-LEN(SUBSTITUTE(Tabela1[[#This Row],[15]],",",""))+1,1),"")</f>
        <v/>
      </c>
      <c r="AO414" t="str">
        <f>IF(Tabela1[[#This Row],[16]]&lt;&gt;"",IF(ISNUMBER(FIND(",",Tabela1[[#This Row],[16]])),LEN(Tabela1[[#This Row],[16]])-LEN(SUBSTITUTE(Tabela1[[#This Row],[16]],",",""))+1,1),"")</f>
        <v/>
      </c>
      <c r="AP414" t="str">
        <f>IF(Tabela1[[#This Row],[17]]&lt;&gt;"",IF(ISNUMBER(FIND(",",Tabela1[[#This Row],[17]])),LEN(Tabela1[[#This Row],[17]])-LEN(SUBSTITUTE(Tabela1[[#This Row],[17]],",",""))+1,1),"")</f>
        <v/>
      </c>
      <c r="AQ414" t="str">
        <f>IF(Tabela1[[#This Row],[18]]&lt;&gt;"",IF(ISNUMBER(FIND(",",Tabela1[[#This Row],[18]])),LEN(Tabela1[[#This Row],[18]])-LEN(SUBSTITUTE(Tabela1[[#This Row],[18]],",",""))+1,1),"")</f>
        <v/>
      </c>
      <c r="AR414" s="13" t="str">
        <f>IF(Tabela1[[#This Row],[19_LENGTH]]&lt;&gt;"",IF(ISNUMBER(FIND(",",Tabela1[[#This Row],[19_LENGTH]])),LEN(Tabela1[[#This Row],[19_LENGTH]])-LEN(SUBSTITUTE(Tabela1[[#This Row],[19_LENGTH]],",",""))+1,1),"")</f>
        <v/>
      </c>
      <c r="AS414" s="21">
        <f>SUM(Tabela1[[#This Row],[1_]:[19_]])</f>
        <v>2</v>
      </c>
    </row>
    <row r="415" spans="1:45" x14ac:dyDescent="0.25">
      <c r="A415" s="27" t="s">
        <v>1325</v>
      </c>
      <c r="B415" s="19" t="s">
        <v>516</v>
      </c>
      <c r="C415" s="19">
        <v>202</v>
      </c>
      <c r="D415" s="19" t="s">
        <v>1314</v>
      </c>
      <c r="E415" s="20">
        <v>43523</v>
      </c>
      <c r="F415" s="19"/>
      <c r="G415" s="19"/>
      <c r="H415" s="19">
        <v>20</v>
      </c>
      <c r="I415" s="19">
        <v>124</v>
      </c>
      <c r="J415" s="19"/>
      <c r="K415" s="19"/>
      <c r="L415" s="19"/>
      <c r="M415" s="19"/>
      <c r="N415" s="19"/>
      <c r="O415" s="19"/>
      <c r="P415" s="19"/>
      <c r="Q415" s="19"/>
      <c r="R415" s="19"/>
      <c r="S415" s="19"/>
      <c r="T415" s="19"/>
      <c r="U415" s="19"/>
      <c r="V415" s="19"/>
      <c r="W415" s="19"/>
      <c r="X415" s="19"/>
      <c r="Y415" s="19"/>
      <c r="Z415" t="str">
        <f>IF(Tabela1[[#This Row],[1]]&lt;&gt;"",IF(ISNUMBER(FIND(",",Tabela1[[#This Row],[1]])),LEN(Tabela1[[#This Row],[1]])-LEN(SUBSTITUTE(Tabela1[[#This Row],[1]],",",""))+1,1),"")</f>
        <v/>
      </c>
      <c r="AA415" t="str">
        <f>IF(Tabela1[[#This Row],[2]]&lt;&gt;"",IF(ISNUMBER(FIND(",",Tabela1[[#This Row],[2]])),LEN(Tabela1[[#This Row],[2]])-LEN(SUBSTITUTE(Tabela1[[#This Row],[2]],",",""))+1,1),"")</f>
        <v/>
      </c>
      <c r="AB415">
        <f>IF(Tabela1[[#This Row],[3]]&lt;&gt;"",IF(ISNUMBER(FIND(",",Tabela1[[#This Row],[3]])),LEN(Tabela1[[#This Row],[3]])-LEN(SUBSTITUTE(Tabela1[[#This Row],[3]],",",""))+1,1),"")</f>
        <v>1</v>
      </c>
      <c r="AC415">
        <f>IF(Tabela1[[#This Row],[4]]&lt;&gt;"",IF(ISNUMBER(FIND(",",Tabela1[[#This Row],[4]])),LEN(Tabela1[[#This Row],[4]])-LEN(SUBSTITUTE(Tabela1[[#This Row],[4]],",",""))+1,1),"")</f>
        <v>1</v>
      </c>
      <c r="AD415" t="str">
        <f>IF(Tabela1[[#This Row],[5]]&lt;&gt;"",IF(ISNUMBER(FIND(",",Tabela1[[#This Row],[5]])),LEN(Tabela1[[#This Row],[5]])-LEN(SUBSTITUTE(Tabela1[[#This Row],[5]],",",""))+1,1),"")</f>
        <v/>
      </c>
      <c r="AE415" t="str">
        <f>IF(Tabela1[[#This Row],[6]]&lt;&gt;"",IF(ISNUMBER(FIND(",",Tabela1[[#This Row],[6]])),LEN(Tabela1[[#This Row],[6]])-LEN(SUBSTITUTE(Tabela1[[#This Row],[6]],",",""))+1,1),"")</f>
        <v/>
      </c>
      <c r="AF415" t="str">
        <f>IF(Tabela1[[#This Row],[7]]&lt;&gt;"",IF(ISNUMBER(FIND(",",Tabela1[[#This Row],[7]])),LEN(Tabela1[[#This Row],[7]])-LEN(SUBSTITUTE(Tabela1[[#This Row],[7]],",",""))+1,1),"")</f>
        <v/>
      </c>
      <c r="AG415" t="str">
        <f>IF(Tabela1[[#This Row],[8]]&lt;&gt;"",IF(ISNUMBER(FIND(",",Tabela1[[#This Row],[8]])),LEN(Tabela1[[#This Row],[8]])-LEN(SUBSTITUTE(Tabela1[[#This Row],[8]],",",""))+1,1),"")</f>
        <v/>
      </c>
      <c r="AH415" t="str">
        <f>IF(Tabela1[[#This Row],[9]]&lt;&gt;"",IF(ISNUMBER(FIND(",",Tabela1[[#This Row],[9]])),LEN(Tabela1[[#This Row],[9]])-LEN(SUBSTITUTE(Tabela1[[#This Row],[9]],",",""))+1,1),"")</f>
        <v/>
      </c>
      <c r="AI415" t="str">
        <f>IF(Tabela1[[#This Row],[10]]&lt;&gt;"",IF(ISNUMBER(FIND(",",Tabela1[[#This Row],[10]])),LEN(Tabela1[[#This Row],[10]])-LEN(SUBSTITUTE(Tabela1[[#This Row],[10]],",",""))+1,1),"")</f>
        <v/>
      </c>
      <c r="AJ415" t="str">
        <f>IF(Tabela1[[#This Row],[11]]&lt;&gt;"",IF(ISNUMBER(FIND(",",Tabela1[[#This Row],[11]])),LEN(Tabela1[[#This Row],[11]])-LEN(SUBSTITUTE(Tabela1[[#This Row],[11]],",",""))+1,1),"")</f>
        <v/>
      </c>
      <c r="AK415" t="str">
        <f>IF(Tabela1[[#This Row],[12]]&lt;&gt;"",IF(ISNUMBER(FIND(",",Tabela1[[#This Row],[12]])),LEN(Tabela1[[#This Row],[12]])-LEN(SUBSTITUTE(Tabela1[[#This Row],[12]],",",""))+1,1),"")</f>
        <v/>
      </c>
      <c r="AL415" t="str">
        <f>IF(Tabela1[[#This Row],[13]]&lt;&gt;"",IF(ISNUMBER(FIND(",",Tabela1[[#This Row],[13]])),LEN(Tabela1[[#This Row],[13]])-LEN(SUBSTITUTE(Tabela1[[#This Row],[13]],",",""))+1,1),"")</f>
        <v/>
      </c>
      <c r="AM415" t="str">
        <f>IF(Tabela1[[#This Row],[14]]&lt;&gt;"",IF(ISNUMBER(FIND(",",Tabela1[[#This Row],[14]])),LEN(Tabela1[[#This Row],[14]])-LEN(SUBSTITUTE(Tabela1[[#This Row],[14]],",",""))+1,1),"")</f>
        <v/>
      </c>
      <c r="AN415" t="str">
        <f>IF(Tabela1[[#This Row],[15]]&lt;&gt;"",IF(ISNUMBER(FIND(",",Tabela1[[#This Row],[15]])),LEN(Tabela1[[#This Row],[15]])-LEN(SUBSTITUTE(Tabela1[[#This Row],[15]],",",""))+1,1),"")</f>
        <v/>
      </c>
      <c r="AO415" t="str">
        <f>IF(Tabela1[[#This Row],[16]]&lt;&gt;"",IF(ISNUMBER(FIND(",",Tabela1[[#This Row],[16]])),LEN(Tabela1[[#This Row],[16]])-LEN(SUBSTITUTE(Tabela1[[#This Row],[16]],",",""))+1,1),"")</f>
        <v/>
      </c>
      <c r="AP415" t="str">
        <f>IF(Tabela1[[#This Row],[17]]&lt;&gt;"",IF(ISNUMBER(FIND(",",Tabela1[[#This Row],[17]])),LEN(Tabela1[[#This Row],[17]])-LEN(SUBSTITUTE(Tabela1[[#This Row],[17]],",",""))+1,1),"")</f>
        <v/>
      </c>
      <c r="AQ415" t="str">
        <f>IF(Tabela1[[#This Row],[18]]&lt;&gt;"",IF(ISNUMBER(FIND(",",Tabela1[[#This Row],[18]])),LEN(Tabela1[[#This Row],[18]])-LEN(SUBSTITUTE(Tabela1[[#This Row],[18]],",",""))+1,1),"")</f>
        <v/>
      </c>
      <c r="AR415" s="13" t="str">
        <f>IF(Tabela1[[#This Row],[19_LENGTH]]&lt;&gt;"",IF(ISNUMBER(FIND(",",Tabela1[[#This Row],[19_LENGTH]])),LEN(Tabela1[[#This Row],[19_LENGTH]])-LEN(SUBSTITUTE(Tabela1[[#This Row],[19_LENGTH]],",",""))+1,1),"")</f>
        <v/>
      </c>
      <c r="AS415" s="21">
        <f>SUM(Tabela1[[#This Row],[1_]:[19_]])</f>
        <v>2</v>
      </c>
    </row>
    <row r="416" spans="1:45" x14ac:dyDescent="0.25">
      <c r="A416" s="27" t="s">
        <v>1323</v>
      </c>
      <c r="B416" s="19" t="s">
        <v>517</v>
      </c>
      <c r="C416" s="19">
        <v>202</v>
      </c>
      <c r="D416" s="19" t="s">
        <v>1298</v>
      </c>
      <c r="E416" s="20">
        <v>43523</v>
      </c>
      <c r="F416" s="19"/>
      <c r="G416" s="19"/>
      <c r="H416" s="19" t="s">
        <v>178</v>
      </c>
      <c r="I416" s="19"/>
      <c r="J416" s="19"/>
      <c r="K416" s="19"/>
      <c r="L416" s="19"/>
      <c r="M416" s="19"/>
      <c r="N416" s="19"/>
      <c r="O416" s="19"/>
      <c r="P416" s="19"/>
      <c r="Q416" s="19"/>
      <c r="R416" s="19"/>
      <c r="S416" s="19"/>
      <c r="T416" s="19"/>
      <c r="U416" s="19">
        <v>154</v>
      </c>
      <c r="V416" s="19"/>
      <c r="W416" s="19"/>
      <c r="X416" s="19"/>
      <c r="Y416" s="19"/>
      <c r="Z416" t="str">
        <f>IF(Tabela1[[#This Row],[1]]&lt;&gt;"",IF(ISNUMBER(FIND(",",Tabela1[[#This Row],[1]])),LEN(Tabela1[[#This Row],[1]])-LEN(SUBSTITUTE(Tabela1[[#This Row],[1]],",",""))+1,1),"")</f>
        <v/>
      </c>
      <c r="AA416" t="str">
        <f>IF(Tabela1[[#This Row],[2]]&lt;&gt;"",IF(ISNUMBER(FIND(",",Tabela1[[#This Row],[2]])),LEN(Tabela1[[#This Row],[2]])-LEN(SUBSTITUTE(Tabela1[[#This Row],[2]],",",""))+1,1),"")</f>
        <v/>
      </c>
      <c r="AB416">
        <f>IF(Tabela1[[#This Row],[3]]&lt;&gt;"",IF(ISNUMBER(FIND(",",Tabela1[[#This Row],[3]])),LEN(Tabela1[[#This Row],[3]])-LEN(SUBSTITUTE(Tabela1[[#This Row],[3]],",",""))+1,1),"")</f>
        <v>1</v>
      </c>
      <c r="AC416" t="str">
        <f>IF(Tabela1[[#This Row],[4]]&lt;&gt;"",IF(ISNUMBER(FIND(",",Tabela1[[#This Row],[4]])),LEN(Tabela1[[#This Row],[4]])-LEN(SUBSTITUTE(Tabela1[[#This Row],[4]],",",""))+1,1),"")</f>
        <v/>
      </c>
      <c r="AD416" t="str">
        <f>IF(Tabela1[[#This Row],[5]]&lt;&gt;"",IF(ISNUMBER(FIND(",",Tabela1[[#This Row],[5]])),LEN(Tabela1[[#This Row],[5]])-LEN(SUBSTITUTE(Tabela1[[#This Row],[5]],",",""))+1,1),"")</f>
        <v/>
      </c>
      <c r="AE416" t="str">
        <f>IF(Tabela1[[#This Row],[6]]&lt;&gt;"",IF(ISNUMBER(FIND(",",Tabela1[[#This Row],[6]])),LEN(Tabela1[[#This Row],[6]])-LEN(SUBSTITUTE(Tabela1[[#This Row],[6]],",",""))+1,1),"")</f>
        <v/>
      </c>
      <c r="AF416" t="str">
        <f>IF(Tabela1[[#This Row],[7]]&lt;&gt;"",IF(ISNUMBER(FIND(",",Tabela1[[#This Row],[7]])),LEN(Tabela1[[#This Row],[7]])-LEN(SUBSTITUTE(Tabela1[[#This Row],[7]],",",""))+1,1),"")</f>
        <v/>
      </c>
      <c r="AG416" t="str">
        <f>IF(Tabela1[[#This Row],[8]]&lt;&gt;"",IF(ISNUMBER(FIND(",",Tabela1[[#This Row],[8]])),LEN(Tabela1[[#This Row],[8]])-LEN(SUBSTITUTE(Tabela1[[#This Row],[8]],",",""))+1,1),"")</f>
        <v/>
      </c>
      <c r="AH416" t="str">
        <f>IF(Tabela1[[#This Row],[9]]&lt;&gt;"",IF(ISNUMBER(FIND(",",Tabela1[[#This Row],[9]])),LEN(Tabela1[[#This Row],[9]])-LEN(SUBSTITUTE(Tabela1[[#This Row],[9]],",",""))+1,1),"")</f>
        <v/>
      </c>
      <c r="AI416" t="str">
        <f>IF(Tabela1[[#This Row],[10]]&lt;&gt;"",IF(ISNUMBER(FIND(",",Tabela1[[#This Row],[10]])),LEN(Tabela1[[#This Row],[10]])-LEN(SUBSTITUTE(Tabela1[[#This Row],[10]],",",""))+1,1),"")</f>
        <v/>
      </c>
      <c r="AJ416" t="str">
        <f>IF(Tabela1[[#This Row],[11]]&lt;&gt;"",IF(ISNUMBER(FIND(",",Tabela1[[#This Row],[11]])),LEN(Tabela1[[#This Row],[11]])-LEN(SUBSTITUTE(Tabela1[[#This Row],[11]],",",""))+1,1),"")</f>
        <v/>
      </c>
      <c r="AK416" t="str">
        <f>IF(Tabela1[[#This Row],[12]]&lt;&gt;"",IF(ISNUMBER(FIND(",",Tabela1[[#This Row],[12]])),LEN(Tabela1[[#This Row],[12]])-LEN(SUBSTITUTE(Tabela1[[#This Row],[12]],",",""))+1,1),"")</f>
        <v/>
      </c>
      <c r="AL416" t="str">
        <f>IF(Tabela1[[#This Row],[13]]&lt;&gt;"",IF(ISNUMBER(FIND(",",Tabela1[[#This Row],[13]])),LEN(Tabela1[[#This Row],[13]])-LEN(SUBSTITUTE(Tabela1[[#This Row],[13]],",",""))+1,1),"")</f>
        <v/>
      </c>
      <c r="AM416" t="str">
        <f>IF(Tabela1[[#This Row],[14]]&lt;&gt;"",IF(ISNUMBER(FIND(",",Tabela1[[#This Row],[14]])),LEN(Tabela1[[#This Row],[14]])-LEN(SUBSTITUTE(Tabela1[[#This Row],[14]],",",""))+1,1),"")</f>
        <v/>
      </c>
      <c r="AN416" t="str">
        <f>IF(Tabela1[[#This Row],[15]]&lt;&gt;"",IF(ISNUMBER(FIND(",",Tabela1[[#This Row],[15]])),LEN(Tabela1[[#This Row],[15]])-LEN(SUBSTITUTE(Tabela1[[#This Row],[15]],",",""))+1,1),"")</f>
        <v/>
      </c>
      <c r="AO416">
        <f>IF(Tabela1[[#This Row],[16]]&lt;&gt;"",IF(ISNUMBER(FIND(",",Tabela1[[#This Row],[16]])),LEN(Tabela1[[#This Row],[16]])-LEN(SUBSTITUTE(Tabela1[[#This Row],[16]],",",""))+1,1),"")</f>
        <v>1</v>
      </c>
      <c r="AP416" t="str">
        <f>IF(Tabela1[[#This Row],[17]]&lt;&gt;"",IF(ISNUMBER(FIND(",",Tabela1[[#This Row],[17]])),LEN(Tabela1[[#This Row],[17]])-LEN(SUBSTITUTE(Tabela1[[#This Row],[17]],",",""))+1,1),"")</f>
        <v/>
      </c>
      <c r="AQ416" t="str">
        <f>IF(Tabela1[[#This Row],[18]]&lt;&gt;"",IF(ISNUMBER(FIND(",",Tabela1[[#This Row],[18]])),LEN(Tabela1[[#This Row],[18]])-LEN(SUBSTITUTE(Tabela1[[#This Row],[18]],",",""))+1,1),"")</f>
        <v/>
      </c>
      <c r="AR416" s="13" t="str">
        <f>IF(Tabela1[[#This Row],[19_LENGTH]]&lt;&gt;"",IF(ISNUMBER(FIND(",",Tabela1[[#This Row],[19_LENGTH]])),LEN(Tabela1[[#This Row],[19_LENGTH]])-LEN(SUBSTITUTE(Tabela1[[#This Row],[19_LENGTH]],",",""))+1,1),"")</f>
        <v/>
      </c>
      <c r="AS416" s="21">
        <f>SUM(Tabela1[[#This Row],[1_]:[19_]])</f>
        <v>2</v>
      </c>
    </row>
    <row r="417" spans="1:45" x14ac:dyDescent="0.25">
      <c r="A417" s="27" t="s">
        <v>1323</v>
      </c>
      <c r="B417" s="19" t="s">
        <v>518</v>
      </c>
      <c r="C417" s="19">
        <v>202</v>
      </c>
      <c r="D417" s="19" t="s">
        <v>1298</v>
      </c>
      <c r="E417" s="20">
        <v>43523</v>
      </c>
      <c r="F417" s="19"/>
      <c r="G417" s="19"/>
      <c r="H417" s="19"/>
      <c r="I417" s="19"/>
      <c r="J417" s="19"/>
      <c r="K417" s="19"/>
      <c r="L417" s="19"/>
      <c r="M417" s="19"/>
      <c r="N417" s="19"/>
      <c r="O417" s="19"/>
      <c r="P417" s="19"/>
      <c r="Q417" s="19"/>
      <c r="R417" s="19"/>
      <c r="S417" s="19"/>
      <c r="T417" s="19"/>
      <c r="U417" s="19">
        <v>109</v>
      </c>
      <c r="V417" s="19"/>
      <c r="W417" s="19"/>
      <c r="X417" s="19"/>
      <c r="Y417" s="19"/>
      <c r="Z417" t="str">
        <f>IF(Tabela1[[#This Row],[1]]&lt;&gt;"",IF(ISNUMBER(FIND(",",Tabela1[[#This Row],[1]])),LEN(Tabela1[[#This Row],[1]])-LEN(SUBSTITUTE(Tabela1[[#This Row],[1]],",",""))+1,1),"")</f>
        <v/>
      </c>
      <c r="AA417" t="str">
        <f>IF(Tabela1[[#This Row],[2]]&lt;&gt;"",IF(ISNUMBER(FIND(",",Tabela1[[#This Row],[2]])),LEN(Tabela1[[#This Row],[2]])-LEN(SUBSTITUTE(Tabela1[[#This Row],[2]],",",""))+1,1),"")</f>
        <v/>
      </c>
      <c r="AB417" t="str">
        <f>IF(Tabela1[[#This Row],[3]]&lt;&gt;"",IF(ISNUMBER(FIND(",",Tabela1[[#This Row],[3]])),LEN(Tabela1[[#This Row],[3]])-LEN(SUBSTITUTE(Tabela1[[#This Row],[3]],",",""))+1,1),"")</f>
        <v/>
      </c>
      <c r="AC417" t="str">
        <f>IF(Tabela1[[#This Row],[4]]&lt;&gt;"",IF(ISNUMBER(FIND(",",Tabela1[[#This Row],[4]])),LEN(Tabela1[[#This Row],[4]])-LEN(SUBSTITUTE(Tabela1[[#This Row],[4]],",",""))+1,1),"")</f>
        <v/>
      </c>
      <c r="AD417" t="str">
        <f>IF(Tabela1[[#This Row],[5]]&lt;&gt;"",IF(ISNUMBER(FIND(",",Tabela1[[#This Row],[5]])),LEN(Tabela1[[#This Row],[5]])-LEN(SUBSTITUTE(Tabela1[[#This Row],[5]],",",""))+1,1),"")</f>
        <v/>
      </c>
      <c r="AE417" t="str">
        <f>IF(Tabela1[[#This Row],[6]]&lt;&gt;"",IF(ISNUMBER(FIND(",",Tabela1[[#This Row],[6]])),LEN(Tabela1[[#This Row],[6]])-LEN(SUBSTITUTE(Tabela1[[#This Row],[6]],",",""))+1,1),"")</f>
        <v/>
      </c>
      <c r="AF417" t="str">
        <f>IF(Tabela1[[#This Row],[7]]&lt;&gt;"",IF(ISNUMBER(FIND(",",Tabela1[[#This Row],[7]])),LEN(Tabela1[[#This Row],[7]])-LEN(SUBSTITUTE(Tabela1[[#This Row],[7]],",",""))+1,1),"")</f>
        <v/>
      </c>
      <c r="AG417" t="str">
        <f>IF(Tabela1[[#This Row],[8]]&lt;&gt;"",IF(ISNUMBER(FIND(",",Tabela1[[#This Row],[8]])),LEN(Tabela1[[#This Row],[8]])-LEN(SUBSTITUTE(Tabela1[[#This Row],[8]],",",""))+1,1),"")</f>
        <v/>
      </c>
      <c r="AH417" t="str">
        <f>IF(Tabela1[[#This Row],[9]]&lt;&gt;"",IF(ISNUMBER(FIND(",",Tabela1[[#This Row],[9]])),LEN(Tabela1[[#This Row],[9]])-LEN(SUBSTITUTE(Tabela1[[#This Row],[9]],",",""))+1,1),"")</f>
        <v/>
      </c>
      <c r="AI417" t="str">
        <f>IF(Tabela1[[#This Row],[10]]&lt;&gt;"",IF(ISNUMBER(FIND(",",Tabela1[[#This Row],[10]])),LEN(Tabela1[[#This Row],[10]])-LEN(SUBSTITUTE(Tabela1[[#This Row],[10]],",",""))+1,1),"")</f>
        <v/>
      </c>
      <c r="AJ417" t="str">
        <f>IF(Tabela1[[#This Row],[11]]&lt;&gt;"",IF(ISNUMBER(FIND(",",Tabela1[[#This Row],[11]])),LEN(Tabela1[[#This Row],[11]])-LEN(SUBSTITUTE(Tabela1[[#This Row],[11]],",",""))+1,1),"")</f>
        <v/>
      </c>
      <c r="AK417" t="str">
        <f>IF(Tabela1[[#This Row],[12]]&lt;&gt;"",IF(ISNUMBER(FIND(",",Tabela1[[#This Row],[12]])),LEN(Tabela1[[#This Row],[12]])-LEN(SUBSTITUTE(Tabela1[[#This Row],[12]],",",""))+1,1),"")</f>
        <v/>
      </c>
      <c r="AL417" t="str">
        <f>IF(Tabela1[[#This Row],[13]]&lt;&gt;"",IF(ISNUMBER(FIND(",",Tabela1[[#This Row],[13]])),LEN(Tabela1[[#This Row],[13]])-LEN(SUBSTITUTE(Tabela1[[#This Row],[13]],",",""))+1,1),"")</f>
        <v/>
      </c>
      <c r="AM417" t="str">
        <f>IF(Tabela1[[#This Row],[14]]&lt;&gt;"",IF(ISNUMBER(FIND(",",Tabela1[[#This Row],[14]])),LEN(Tabela1[[#This Row],[14]])-LEN(SUBSTITUTE(Tabela1[[#This Row],[14]],",",""))+1,1),"")</f>
        <v/>
      </c>
      <c r="AN417" t="str">
        <f>IF(Tabela1[[#This Row],[15]]&lt;&gt;"",IF(ISNUMBER(FIND(",",Tabela1[[#This Row],[15]])),LEN(Tabela1[[#This Row],[15]])-LEN(SUBSTITUTE(Tabela1[[#This Row],[15]],",",""))+1,1),"")</f>
        <v/>
      </c>
      <c r="AO417">
        <f>IF(Tabela1[[#This Row],[16]]&lt;&gt;"",IF(ISNUMBER(FIND(",",Tabela1[[#This Row],[16]])),LEN(Tabela1[[#This Row],[16]])-LEN(SUBSTITUTE(Tabela1[[#This Row],[16]],",",""))+1,1),"")</f>
        <v>1</v>
      </c>
      <c r="AP417" t="str">
        <f>IF(Tabela1[[#This Row],[17]]&lt;&gt;"",IF(ISNUMBER(FIND(",",Tabela1[[#This Row],[17]])),LEN(Tabela1[[#This Row],[17]])-LEN(SUBSTITUTE(Tabela1[[#This Row],[17]],",",""))+1,1),"")</f>
        <v/>
      </c>
      <c r="AQ417" t="str">
        <f>IF(Tabela1[[#This Row],[18]]&lt;&gt;"",IF(ISNUMBER(FIND(",",Tabela1[[#This Row],[18]])),LEN(Tabela1[[#This Row],[18]])-LEN(SUBSTITUTE(Tabela1[[#This Row],[18]],",",""))+1,1),"")</f>
        <v/>
      </c>
      <c r="AR417" s="13" t="str">
        <f>IF(Tabela1[[#This Row],[19_LENGTH]]&lt;&gt;"",IF(ISNUMBER(FIND(",",Tabela1[[#This Row],[19_LENGTH]])),LEN(Tabela1[[#This Row],[19_LENGTH]])-LEN(SUBSTITUTE(Tabela1[[#This Row],[19_LENGTH]],",",""))+1,1),"")</f>
        <v/>
      </c>
      <c r="AS417" s="21">
        <f>SUM(Tabela1[[#This Row],[1_]:[19_]])</f>
        <v>1</v>
      </c>
    </row>
    <row r="418" spans="1:45" x14ac:dyDescent="0.25">
      <c r="A418" s="27" t="s">
        <v>1327</v>
      </c>
      <c r="B418" s="19" t="s">
        <v>519</v>
      </c>
      <c r="C418" s="19">
        <v>202</v>
      </c>
      <c r="D418" s="19" t="s">
        <v>1304</v>
      </c>
      <c r="E418" s="20">
        <v>43528</v>
      </c>
      <c r="F418" s="19"/>
      <c r="G418" s="19">
        <v>198</v>
      </c>
      <c r="H418" s="19"/>
      <c r="I418" s="19"/>
      <c r="J418" s="19">
        <v>195</v>
      </c>
      <c r="K418" s="19"/>
      <c r="L418" s="19"/>
      <c r="M418" s="19"/>
      <c r="N418" s="19"/>
      <c r="O418" s="19"/>
      <c r="P418" s="19"/>
      <c r="Q418" s="19"/>
      <c r="R418" s="19"/>
      <c r="S418" s="19"/>
      <c r="T418" s="19"/>
      <c r="U418" s="19"/>
      <c r="V418" s="19"/>
      <c r="W418" s="19"/>
      <c r="X418" s="19"/>
      <c r="Y418" s="19"/>
      <c r="Z418" t="str">
        <f>IF(Tabela1[[#This Row],[1]]&lt;&gt;"",IF(ISNUMBER(FIND(",",Tabela1[[#This Row],[1]])),LEN(Tabela1[[#This Row],[1]])-LEN(SUBSTITUTE(Tabela1[[#This Row],[1]],",",""))+1,1),"")</f>
        <v/>
      </c>
      <c r="AA418">
        <f>IF(Tabela1[[#This Row],[2]]&lt;&gt;"",IF(ISNUMBER(FIND(",",Tabela1[[#This Row],[2]])),LEN(Tabela1[[#This Row],[2]])-LEN(SUBSTITUTE(Tabela1[[#This Row],[2]],",",""))+1,1),"")</f>
        <v>1</v>
      </c>
      <c r="AB418" t="str">
        <f>IF(Tabela1[[#This Row],[3]]&lt;&gt;"",IF(ISNUMBER(FIND(",",Tabela1[[#This Row],[3]])),LEN(Tabela1[[#This Row],[3]])-LEN(SUBSTITUTE(Tabela1[[#This Row],[3]],",",""))+1,1),"")</f>
        <v/>
      </c>
      <c r="AC418" t="str">
        <f>IF(Tabela1[[#This Row],[4]]&lt;&gt;"",IF(ISNUMBER(FIND(",",Tabela1[[#This Row],[4]])),LEN(Tabela1[[#This Row],[4]])-LEN(SUBSTITUTE(Tabela1[[#This Row],[4]],",",""))+1,1),"")</f>
        <v/>
      </c>
      <c r="AD418">
        <f>IF(Tabela1[[#This Row],[5]]&lt;&gt;"",IF(ISNUMBER(FIND(",",Tabela1[[#This Row],[5]])),LEN(Tabela1[[#This Row],[5]])-LEN(SUBSTITUTE(Tabela1[[#This Row],[5]],",",""))+1,1),"")</f>
        <v>1</v>
      </c>
      <c r="AE418" t="str">
        <f>IF(Tabela1[[#This Row],[6]]&lt;&gt;"",IF(ISNUMBER(FIND(",",Tabela1[[#This Row],[6]])),LEN(Tabela1[[#This Row],[6]])-LEN(SUBSTITUTE(Tabela1[[#This Row],[6]],",",""))+1,1),"")</f>
        <v/>
      </c>
      <c r="AF418" t="str">
        <f>IF(Tabela1[[#This Row],[7]]&lt;&gt;"",IF(ISNUMBER(FIND(",",Tabela1[[#This Row],[7]])),LEN(Tabela1[[#This Row],[7]])-LEN(SUBSTITUTE(Tabela1[[#This Row],[7]],",",""))+1,1),"")</f>
        <v/>
      </c>
      <c r="AG418" t="str">
        <f>IF(Tabela1[[#This Row],[8]]&lt;&gt;"",IF(ISNUMBER(FIND(",",Tabela1[[#This Row],[8]])),LEN(Tabela1[[#This Row],[8]])-LEN(SUBSTITUTE(Tabela1[[#This Row],[8]],",",""))+1,1),"")</f>
        <v/>
      </c>
      <c r="AH418" t="str">
        <f>IF(Tabela1[[#This Row],[9]]&lt;&gt;"",IF(ISNUMBER(FIND(",",Tabela1[[#This Row],[9]])),LEN(Tabela1[[#This Row],[9]])-LEN(SUBSTITUTE(Tabela1[[#This Row],[9]],",",""))+1,1),"")</f>
        <v/>
      </c>
      <c r="AI418" t="str">
        <f>IF(Tabela1[[#This Row],[10]]&lt;&gt;"",IF(ISNUMBER(FIND(",",Tabela1[[#This Row],[10]])),LEN(Tabela1[[#This Row],[10]])-LEN(SUBSTITUTE(Tabela1[[#This Row],[10]],",",""))+1,1),"")</f>
        <v/>
      </c>
      <c r="AJ418" t="str">
        <f>IF(Tabela1[[#This Row],[11]]&lt;&gt;"",IF(ISNUMBER(FIND(",",Tabela1[[#This Row],[11]])),LEN(Tabela1[[#This Row],[11]])-LEN(SUBSTITUTE(Tabela1[[#This Row],[11]],",",""))+1,1),"")</f>
        <v/>
      </c>
      <c r="AK418" t="str">
        <f>IF(Tabela1[[#This Row],[12]]&lt;&gt;"",IF(ISNUMBER(FIND(",",Tabela1[[#This Row],[12]])),LEN(Tabela1[[#This Row],[12]])-LEN(SUBSTITUTE(Tabela1[[#This Row],[12]],",",""))+1,1),"")</f>
        <v/>
      </c>
      <c r="AL418" t="str">
        <f>IF(Tabela1[[#This Row],[13]]&lt;&gt;"",IF(ISNUMBER(FIND(",",Tabela1[[#This Row],[13]])),LEN(Tabela1[[#This Row],[13]])-LEN(SUBSTITUTE(Tabela1[[#This Row],[13]],",",""))+1,1),"")</f>
        <v/>
      </c>
      <c r="AM418" t="str">
        <f>IF(Tabela1[[#This Row],[14]]&lt;&gt;"",IF(ISNUMBER(FIND(",",Tabela1[[#This Row],[14]])),LEN(Tabela1[[#This Row],[14]])-LEN(SUBSTITUTE(Tabela1[[#This Row],[14]],",",""))+1,1),"")</f>
        <v/>
      </c>
      <c r="AN418" t="str">
        <f>IF(Tabela1[[#This Row],[15]]&lt;&gt;"",IF(ISNUMBER(FIND(",",Tabela1[[#This Row],[15]])),LEN(Tabela1[[#This Row],[15]])-LEN(SUBSTITUTE(Tabela1[[#This Row],[15]],",",""))+1,1),"")</f>
        <v/>
      </c>
      <c r="AO418" t="str">
        <f>IF(Tabela1[[#This Row],[16]]&lt;&gt;"",IF(ISNUMBER(FIND(",",Tabela1[[#This Row],[16]])),LEN(Tabela1[[#This Row],[16]])-LEN(SUBSTITUTE(Tabela1[[#This Row],[16]],",",""))+1,1),"")</f>
        <v/>
      </c>
      <c r="AP418" t="str">
        <f>IF(Tabela1[[#This Row],[17]]&lt;&gt;"",IF(ISNUMBER(FIND(",",Tabela1[[#This Row],[17]])),LEN(Tabela1[[#This Row],[17]])-LEN(SUBSTITUTE(Tabela1[[#This Row],[17]],",",""))+1,1),"")</f>
        <v/>
      </c>
      <c r="AQ418" t="str">
        <f>IF(Tabela1[[#This Row],[18]]&lt;&gt;"",IF(ISNUMBER(FIND(",",Tabela1[[#This Row],[18]])),LEN(Tabela1[[#This Row],[18]])-LEN(SUBSTITUTE(Tabela1[[#This Row],[18]],",",""))+1,1),"")</f>
        <v/>
      </c>
      <c r="AR418" s="13" t="str">
        <f>IF(Tabela1[[#This Row],[19_LENGTH]]&lt;&gt;"",IF(ISNUMBER(FIND(",",Tabela1[[#This Row],[19_LENGTH]])),LEN(Tabela1[[#This Row],[19_LENGTH]])-LEN(SUBSTITUTE(Tabela1[[#This Row],[19_LENGTH]],",",""))+1,1),"")</f>
        <v/>
      </c>
      <c r="AS418" s="21">
        <f>SUM(Tabela1[[#This Row],[1_]:[19_]])</f>
        <v>2</v>
      </c>
    </row>
    <row r="419" spans="1:45" x14ac:dyDescent="0.25">
      <c r="A419" s="27" t="s">
        <v>1327</v>
      </c>
      <c r="B419" s="19" t="s">
        <v>520</v>
      </c>
      <c r="C419" s="19">
        <v>202</v>
      </c>
      <c r="D419" s="19" t="s">
        <v>1304</v>
      </c>
      <c r="E419" s="20">
        <v>43528</v>
      </c>
      <c r="F419" s="19"/>
      <c r="G419" s="19"/>
      <c r="H419" s="19"/>
      <c r="I419" s="19"/>
      <c r="J419" s="19"/>
      <c r="K419" s="19" t="s">
        <v>179</v>
      </c>
      <c r="L419" s="19"/>
      <c r="M419" s="19"/>
      <c r="N419" s="19"/>
      <c r="O419" s="19"/>
      <c r="P419" s="19"/>
      <c r="Q419" s="19"/>
      <c r="R419" s="19"/>
      <c r="S419" s="19"/>
      <c r="T419" s="19"/>
      <c r="U419" s="19"/>
      <c r="V419" s="19"/>
      <c r="W419" s="19">
        <v>38</v>
      </c>
      <c r="X419" s="19"/>
      <c r="Y419" s="19"/>
      <c r="Z419" t="str">
        <f>IF(Tabela1[[#This Row],[1]]&lt;&gt;"",IF(ISNUMBER(FIND(",",Tabela1[[#This Row],[1]])),LEN(Tabela1[[#This Row],[1]])-LEN(SUBSTITUTE(Tabela1[[#This Row],[1]],",",""))+1,1),"")</f>
        <v/>
      </c>
      <c r="AA419" t="str">
        <f>IF(Tabela1[[#This Row],[2]]&lt;&gt;"",IF(ISNUMBER(FIND(",",Tabela1[[#This Row],[2]])),LEN(Tabela1[[#This Row],[2]])-LEN(SUBSTITUTE(Tabela1[[#This Row],[2]],",",""))+1,1),"")</f>
        <v/>
      </c>
      <c r="AB419" t="str">
        <f>IF(Tabela1[[#This Row],[3]]&lt;&gt;"",IF(ISNUMBER(FIND(",",Tabela1[[#This Row],[3]])),LEN(Tabela1[[#This Row],[3]])-LEN(SUBSTITUTE(Tabela1[[#This Row],[3]],",",""))+1,1),"")</f>
        <v/>
      </c>
      <c r="AC419" t="str">
        <f>IF(Tabela1[[#This Row],[4]]&lt;&gt;"",IF(ISNUMBER(FIND(",",Tabela1[[#This Row],[4]])),LEN(Tabela1[[#This Row],[4]])-LEN(SUBSTITUTE(Tabela1[[#This Row],[4]],",",""))+1,1),"")</f>
        <v/>
      </c>
      <c r="AD419" t="str">
        <f>IF(Tabela1[[#This Row],[5]]&lt;&gt;"",IF(ISNUMBER(FIND(",",Tabela1[[#This Row],[5]])),LEN(Tabela1[[#This Row],[5]])-LEN(SUBSTITUTE(Tabela1[[#This Row],[5]],",",""))+1,1),"")</f>
        <v/>
      </c>
      <c r="AE419">
        <f>IF(Tabela1[[#This Row],[6]]&lt;&gt;"",IF(ISNUMBER(FIND(",",Tabela1[[#This Row],[6]])),LEN(Tabela1[[#This Row],[6]])-LEN(SUBSTITUTE(Tabela1[[#This Row],[6]],",",""))+1,1),"")</f>
        <v>2</v>
      </c>
      <c r="AF419" t="str">
        <f>IF(Tabela1[[#This Row],[7]]&lt;&gt;"",IF(ISNUMBER(FIND(",",Tabela1[[#This Row],[7]])),LEN(Tabela1[[#This Row],[7]])-LEN(SUBSTITUTE(Tabela1[[#This Row],[7]],",",""))+1,1),"")</f>
        <v/>
      </c>
      <c r="AG419" t="str">
        <f>IF(Tabela1[[#This Row],[8]]&lt;&gt;"",IF(ISNUMBER(FIND(",",Tabela1[[#This Row],[8]])),LEN(Tabela1[[#This Row],[8]])-LEN(SUBSTITUTE(Tabela1[[#This Row],[8]],",",""))+1,1),"")</f>
        <v/>
      </c>
      <c r="AH419" t="str">
        <f>IF(Tabela1[[#This Row],[9]]&lt;&gt;"",IF(ISNUMBER(FIND(",",Tabela1[[#This Row],[9]])),LEN(Tabela1[[#This Row],[9]])-LEN(SUBSTITUTE(Tabela1[[#This Row],[9]],",",""))+1,1),"")</f>
        <v/>
      </c>
      <c r="AI419" t="str">
        <f>IF(Tabela1[[#This Row],[10]]&lt;&gt;"",IF(ISNUMBER(FIND(",",Tabela1[[#This Row],[10]])),LEN(Tabela1[[#This Row],[10]])-LEN(SUBSTITUTE(Tabela1[[#This Row],[10]],",",""))+1,1),"")</f>
        <v/>
      </c>
      <c r="AJ419" t="str">
        <f>IF(Tabela1[[#This Row],[11]]&lt;&gt;"",IF(ISNUMBER(FIND(",",Tabela1[[#This Row],[11]])),LEN(Tabela1[[#This Row],[11]])-LEN(SUBSTITUTE(Tabela1[[#This Row],[11]],",",""))+1,1),"")</f>
        <v/>
      </c>
      <c r="AK419" t="str">
        <f>IF(Tabela1[[#This Row],[12]]&lt;&gt;"",IF(ISNUMBER(FIND(",",Tabela1[[#This Row],[12]])),LEN(Tabela1[[#This Row],[12]])-LEN(SUBSTITUTE(Tabela1[[#This Row],[12]],",",""))+1,1),"")</f>
        <v/>
      </c>
      <c r="AL419" t="str">
        <f>IF(Tabela1[[#This Row],[13]]&lt;&gt;"",IF(ISNUMBER(FIND(",",Tabela1[[#This Row],[13]])),LEN(Tabela1[[#This Row],[13]])-LEN(SUBSTITUTE(Tabela1[[#This Row],[13]],",",""))+1,1),"")</f>
        <v/>
      </c>
      <c r="AM419" t="str">
        <f>IF(Tabela1[[#This Row],[14]]&lt;&gt;"",IF(ISNUMBER(FIND(",",Tabela1[[#This Row],[14]])),LEN(Tabela1[[#This Row],[14]])-LEN(SUBSTITUTE(Tabela1[[#This Row],[14]],",",""))+1,1),"")</f>
        <v/>
      </c>
      <c r="AN419" t="str">
        <f>IF(Tabela1[[#This Row],[15]]&lt;&gt;"",IF(ISNUMBER(FIND(",",Tabela1[[#This Row],[15]])),LEN(Tabela1[[#This Row],[15]])-LEN(SUBSTITUTE(Tabela1[[#This Row],[15]],",",""))+1,1),"")</f>
        <v/>
      </c>
      <c r="AO419" t="str">
        <f>IF(Tabela1[[#This Row],[16]]&lt;&gt;"",IF(ISNUMBER(FIND(",",Tabela1[[#This Row],[16]])),LEN(Tabela1[[#This Row],[16]])-LEN(SUBSTITUTE(Tabela1[[#This Row],[16]],",",""))+1,1),"")</f>
        <v/>
      </c>
      <c r="AP419" t="str">
        <f>IF(Tabela1[[#This Row],[17]]&lt;&gt;"",IF(ISNUMBER(FIND(",",Tabela1[[#This Row],[17]])),LEN(Tabela1[[#This Row],[17]])-LEN(SUBSTITUTE(Tabela1[[#This Row],[17]],",",""))+1,1),"")</f>
        <v/>
      </c>
      <c r="AQ419">
        <f>IF(Tabela1[[#This Row],[18]]&lt;&gt;"",IF(ISNUMBER(FIND(",",Tabela1[[#This Row],[18]])),LEN(Tabela1[[#This Row],[18]])-LEN(SUBSTITUTE(Tabela1[[#This Row],[18]],",",""))+1,1),"")</f>
        <v>1</v>
      </c>
      <c r="AR419" s="13" t="str">
        <f>IF(Tabela1[[#This Row],[19_LENGTH]]&lt;&gt;"",IF(ISNUMBER(FIND(",",Tabela1[[#This Row],[19_LENGTH]])),LEN(Tabela1[[#This Row],[19_LENGTH]])-LEN(SUBSTITUTE(Tabela1[[#This Row],[19_LENGTH]],",",""))+1,1),"")</f>
        <v/>
      </c>
      <c r="AS419" s="21">
        <f>SUM(Tabela1[[#This Row],[1_]:[19_]])</f>
        <v>3</v>
      </c>
    </row>
    <row r="420" spans="1:45" x14ac:dyDescent="0.25">
      <c r="A420" s="27" t="s">
        <v>1328</v>
      </c>
      <c r="B420" s="19" t="s">
        <v>831</v>
      </c>
      <c r="C420" s="19">
        <v>102</v>
      </c>
      <c r="D420" s="19" t="s">
        <v>1314</v>
      </c>
      <c r="E420" s="20">
        <v>43529</v>
      </c>
      <c r="F420" s="19"/>
      <c r="G420" s="19"/>
      <c r="H420" s="19"/>
      <c r="I420" s="19" t="s">
        <v>180</v>
      </c>
      <c r="J420" s="19"/>
      <c r="K420" s="19"/>
      <c r="L420" s="19"/>
      <c r="M420" s="19">
        <v>40</v>
      </c>
      <c r="N420" s="19"/>
      <c r="O420" s="19"/>
      <c r="P420" s="19"/>
      <c r="Q420" s="19"/>
      <c r="R420" s="19"/>
      <c r="S420" s="19"/>
      <c r="T420" s="19"/>
      <c r="U420" s="19"/>
      <c r="V420" s="19"/>
      <c r="W420" s="19"/>
      <c r="X420" s="19"/>
      <c r="Y420" s="19"/>
      <c r="Z420" t="str">
        <f>IF(Tabela1[[#This Row],[1]]&lt;&gt;"",IF(ISNUMBER(FIND(",",Tabela1[[#This Row],[1]])),LEN(Tabela1[[#This Row],[1]])-LEN(SUBSTITUTE(Tabela1[[#This Row],[1]],",",""))+1,1),"")</f>
        <v/>
      </c>
      <c r="AA420" t="str">
        <f>IF(Tabela1[[#This Row],[2]]&lt;&gt;"",IF(ISNUMBER(FIND(",",Tabela1[[#This Row],[2]])),LEN(Tabela1[[#This Row],[2]])-LEN(SUBSTITUTE(Tabela1[[#This Row],[2]],",",""))+1,1),"")</f>
        <v/>
      </c>
      <c r="AB420" t="str">
        <f>IF(Tabela1[[#This Row],[3]]&lt;&gt;"",IF(ISNUMBER(FIND(",",Tabela1[[#This Row],[3]])),LEN(Tabela1[[#This Row],[3]])-LEN(SUBSTITUTE(Tabela1[[#This Row],[3]],",",""))+1,1),"")</f>
        <v/>
      </c>
      <c r="AC420">
        <f>IF(Tabela1[[#This Row],[4]]&lt;&gt;"",IF(ISNUMBER(FIND(",",Tabela1[[#This Row],[4]])),LEN(Tabela1[[#This Row],[4]])-LEN(SUBSTITUTE(Tabela1[[#This Row],[4]],",",""))+1,1),"")</f>
        <v>1</v>
      </c>
      <c r="AD420" t="str">
        <f>IF(Tabela1[[#This Row],[5]]&lt;&gt;"",IF(ISNUMBER(FIND(",",Tabela1[[#This Row],[5]])),LEN(Tabela1[[#This Row],[5]])-LEN(SUBSTITUTE(Tabela1[[#This Row],[5]],",",""))+1,1),"")</f>
        <v/>
      </c>
      <c r="AE420" t="str">
        <f>IF(Tabela1[[#This Row],[6]]&lt;&gt;"",IF(ISNUMBER(FIND(",",Tabela1[[#This Row],[6]])),LEN(Tabela1[[#This Row],[6]])-LEN(SUBSTITUTE(Tabela1[[#This Row],[6]],",",""))+1,1),"")</f>
        <v/>
      </c>
      <c r="AF420" t="str">
        <f>IF(Tabela1[[#This Row],[7]]&lt;&gt;"",IF(ISNUMBER(FIND(",",Tabela1[[#This Row],[7]])),LEN(Tabela1[[#This Row],[7]])-LEN(SUBSTITUTE(Tabela1[[#This Row],[7]],",",""))+1,1),"")</f>
        <v/>
      </c>
      <c r="AG420">
        <f>IF(Tabela1[[#This Row],[8]]&lt;&gt;"",IF(ISNUMBER(FIND(",",Tabela1[[#This Row],[8]])),LEN(Tabela1[[#This Row],[8]])-LEN(SUBSTITUTE(Tabela1[[#This Row],[8]],",",""))+1,1),"")</f>
        <v>1</v>
      </c>
      <c r="AH420" t="str">
        <f>IF(Tabela1[[#This Row],[9]]&lt;&gt;"",IF(ISNUMBER(FIND(",",Tabela1[[#This Row],[9]])),LEN(Tabela1[[#This Row],[9]])-LEN(SUBSTITUTE(Tabela1[[#This Row],[9]],",",""))+1,1),"")</f>
        <v/>
      </c>
      <c r="AI420" t="str">
        <f>IF(Tabela1[[#This Row],[10]]&lt;&gt;"",IF(ISNUMBER(FIND(",",Tabela1[[#This Row],[10]])),LEN(Tabela1[[#This Row],[10]])-LEN(SUBSTITUTE(Tabela1[[#This Row],[10]],",",""))+1,1),"")</f>
        <v/>
      </c>
      <c r="AJ420" t="str">
        <f>IF(Tabela1[[#This Row],[11]]&lt;&gt;"",IF(ISNUMBER(FIND(",",Tabela1[[#This Row],[11]])),LEN(Tabela1[[#This Row],[11]])-LEN(SUBSTITUTE(Tabela1[[#This Row],[11]],",",""))+1,1),"")</f>
        <v/>
      </c>
      <c r="AK420" t="str">
        <f>IF(Tabela1[[#This Row],[12]]&lt;&gt;"",IF(ISNUMBER(FIND(",",Tabela1[[#This Row],[12]])),LEN(Tabela1[[#This Row],[12]])-LEN(SUBSTITUTE(Tabela1[[#This Row],[12]],",",""))+1,1),"")</f>
        <v/>
      </c>
      <c r="AL420" t="str">
        <f>IF(Tabela1[[#This Row],[13]]&lt;&gt;"",IF(ISNUMBER(FIND(",",Tabela1[[#This Row],[13]])),LEN(Tabela1[[#This Row],[13]])-LEN(SUBSTITUTE(Tabela1[[#This Row],[13]],",",""))+1,1),"")</f>
        <v/>
      </c>
      <c r="AM420" t="str">
        <f>IF(Tabela1[[#This Row],[14]]&lt;&gt;"",IF(ISNUMBER(FIND(",",Tabela1[[#This Row],[14]])),LEN(Tabela1[[#This Row],[14]])-LEN(SUBSTITUTE(Tabela1[[#This Row],[14]],",",""))+1,1),"")</f>
        <v/>
      </c>
      <c r="AN420" t="str">
        <f>IF(Tabela1[[#This Row],[15]]&lt;&gt;"",IF(ISNUMBER(FIND(",",Tabela1[[#This Row],[15]])),LEN(Tabela1[[#This Row],[15]])-LEN(SUBSTITUTE(Tabela1[[#This Row],[15]],",",""))+1,1),"")</f>
        <v/>
      </c>
      <c r="AO420" t="str">
        <f>IF(Tabela1[[#This Row],[16]]&lt;&gt;"",IF(ISNUMBER(FIND(",",Tabela1[[#This Row],[16]])),LEN(Tabela1[[#This Row],[16]])-LEN(SUBSTITUTE(Tabela1[[#This Row],[16]],",",""))+1,1),"")</f>
        <v/>
      </c>
      <c r="AP420" t="str">
        <f>IF(Tabela1[[#This Row],[17]]&lt;&gt;"",IF(ISNUMBER(FIND(",",Tabela1[[#This Row],[17]])),LEN(Tabela1[[#This Row],[17]])-LEN(SUBSTITUTE(Tabela1[[#This Row],[17]],",",""))+1,1),"")</f>
        <v/>
      </c>
      <c r="AQ420" t="str">
        <f>IF(Tabela1[[#This Row],[18]]&lt;&gt;"",IF(ISNUMBER(FIND(",",Tabela1[[#This Row],[18]])),LEN(Tabela1[[#This Row],[18]])-LEN(SUBSTITUTE(Tabela1[[#This Row],[18]],",",""))+1,1),"")</f>
        <v/>
      </c>
      <c r="AR420" s="13" t="str">
        <f>IF(Tabela1[[#This Row],[19_LENGTH]]&lt;&gt;"",IF(ISNUMBER(FIND(",",Tabela1[[#This Row],[19_LENGTH]])),LEN(Tabela1[[#This Row],[19_LENGTH]])-LEN(SUBSTITUTE(Tabela1[[#This Row],[19_LENGTH]],",",""))+1,1),"")</f>
        <v/>
      </c>
      <c r="AS420" s="21">
        <f>SUM(Tabela1[[#This Row],[1_]:[19_]])</f>
        <v>2</v>
      </c>
    </row>
    <row r="421" spans="1:45" x14ac:dyDescent="0.25">
      <c r="A421" s="27" t="s">
        <v>1328</v>
      </c>
      <c r="B421" s="19" t="s">
        <v>832</v>
      </c>
      <c r="C421" s="19">
        <v>102</v>
      </c>
      <c r="D421" s="19" t="s">
        <v>1314</v>
      </c>
      <c r="E421" s="20">
        <v>43529</v>
      </c>
      <c r="F421" s="19"/>
      <c r="G421" s="19"/>
      <c r="H421" s="19"/>
      <c r="I421" s="19"/>
      <c r="J421" s="19">
        <v>29</v>
      </c>
      <c r="K421" s="19"/>
      <c r="L421" s="19"/>
      <c r="M421" s="19"/>
      <c r="N421" s="19"/>
      <c r="O421" s="19"/>
      <c r="P421" s="19"/>
      <c r="Q421" s="19"/>
      <c r="R421" s="19"/>
      <c r="S421" s="19"/>
      <c r="T421" s="19"/>
      <c r="U421" s="19"/>
      <c r="V421" s="19"/>
      <c r="W421" s="19"/>
      <c r="X421" s="19"/>
      <c r="Y421" s="19"/>
      <c r="Z421" t="str">
        <f>IF(Tabela1[[#This Row],[1]]&lt;&gt;"",IF(ISNUMBER(FIND(",",Tabela1[[#This Row],[1]])),LEN(Tabela1[[#This Row],[1]])-LEN(SUBSTITUTE(Tabela1[[#This Row],[1]],",",""))+1,1),"")</f>
        <v/>
      </c>
      <c r="AA421" t="str">
        <f>IF(Tabela1[[#This Row],[2]]&lt;&gt;"",IF(ISNUMBER(FIND(",",Tabela1[[#This Row],[2]])),LEN(Tabela1[[#This Row],[2]])-LEN(SUBSTITUTE(Tabela1[[#This Row],[2]],",",""))+1,1),"")</f>
        <v/>
      </c>
      <c r="AB421" t="str">
        <f>IF(Tabela1[[#This Row],[3]]&lt;&gt;"",IF(ISNUMBER(FIND(",",Tabela1[[#This Row],[3]])),LEN(Tabela1[[#This Row],[3]])-LEN(SUBSTITUTE(Tabela1[[#This Row],[3]],",",""))+1,1),"")</f>
        <v/>
      </c>
      <c r="AC421" t="str">
        <f>IF(Tabela1[[#This Row],[4]]&lt;&gt;"",IF(ISNUMBER(FIND(",",Tabela1[[#This Row],[4]])),LEN(Tabela1[[#This Row],[4]])-LEN(SUBSTITUTE(Tabela1[[#This Row],[4]],",",""))+1,1),"")</f>
        <v/>
      </c>
      <c r="AD421">
        <f>IF(Tabela1[[#This Row],[5]]&lt;&gt;"",IF(ISNUMBER(FIND(",",Tabela1[[#This Row],[5]])),LEN(Tabela1[[#This Row],[5]])-LEN(SUBSTITUTE(Tabela1[[#This Row],[5]],",",""))+1,1),"")</f>
        <v>1</v>
      </c>
      <c r="AE421" t="str">
        <f>IF(Tabela1[[#This Row],[6]]&lt;&gt;"",IF(ISNUMBER(FIND(",",Tabela1[[#This Row],[6]])),LEN(Tabela1[[#This Row],[6]])-LEN(SUBSTITUTE(Tabela1[[#This Row],[6]],",",""))+1,1),"")</f>
        <v/>
      </c>
      <c r="AF421" t="str">
        <f>IF(Tabela1[[#This Row],[7]]&lt;&gt;"",IF(ISNUMBER(FIND(",",Tabela1[[#This Row],[7]])),LEN(Tabela1[[#This Row],[7]])-LEN(SUBSTITUTE(Tabela1[[#This Row],[7]],",",""))+1,1),"")</f>
        <v/>
      </c>
      <c r="AG421" t="str">
        <f>IF(Tabela1[[#This Row],[8]]&lt;&gt;"",IF(ISNUMBER(FIND(",",Tabela1[[#This Row],[8]])),LEN(Tabela1[[#This Row],[8]])-LEN(SUBSTITUTE(Tabela1[[#This Row],[8]],",",""))+1,1),"")</f>
        <v/>
      </c>
      <c r="AH421" t="str">
        <f>IF(Tabela1[[#This Row],[9]]&lt;&gt;"",IF(ISNUMBER(FIND(",",Tabela1[[#This Row],[9]])),LEN(Tabela1[[#This Row],[9]])-LEN(SUBSTITUTE(Tabela1[[#This Row],[9]],",",""))+1,1),"")</f>
        <v/>
      </c>
      <c r="AI421" t="str">
        <f>IF(Tabela1[[#This Row],[10]]&lt;&gt;"",IF(ISNUMBER(FIND(",",Tabela1[[#This Row],[10]])),LEN(Tabela1[[#This Row],[10]])-LEN(SUBSTITUTE(Tabela1[[#This Row],[10]],",",""))+1,1),"")</f>
        <v/>
      </c>
      <c r="AJ421" t="str">
        <f>IF(Tabela1[[#This Row],[11]]&lt;&gt;"",IF(ISNUMBER(FIND(",",Tabela1[[#This Row],[11]])),LEN(Tabela1[[#This Row],[11]])-LEN(SUBSTITUTE(Tabela1[[#This Row],[11]],",",""))+1,1),"")</f>
        <v/>
      </c>
      <c r="AK421" t="str">
        <f>IF(Tabela1[[#This Row],[12]]&lt;&gt;"",IF(ISNUMBER(FIND(",",Tabela1[[#This Row],[12]])),LEN(Tabela1[[#This Row],[12]])-LEN(SUBSTITUTE(Tabela1[[#This Row],[12]],",",""))+1,1),"")</f>
        <v/>
      </c>
      <c r="AL421" t="str">
        <f>IF(Tabela1[[#This Row],[13]]&lt;&gt;"",IF(ISNUMBER(FIND(",",Tabela1[[#This Row],[13]])),LEN(Tabela1[[#This Row],[13]])-LEN(SUBSTITUTE(Tabela1[[#This Row],[13]],",",""))+1,1),"")</f>
        <v/>
      </c>
      <c r="AM421" t="str">
        <f>IF(Tabela1[[#This Row],[14]]&lt;&gt;"",IF(ISNUMBER(FIND(",",Tabela1[[#This Row],[14]])),LEN(Tabela1[[#This Row],[14]])-LEN(SUBSTITUTE(Tabela1[[#This Row],[14]],",",""))+1,1),"")</f>
        <v/>
      </c>
      <c r="AN421" t="str">
        <f>IF(Tabela1[[#This Row],[15]]&lt;&gt;"",IF(ISNUMBER(FIND(",",Tabela1[[#This Row],[15]])),LEN(Tabela1[[#This Row],[15]])-LEN(SUBSTITUTE(Tabela1[[#This Row],[15]],",",""))+1,1),"")</f>
        <v/>
      </c>
      <c r="AO421" t="str">
        <f>IF(Tabela1[[#This Row],[16]]&lt;&gt;"",IF(ISNUMBER(FIND(",",Tabela1[[#This Row],[16]])),LEN(Tabela1[[#This Row],[16]])-LEN(SUBSTITUTE(Tabela1[[#This Row],[16]],",",""))+1,1),"")</f>
        <v/>
      </c>
      <c r="AP421" t="str">
        <f>IF(Tabela1[[#This Row],[17]]&lt;&gt;"",IF(ISNUMBER(FIND(",",Tabela1[[#This Row],[17]])),LEN(Tabela1[[#This Row],[17]])-LEN(SUBSTITUTE(Tabela1[[#This Row],[17]],",",""))+1,1),"")</f>
        <v/>
      </c>
      <c r="AQ421" t="str">
        <f>IF(Tabela1[[#This Row],[18]]&lt;&gt;"",IF(ISNUMBER(FIND(",",Tabela1[[#This Row],[18]])),LEN(Tabela1[[#This Row],[18]])-LEN(SUBSTITUTE(Tabela1[[#This Row],[18]],",",""))+1,1),"")</f>
        <v/>
      </c>
      <c r="AR421" s="13" t="str">
        <f>IF(Tabela1[[#This Row],[19_LENGTH]]&lt;&gt;"",IF(ISNUMBER(FIND(",",Tabela1[[#This Row],[19_LENGTH]])),LEN(Tabela1[[#This Row],[19_LENGTH]])-LEN(SUBSTITUTE(Tabela1[[#This Row],[19_LENGTH]],",",""))+1,1),"")</f>
        <v/>
      </c>
      <c r="AS421" s="21">
        <f>SUM(Tabela1[[#This Row],[1_]:[19_]])</f>
        <v>1</v>
      </c>
    </row>
    <row r="422" spans="1:45" x14ac:dyDescent="0.25">
      <c r="A422" s="27" t="s">
        <v>1328</v>
      </c>
      <c r="B422" s="19" t="s">
        <v>833</v>
      </c>
      <c r="C422" s="19">
        <v>102</v>
      </c>
      <c r="D422" s="19" t="s">
        <v>1314</v>
      </c>
      <c r="E422" s="20">
        <v>43529</v>
      </c>
      <c r="F422" s="19"/>
      <c r="G422" s="19"/>
      <c r="H422" s="19"/>
      <c r="I422" s="19"/>
      <c r="J422" s="19"/>
      <c r="K422" s="19"/>
      <c r="L422" s="19"/>
      <c r="M422" s="19"/>
      <c r="N422" s="19"/>
      <c r="O422" s="19"/>
      <c r="P422" s="19"/>
      <c r="Q422" s="19"/>
      <c r="R422" s="19"/>
      <c r="S422" s="19"/>
      <c r="T422" s="19"/>
      <c r="U422" s="19"/>
      <c r="V422" s="19"/>
      <c r="W422" s="19">
        <v>81</v>
      </c>
      <c r="X422" s="19"/>
      <c r="Y422" s="19"/>
      <c r="Z422" t="str">
        <f>IF(Tabela1[[#This Row],[1]]&lt;&gt;"",IF(ISNUMBER(FIND(",",Tabela1[[#This Row],[1]])),LEN(Tabela1[[#This Row],[1]])-LEN(SUBSTITUTE(Tabela1[[#This Row],[1]],",",""))+1,1),"")</f>
        <v/>
      </c>
      <c r="AA422" t="str">
        <f>IF(Tabela1[[#This Row],[2]]&lt;&gt;"",IF(ISNUMBER(FIND(",",Tabela1[[#This Row],[2]])),LEN(Tabela1[[#This Row],[2]])-LEN(SUBSTITUTE(Tabela1[[#This Row],[2]],",",""))+1,1),"")</f>
        <v/>
      </c>
      <c r="AB422" t="str">
        <f>IF(Tabela1[[#This Row],[3]]&lt;&gt;"",IF(ISNUMBER(FIND(",",Tabela1[[#This Row],[3]])),LEN(Tabela1[[#This Row],[3]])-LEN(SUBSTITUTE(Tabela1[[#This Row],[3]],",",""))+1,1),"")</f>
        <v/>
      </c>
      <c r="AC422" t="str">
        <f>IF(Tabela1[[#This Row],[4]]&lt;&gt;"",IF(ISNUMBER(FIND(",",Tabela1[[#This Row],[4]])),LEN(Tabela1[[#This Row],[4]])-LEN(SUBSTITUTE(Tabela1[[#This Row],[4]],",",""))+1,1),"")</f>
        <v/>
      </c>
      <c r="AD422" t="str">
        <f>IF(Tabela1[[#This Row],[5]]&lt;&gt;"",IF(ISNUMBER(FIND(",",Tabela1[[#This Row],[5]])),LEN(Tabela1[[#This Row],[5]])-LEN(SUBSTITUTE(Tabela1[[#This Row],[5]],",",""))+1,1),"")</f>
        <v/>
      </c>
      <c r="AE422" t="str">
        <f>IF(Tabela1[[#This Row],[6]]&lt;&gt;"",IF(ISNUMBER(FIND(",",Tabela1[[#This Row],[6]])),LEN(Tabela1[[#This Row],[6]])-LEN(SUBSTITUTE(Tabela1[[#This Row],[6]],",",""))+1,1),"")</f>
        <v/>
      </c>
      <c r="AF422" t="str">
        <f>IF(Tabela1[[#This Row],[7]]&lt;&gt;"",IF(ISNUMBER(FIND(",",Tabela1[[#This Row],[7]])),LEN(Tabela1[[#This Row],[7]])-LEN(SUBSTITUTE(Tabela1[[#This Row],[7]],",",""))+1,1),"")</f>
        <v/>
      </c>
      <c r="AG422" t="str">
        <f>IF(Tabela1[[#This Row],[8]]&lt;&gt;"",IF(ISNUMBER(FIND(",",Tabela1[[#This Row],[8]])),LEN(Tabela1[[#This Row],[8]])-LEN(SUBSTITUTE(Tabela1[[#This Row],[8]],",",""))+1,1),"")</f>
        <v/>
      </c>
      <c r="AH422" t="str">
        <f>IF(Tabela1[[#This Row],[9]]&lt;&gt;"",IF(ISNUMBER(FIND(",",Tabela1[[#This Row],[9]])),LEN(Tabela1[[#This Row],[9]])-LEN(SUBSTITUTE(Tabela1[[#This Row],[9]],",",""))+1,1),"")</f>
        <v/>
      </c>
      <c r="AI422" t="str">
        <f>IF(Tabela1[[#This Row],[10]]&lt;&gt;"",IF(ISNUMBER(FIND(",",Tabela1[[#This Row],[10]])),LEN(Tabela1[[#This Row],[10]])-LEN(SUBSTITUTE(Tabela1[[#This Row],[10]],",",""))+1,1),"")</f>
        <v/>
      </c>
      <c r="AJ422" t="str">
        <f>IF(Tabela1[[#This Row],[11]]&lt;&gt;"",IF(ISNUMBER(FIND(",",Tabela1[[#This Row],[11]])),LEN(Tabela1[[#This Row],[11]])-LEN(SUBSTITUTE(Tabela1[[#This Row],[11]],",",""))+1,1),"")</f>
        <v/>
      </c>
      <c r="AK422" t="str">
        <f>IF(Tabela1[[#This Row],[12]]&lt;&gt;"",IF(ISNUMBER(FIND(",",Tabela1[[#This Row],[12]])),LEN(Tabela1[[#This Row],[12]])-LEN(SUBSTITUTE(Tabela1[[#This Row],[12]],",",""))+1,1),"")</f>
        <v/>
      </c>
      <c r="AL422" t="str">
        <f>IF(Tabela1[[#This Row],[13]]&lt;&gt;"",IF(ISNUMBER(FIND(",",Tabela1[[#This Row],[13]])),LEN(Tabela1[[#This Row],[13]])-LEN(SUBSTITUTE(Tabela1[[#This Row],[13]],",",""))+1,1),"")</f>
        <v/>
      </c>
      <c r="AM422" t="str">
        <f>IF(Tabela1[[#This Row],[14]]&lt;&gt;"",IF(ISNUMBER(FIND(",",Tabela1[[#This Row],[14]])),LEN(Tabela1[[#This Row],[14]])-LEN(SUBSTITUTE(Tabela1[[#This Row],[14]],",",""))+1,1),"")</f>
        <v/>
      </c>
      <c r="AN422" t="str">
        <f>IF(Tabela1[[#This Row],[15]]&lt;&gt;"",IF(ISNUMBER(FIND(",",Tabela1[[#This Row],[15]])),LEN(Tabela1[[#This Row],[15]])-LEN(SUBSTITUTE(Tabela1[[#This Row],[15]],",",""))+1,1),"")</f>
        <v/>
      </c>
      <c r="AO422" t="str">
        <f>IF(Tabela1[[#This Row],[16]]&lt;&gt;"",IF(ISNUMBER(FIND(",",Tabela1[[#This Row],[16]])),LEN(Tabela1[[#This Row],[16]])-LEN(SUBSTITUTE(Tabela1[[#This Row],[16]],",",""))+1,1),"")</f>
        <v/>
      </c>
      <c r="AP422" t="str">
        <f>IF(Tabela1[[#This Row],[17]]&lt;&gt;"",IF(ISNUMBER(FIND(",",Tabela1[[#This Row],[17]])),LEN(Tabela1[[#This Row],[17]])-LEN(SUBSTITUTE(Tabela1[[#This Row],[17]],",",""))+1,1),"")</f>
        <v/>
      </c>
      <c r="AQ422">
        <f>IF(Tabela1[[#This Row],[18]]&lt;&gt;"",IF(ISNUMBER(FIND(",",Tabela1[[#This Row],[18]])),LEN(Tabela1[[#This Row],[18]])-LEN(SUBSTITUTE(Tabela1[[#This Row],[18]],",",""))+1,1),"")</f>
        <v>1</v>
      </c>
      <c r="AR422" s="13" t="str">
        <f>IF(Tabela1[[#This Row],[19_LENGTH]]&lt;&gt;"",IF(ISNUMBER(FIND(",",Tabela1[[#This Row],[19_LENGTH]])),LEN(Tabela1[[#This Row],[19_LENGTH]])-LEN(SUBSTITUTE(Tabela1[[#This Row],[19_LENGTH]],",",""))+1,1),"")</f>
        <v/>
      </c>
      <c r="AS422" s="21">
        <f>SUM(Tabela1[[#This Row],[1_]:[19_]])</f>
        <v>1</v>
      </c>
    </row>
    <row r="423" spans="1:45" x14ac:dyDescent="0.25">
      <c r="A423" s="27" t="s">
        <v>1328</v>
      </c>
      <c r="B423" s="19" t="s">
        <v>834</v>
      </c>
      <c r="C423" s="19">
        <v>102</v>
      </c>
      <c r="D423" s="19" t="s">
        <v>1314</v>
      </c>
      <c r="E423" s="20">
        <v>43529</v>
      </c>
      <c r="F423" s="19"/>
      <c r="G423" s="19"/>
      <c r="H423" s="19"/>
      <c r="I423" s="19"/>
      <c r="J423" s="19"/>
      <c r="K423" s="19" t="s">
        <v>181</v>
      </c>
      <c r="L423" s="19"/>
      <c r="M423" s="19"/>
      <c r="N423" s="19"/>
      <c r="O423" s="19"/>
      <c r="P423" s="19"/>
      <c r="Q423" s="19"/>
      <c r="R423" s="19"/>
      <c r="S423" s="19"/>
      <c r="T423" s="19"/>
      <c r="U423" s="19"/>
      <c r="V423" s="19"/>
      <c r="W423" s="19"/>
      <c r="X423" s="19"/>
      <c r="Y423" s="19"/>
      <c r="Z423" t="str">
        <f>IF(Tabela1[[#This Row],[1]]&lt;&gt;"",IF(ISNUMBER(FIND(",",Tabela1[[#This Row],[1]])),LEN(Tabela1[[#This Row],[1]])-LEN(SUBSTITUTE(Tabela1[[#This Row],[1]],",",""))+1,1),"")</f>
        <v/>
      </c>
      <c r="AA423" t="str">
        <f>IF(Tabela1[[#This Row],[2]]&lt;&gt;"",IF(ISNUMBER(FIND(",",Tabela1[[#This Row],[2]])),LEN(Tabela1[[#This Row],[2]])-LEN(SUBSTITUTE(Tabela1[[#This Row],[2]],",",""))+1,1),"")</f>
        <v/>
      </c>
      <c r="AB423" t="str">
        <f>IF(Tabela1[[#This Row],[3]]&lt;&gt;"",IF(ISNUMBER(FIND(",",Tabela1[[#This Row],[3]])),LEN(Tabela1[[#This Row],[3]])-LEN(SUBSTITUTE(Tabela1[[#This Row],[3]],",",""))+1,1),"")</f>
        <v/>
      </c>
      <c r="AC423" t="str">
        <f>IF(Tabela1[[#This Row],[4]]&lt;&gt;"",IF(ISNUMBER(FIND(",",Tabela1[[#This Row],[4]])),LEN(Tabela1[[#This Row],[4]])-LEN(SUBSTITUTE(Tabela1[[#This Row],[4]],",",""))+1,1),"")</f>
        <v/>
      </c>
      <c r="AD423" t="str">
        <f>IF(Tabela1[[#This Row],[5]]&lt;&gt;"",IF(ISNUMBER(FIND(",",Tabela1[[#This Row],[5]])),LEN(Tabela1[[#This Row],[5]])-LEN(SUBSTITUTE(Tabela1[[#This Row],[5]],",",""))+1,1),"")</f>
        <v/>
      </c>
      <c r="AE423">
        <f>IF(Tabela1[[#This Row],[6]]&lt;&gt;"",IF(ISNUMBER(FIND(",",Tabela1[[#This Row],[6]])),LEN(Tabela1[[#This Row],[6]])-LEN(SUBSTITUTE(Tabela1[[#This Row],[6]],",",""))+1,1),"")</f>
        <v>2</v>
      </c>
      <c r="AF423" t="str">
        <f>IF(Tabela1[[#This Row],[7]]&lt;&gt;"",IF(ISNUMBER(FIND(",",Tabela1[[#This Row],[7]])),LEN(Tabela1[[#This Row],[7]])-LEN(SUBSTITUTE(Tabela1[[#This Row],[7]],",",""))+1,1),"")</f>
        <v/>
      </c>
      <c r="AG423" t="str">
        <f>IF(Tabela1[[#This Row],[8]]&lt;&gt;"",IF(ISNUMBER(FIND(",",Tabela1[[#This Row],[8]])),LEN(Tabela1[[#This Row],[8]])-LEN(SUBSTITUTE(Tabela1[[#This Row],[8]],",",""))+1,1),"")</f>
        <v/>
      </c>
      <c r="AH423" t="str">
        <f>IF(Tabela1[[#This Row],[9]]&lt;&gt;"",IF(ISNUMBER(FIND(",",Tabela1[[#This Row],[9]])),LEN(Tabela1[[#This Row],[9]])-LEN(SUBSTITUTE(Tabela1[[#This Row],[9]],",",""))+1,1),"")</f>
        <v/>
      </c>
      <c r="AI423" t="str">
        <f>IF(Tabela1[[#This Row],[10]]&lt;&gt;"",IF(ISNUMBER(FIND(",",Tabela1[[#This Row],[10]])),LEN(Tabela1[[#This Row],[10]])-LEN(SUBSTITUTE(Tabela1[[#This Row],[10]],",",""))+1,1),"")</f>
        <v/>
      </c>
      <c r="AJ423" t="str">
        <f>IF(Tabela1[[#This Row],[11]]&lt;&gt;"",IF(ISNUMBER(FIND(",",Tabela1[[#This Row],[11]])),LEN(Tabela1[[#This Row],[11]])-LEN(SUBSTITUTE(Tabela1[[#This Row],[11]],",",""))+1,1),"")</f>
        <v/>
      </c>
      <c r="AK423" t="str">
        <f>IF(Tabela1[[#This Row],[12]]&lt;&gt;"",IF(ISNUMBER(FIND(",",Tabela1[[#This Row],[12]])),LEN(Tabela1[[#This Row],[12]])-LEN(SUBSTITUTE(Tabela1[[#This Row],[12]],",",""))+1,1),"")</f>
        <v/>
      </c>
      <c r="AL423" t="str">
        <f>IF(Tabela1[[#This Row],[13]]&lt;&gt;"",IF(ISNUMBER(FIND(",",Tabela1[[#This Row],[13]])),LEN(Tabela1[[#This Row],[13]])-LEN(SUBSTITUTE(Tabela1[[#This Row],[13]],",",""))+1,1),"")</f>
        <v/>
      </c>
      <c r="AM423" t="str">
        <f>IF(Tabela1[[#This Row],[14]]&lt;&gt;"",IF(ISNUMBER(FIND(",",Tabela1[[#This Row],[14]])),LEN(Tabela1[[#This Row],[14]])-LEN(SUBSTITUTE(Tabela1[[#This Row],[14]],",",""))+1,1),"")</f>
        <v/>
      </c>
      <c r="AN423" t="str">
        <f>IF(Tabela1[[#This Row],[15]]&lt;&gt;"",IF(ISNUMBER(FIND(",",Tabela1[[#This Row],[15]])),LEN(Tabela1[[#This Row],[15]])-LEN(SUBSTITUTE(Tabela1[[#This Row],[15]],",",""))+1,1),"")</f>
        <v/>
      </c>
      <c r="AO423" t="str">
        <f>IF(Tabela1[[#This Row],[16]]&lt;&gt;"",IF(ISNUMBER(FIND(",",Tabela1[[#This Row],[16]])),LEN(Tabela1[[#This Row],[16]])-LEN(SUBSTITUTE(Tabela1[[#This Row],[16]],",",""))+1,1),"")</f>
        <v/>
      </c>
      <c r="AP423" t="str">
        <f>IF(Tabela1[[#This Row],[17]]&lt;&gt;"",IF(ISNUMBER(FIND(",",Tabela1[[#This Row],[17]])),LEN(Tabela1[[#This Row],[17]])-LEN(SUBSTITUTE(Tabela1[[#This Row],[17]],",",""))+1,1),"")</f>
        <v/>
      </c>
      <c r="AQ423" t="str">
        <f>IF(Tabela1[[#This Row],[18]]&lt;&gt;"",IF(ISNUMBER(FIND(",",Tabela1[[#This Row],[18]])),LEN(Tabela1[[#This Row],[18]])-LEN(SUBSTITUTE(Tabela1[[#This Row],[18]],",",""))+1,1),"")</f>
        <v/>
      </c>
      <c r="AR423" s="13" t="str">
        <f>IF(Tabela1[[#This Row],[19_LENGTH]]&lt;&gt;"",IF(ISNUMBER(FIND(",",Tabela1[[#This Row],[19_LENGTH]])),LEN(Tabela1[[#This Row],[19_LENGTH]])-LEN(SUBSTITUTE(Tabela1[[#This Row],[19_LENGTH]],",",""))+1,1),"")</f>
        <v/>
      </c>
      <c r="AS423" s="21">
        <f>SUM(Tabela1[[#This Row],[1_]:[19_]])</f>
        <v>2</v>
      </c>
    </row>
    <row r="424" spans="1:45" x14ac:dyDescent="0.25">
      <c r="A424" s="27" t="s">
        <v>1328</v>
      </c>
      <c r="B424" s="19" t="s">
        <v>835</v>
      </c>
      <c r="C424" s="19">
        <v>102</v>
      </c>
      <c r="D424" s="19" t="s">
        <v>1314</v>
      </c>
      <c r="E424" s="20">
        <v>43529</v>
      </c>
      <c r="F424" s="19"/>
      <c r="G424" s="19"/>
      <c r="H424" s="19"/>
      <c r="I424" s="19"/>
      <c r="J424" s="19"/>
      <c r="K424" s="19">
        <v>34</v>
      </c>
      <c r="L424" s="19"/>
      <c r="M424" s="19">
        <v>76</v>
      </c>
      <c r="N424" s="19"/>
      <c r="O424" s="19"/>
      <c r="P424" s="19"/>
      <c r="Q424" s="19"/>
      <c r="R424" s="19"/>
      <c r="S424" s="19"/>
      <c r="T424" s="19"/>
      <c r="U424" s="19"/>
      <c r="V424" s="19"/>
      <c r="W424" s="19"/>
      <c r="X424" s="19"/>
      <c r="Y424" s="19"/>
      <c r="Z424" t="str">
        <f>IF(Tabela1[[#This Row],[1]]&lt;&gt;"",IF(ISNUMBER(FIND(",",Tabela1[[#This Row],[1]])),LEN(Tabela1[[#This Row],[1]])-LEN(SUBSTITUTE(Tabela1[[#This Row],[1]],",",""))+1,1),"")</f>
        <v/>
      </c>
      <c r="AA424" t="str">
        <f>IF(Tabela1[[#This Row],[2]]&lt;&gt;"",IF(ISNUMBER(FIND(",",Tabela1[[#This Row],[2]])),LEN(Tabela1[[#This Row],[2]])-LEN(SUBSTITUTE(Tabela1[[#This Row],[2]],",",""))+1,1),"")</f>
        <v/>
      </c>
      <c r="AB424" t="str">
        <f>IF(Tabela1[[#This Row],[3]]&lt;&gt;"",IF(ISNUMBER(FIND(",",Tabela1[[#This Row],[3]])),LEN(Tabela1[[#This Row],[3]])-LEN(SUBSTITUTE(Tabela1[[#This Row],[3]],",",""))+1,1),"")</f>
        <v/>
      </c>
      <c r="AC424" t="str">
        <f>IF(Tabela1[[#This Row],[4]]&lt;&gt;"",IF(ISNUMBER(FIND(",",Tabela1[[#This Row],[4]])),LEN(Tabela1[[#This Row],[4]])-LEN(SUBSTITUTE(Tabela1[[#This Row],[4]],",",""))+1,1),"")</f>
        <v/>
      </c>
      <c r="AD424" t="str">
        <f>IF(Tabela1[[#This Row],[5]]&lt;&gt;"",IF(ISNUMBER(FIND(",",Tabela1[[#This Row],[5]])),LEN(Tabela1[[#This Row],[5]])-LEN(SUBSTITUTE(Tabela1[[#This Row],[5]],",",""))+1,1),"")</f>
        <v/>
      </c>
      <c r="AE424">
        <f>IF(Tabela1[[#This Row],[6]]&lt;&gt;"",IF(ISNUMBER(FIND(",",Tabela1[[#This Row],[6]])),LEN(Tabela1[[#This Row],[6]])-LEN(SUBSTITUTE(Tabela1[[#This Row],[6]],",",""))+1,1),"")</f>
        <v>1</v>
      </c>
      <c r="AF424" t="str">
        <f>IF(Tabela1[[#This Row],[7]]&lt;&gt;"",IF(ISNUMBER(FIND(",",Tabela1[[#This Row],[7]])),LEN(Tabela1[[#This Row],[7]])-LEN(SUBSTITUTE(Tabela1[[#This Row],[7]],",",""))+1,1),"")</f>
        <v/>
      </c>
      <c r="AG424">
        <f>IF(Tabela1[[#This Row],[8]]&lt;&gt;"",IF(ISNUMBER(FIND(",",Tabela1[[#This Row],[8]])),LEN(Tabela1[[#This Row],[8]])-LEN(SUBSTITUTE(Tabela1[[#This Row],[8]],",",""))+1,1),"")</f>
        <v>1</v>
      </c>
      <c r="AH424" t="str">
        <f>IF(Tabela1[[#This Row],[9]]&lt;&gt;"",IF(ISNUMBER(FIND(",",Tabela1[[#This Row],[9]])),LEN(Tabela1[[#This Row],[9]])-LEN(SUBSTITUTE(Tabela1[[#This Row],[9]],",",""))+1,1),"")</f>
        <v/>
      </c>
      <c r="AI424" t="str">
        <f>IF(Tabela1[[#This Row],[10]]&lt;&gt;"",IF(ISNUMBER(FIND(",",Tabela1[[#This Row],[10]])),LEN(Tabela1[[#This Row],[10]])-LEN(SUBSTITUTE(Tabela1[[#This Row],[10]],",",""))+1,1),"")</f>
        <v/>
      </c>
      <c r="AJ424" t="str">
        <f>IF(Tabela1[[#This Row],[11]]&lt;&gt;"",IF(ISNUMBER(FIND(",",Tabela1[[#This Row],[11]])),LEN(Tabela1[[#This Row],[11]])-LEN(SUBSTITUTE(Tabela1[[#This Row],[11]],",",""))+1,1),"")</f>
        <v/>
      </c>
      <c r="AK424" t="str">
        <f>IF(Tabela1[[#This Row],[12]]&lt;&gt;"",IF(ISNUMBER(FIND(",",Tabela1[[#This Row],[12]])),LEN(Tabela1[[#This Row],[12]])-LEN(SUBSTITUTE(Tabela1[[#This Row],[12]],",",""))+1,1),"")</f>
        <v/>
      </c>
      <c r="AL424" t="str">
        <f>IF(Tabela1[[#This Row],[13]]&lt;&gt;"",IF(ISNUMBER(FIND(",",Tabela1[[#This Row],[13]])),LEN(Tabela1[[#This Row],[13]])-LEN(SUBSTITUTE(Tabela1[[#This Row],[13]],",",""))+1,1),"")</f>
        <v/>
      </c>
      <c r="AM424" t="str">
        <f>IF(Tabela1[[#This Row],[14]]&lt;&gt;"",IF(ISNUMBER(FIND(",",Tabela1[[#This Row],[14]])),LEN(Tabela1[[#This Row],[14]])-LEN(SUBSTITUTE(Tabela1[[#This Row],[14]],",",""))+1,1),"")</f>
        <v/>
      </c>
      <c r="AN424" t="str">
        <f>IF(Tabela1[[#This Row],[15]]&lt;&gt;"",IF(ISNUMBER(FIND(",",Tabela1[[#This Row],[15]])),LEN(Tabela1[[#This Row],[15]])-LEN(SUBSTITUTE(Tabela1[[#This Row],[15]],",",""))+1,1),"")</f>
        <v/>
      </c>
      <c r="AO424" t="str">
        <f>IF(Tabela1[[#This Row],[16]]&lt;&gt;"",IF(ISNUMBER(FIND(",",Tabela1[[#This Row],[16]])),LEN(Tabela1[[#This Row],[16]])-LEN(SUBSTITUTE(Tabela1[[#This Row],[16]],",",""))+1,1),"")</f>
        <v/>
      </c>
      <c r="AP424" t="str">
        <f>IF(Tabela1[[#This Row],[17]]&lt;&gt;"",IF(ISNUMBER(FIND(",",Tabela1[[#This Row],[17]])),LEN(Tabela1[[#This Row],[17]])-LEN(SUBSTITUTE(Tabela1[[#This Row],[17]],",",""))+1,1),"")</f>
        <v/>
      </c>
      <c r="AQ424" t="str">
        <f>IF(Tabela1[[#This Row],[18]]&lt;&gt;"",IF(ISNUMBER(FIND(",",Tabela1[[#This Row],[18]])),LEN(Tabela1[[#This Row],[18]])-LEN(SUBSTITUTE(Tabela1[[#This Row],[18]],",",""))+1,1),"")</f>
        <v/>
      </c>
      <c r="AR424" s="13" t="str">
        <f>IF(Tabela1[[#This Row],[19_LENGTH]]&lt;&gt;"",IF(ISNUMBER(FIND(",",Tabela1[[#This Row],[19_LENGTH]])),LEN(Tabela1[[#This Row],[19_LENGTH]])-LEN(SUBSTITUTE(Tabela1[[#This Row],[19_LENGTH]],",",""))+1,1),"")</f>
        <v/>
      </c>
      <c r="AS424" s="21">
        <f>SUM(Tabela1[[#This Row],[1_]:[19_]])</f>
        <v>2</v>
      </c>
    </row>
    <row r="425" spans="1:45" x14ac:dyDescent="0.25">
      <c r="A425" s="27" t="s">
        <v>1328</v>
      </c>
      <c r="B425" s="19" t="s">
        <v>836</v>
      </c>
      <c r="C425" s="19">
        <v>102</v>
      </c>
      <c r="D425" s="19" t="s">
        <v>1314</v>
      </c>
      <c r="E425" s="20">
        <v>43529</v>
      </c>
      <c r="F425" s="19"/>
      <c r="G425" s="19"/>
      <c r="H425" s="19"/>
      <c r="I425" s="19"/>
      <c r="J425" s="19">
        <v>86</v>
      </c>
      <c r="K425" s="19">
        <v>10</v>
      </c>
      <c r="L425" s="19"/>
      <c r="M425" s="19"/>
      <c r="N425" s="19"/>
      <c r="O425" s="19"/>
      <c r="P425" s="19"/>
      <c r="Q425" s="19"/>
      <c r="R425" s="19"/>
      <c r="S425" s="19"/>
      <c r="T425" s="19"/>
      <c r="U425" s="19"/>
      <c r="V425" s="19"/>
      <c r="W425" s="19"/>
      <c r="X425" s="19"/>
      <c r="Y425" s="19"/>
      <c r="Z425" t="str">
        <f>IF(Tabela1[[#This Row],[1]]&lt;&gt;"",IF(ISNUMBER(FIND(",",Tabela1[[#This Row],[1]])),LEN(Tabela1[[#This Row],[1]])-LEN(SUBSTITUTE(Tabela1[[#This Row],[1]],",",""))+1,1),"")</f>
        <v/>
      </c>
      <c r="AA425" t="str">
        <f>IF(Tabela1[[#This Row],[2]]&lt;&gt;"",IF(ISNUMBER(FIND(",",Tabela1[[#This Row],[2]])),LEN(Tabela1[[#This Row],[2]])-LEN(SUBSTITUTE(Tabela1[[#This Row],[2]],",",""))+1,1),"")</f>
        <v/>
      </c>
      <c r="AB425" t="str">
        <f>IF(Tabela1[[#This Row],[3]]&lt;&gt;"",IF(ISNUMBER(FIND(",",Tabela1[[#This Row],[3]])),LEN(Tabela1[[#This Row],[3]])-LEN(SUBSTITUTE(Tabela1[[#This Row],[3]],",",""))+1,1),"")</f>
        <v/>
      </c>
      <c r="AC425" t="str">
        <f>IF(Tabela1[[#This Row],[4]]&lt;&gt;"",IF(ISNUMBER(FIND(",",Tabela1[[#This Row],[4]])),LEN(Tabela1[[#This Row],[4]])-LEN(SUBSTITUTE(Tabela1[[#This Row],[4]],",",""))+1,1),"")</f>
        <v/>
      </c>
      <c r="AD425">
        <f>IF(Tabela1[[#This Row],[5]]&lt;&gt;"",IF(ISNUMBER(FIND(",",Tabela1[[#This Row],[5]])),LEN(Tabela1[[#This Row],[5]])-LEN(SUBSTITUTE(Tabela1[[#This Row],[5]],",",""))+1,1),"")</f>
        <v>1</v>
      </c>
      <c r="AE425">
        <f>IF(Tabela1[[#This Row],[6]]&lt;&gt;"",IF(ISNUMBER(FIND(",",Tabela1[[#This Row],[6]])),LEN(Tabela1[[#This Row],[6]])-LEN(SUBSTITUTE(Tabela1[[#This Row],[6]],",",""))+1,1),"")</f>
        <v>1</v>
      </c>
      <c r="AF425" t="str">
        <f>IF(Tabela1[[#This Row],[7]]&lt;&gt;"",IF(ISNUMBER(FIND(",",Tabela1[[#This Row],[7]])),LEN(Tabela1[[#This Row],[7]])-LEN(SUBSTITUTE(Tabela1[[#This Row],[7]],",",""))+1,1),"")</f>
        <v/>
      </c>
      <c r="AG425" t="str">
        <f>IF(Tabela1[[#This Row],[8]]&lt;&gt;"",IF(ISNUMBER(FIND(",",Tabela1[[#This Row],[8]])),LEN(Tabela1[[#This Row],[8]])-LEN(SUBSTITUTE(Tabela1[[#This Row],[8]],",",""))+1,1),"")</f>
        <v/>
      </c>
      <c r="AH425" t="str">
        <f>IF(Tabela1[[#This Row],[9]]&lt;&gt;"",IF(ISNUMBER(FIND(",",Tabela1[[#This Row],[9]])),LEN(Tabela1[[#This Row],[9]])-LEN(SUBSTITUTE(Tabela1[[#This Row],[9]],",",""))+1,1),"")</f>
        <v/>
      </c>
      <c r="AI425" t="str">
        <f>IF(Tabela1[[#This Row],[10]]&lt;&gt;"",IF(ISNUMBER(FIND(",",Tabela1[[#This Row],[10]])),LEN(Tabela1[[#This Row],[10]])-LEN(SUBSTITUTE(Tabela1[[#This Row],[10]],",",""))+1,1),"")</f>
        <v/>
      </c>
      <c r="AJ425" t="str">
        <f>IF(Tabela1[[#This Row],[11]]&lt;&gt;"",IF(ISNUMBER(FIND(",",Tabela1[[#This Row],[11]])),LEN(Tabela1[[#This Row],[11]])-LEN(SUBSTITUTE(Tabela1[[#This Row],[11]],",",""))+1,1),"")</f>
        <v/>
      </c>
      <c r="AK425" t="str">
        <f>IF(Tabela1[[#This Row],[12]]&lt;&gt;"",IF(ISNUMBER(FIND(",",Tabela1[[#This Row],[12]])),LEN(Tabela1[[#This Row],[12]])-LEN(SUBSTITUTE(Tabela1[[#This Row],[12]],",",""))+1,1),"")</f>
        <v/>
      </c>
      <c r="AL425" t="str">
        <f>IF(Tabela1[[#This Row],[13]]&lt;&gt;"",IF(ISNUMBER(FIND(",",Tabela1[[#This Row],[13]])),LEN(Tabela1[[#This Row],[13]])-LEN(SUBSTITUTE(Tabela1[[#This Row],[13]],",",""))+1,1),"")</f>
        <v/>
      </c>
      <c r="AM425" t="str">
        <f>IF(Tabela1[[#This Row],[14]]&lt;&gt;"",IF(ISNUMBER(FIND(",",Tabela1[[#This Row],[14]])),LEN(Tabela1[[#This Row],[14]])-LEN(SUBSTITUTE(Tabela1[[#This Row],[14]],",",""))+1,1),"")</f>
        <v/>
      </c>
      <c r="AN425" t="str">
        <f>IF(Tabela1[[#This Row],[15]]&lt;&gt;"",IF(ISNUMBER(FIND(",",Tabela1[[#This Row],[15]])),LEN(Tabela1[[#This Row],[15]])-LEN(SUBSTITUTE(Tabela1[[#This Row],[15]],",",""))+1,1),"")</f>
        <v/>
      </c>
      <c r="AO425" t="str">
        <f>IF(Tabela1[[#This Row],[16]]&lt;&gt;"",IF(ISNUMBER(FIND(",",Tabela1[[#This Row],[16]])),LEN(Tabela1[[#This Row],[16]])-LEN(SUBSTITUTE(Tabela1[[#This Row],[16]],",",""))+1,1),"")</f>
        <v/>
      </c>
      <c r="AP425" t="str">
        <f>IF(Tabela1[[#This Row],[17]]&lt;&gt;"",IF(ISNUMBER(FIND(",",Tabela1[[#This Row],[17]])),LEN(Tabela1[[#This Row],[17]])-LEN(SUBSTITUTE(Tabela1[[#This Row],[17]],",",""))+1,1),"")</f>
        <v/>
      </c>
      <c r="AQ425" t="str">
        <f>IF(Tabela1[[#This Row],[18]]&lt;&gt;"",IF(ISNUMBER(FIND(",",Tabela1[[#This Row],[18]])),LEN(Tabela1[[#This Row],[18]])-LEN(SUBSTITUTE(Tabela1[[#This Row],[18]],",",""))+1,1),"")</f>
        <v/>
      </c>
      <c r="AR425" s="13" t="str">
        <f>IF(Tabela1[[#This Row],[19_LENGTH]]&lt;&gt;"",IF(ISNUMBER(FIND(",",Tabela1[[#This Row],[19_LENGTH]])),LEN(Tabela1[[#This Row],[19_LENGTH]])-LEN(SUBSTITUTE(Tabela1[[#This Row],[19_LENGTH]],",",""))+1,1),"")</f>
        <v/>
      </c>
      <c r="AS425" s="21">
        <f>SUM(Tabela1[[#This Row],[1_]:[19_]])</f>
        <v>2</v>
      </c>
    </row>
    <row r="426" spans="1:45" x14ac:dyDescent="0.25">
      <c r="A426" s="27" t="s">
        <v>1328</v>
      </c>
      <c r="B426" s="19" t="s">
        <v>837</v>
      </c>
      <c r="C426" s="19">
        <v>102</v>
      </c>
      <c r="D426" s="19" t="s">
        <v>1314</v>
      </c>
      <c r="E426" s="20">
        <v>43529</v>
      </c>
      <c r="F426" s="19"/>
      <c r="G426" s="19"/>
      <c r="H426" s="19"/>
      <c r="I426" s="19"/>
      <c r="J426" s="19"/>
      <c r="K426" s="19">
        <v>41</v>
      </c>
      <c r="L426" s="19"/>
      <c r="M426" s="19"/>
      <c r="N426" s="19"/>
      <c r="O426" s="19"/>
      <c r="P426" s="19"/>
      <c r="Q426" s="19"/>
      <c r="R426" s="19"/>
      <c r="S426" s="19"/>
      <c r="T426" s="19"/>
      <c r="U426" s="19"/>
      <c r="V426" s="19"/>
      <c r="W426" s="19"/>
      <c r="X426" s="19"/>
      <c r="Y426" s="19"/>
      <c r="Z426" t="str">
        <f>IF(Tabela1[[#This Row],[1]]&lt;&gt;"",IF(ISNUMBER(FIND(",",Tabela1[[#This Row],[1]])),LEN(Tabela1[[#This Row],[1]])-LEN(SUBSTITUTE(Tabela1[[#This Row],[1]],",",""))+1,1),"")</f>
        <v/>
      </c>
      <c r="AA426" t="str">
        <f>IF(Tabela1[[#This Row],[2]]&lt;&gt;"",IF(ISNUMBER(FIND(",",Tabela1[[#This Row],[2]])),LEN(Tabela1[[#This Row],[2]])-LEN(SUBSTITUTE(Tabela1[[#This Row],[2]],",",""))+1,1),"")</f>
        <v/>
      </c>
      <c r="AB426" t="str">
        <f>IF(Tabela1[[#This Row],[3]]&lt;&gt;"",IF(ISNUMBER(FIND(",",Tabela1[[#This Row],[3]])),LEN(Tabela1[[#This Row],[3]])-LEN(SUBSTITUTE(Tabela1[[#This Row],[3]],",",""))+1,1),"")</f>
        <v/>
      </c>
      <c r="AC426" t="str">
        <f>IF(Tabela1[[#This Row],[4]]&lt;&gt;"",IF(ISNUMBER(FIND(",",Tabela1[[#This Row],[4]])),LEN(Tabela1[[#This Row],[4]])-LEN(SUBSTITUTE(Tabela1[[#This Row],[4]],",",""))+1,1),"")</f>
        <v/>
      </c>
      <c r="AD426" t="str">
        <f>IF(Tabela1[[#This Row],[5]]&lt;&gt;"",IF(ISNUMBER(FIND(",",Tabela1[[#This Row],[5]])),LEN(Tabela1[[#This Row],[5]])-LEN(SUBSTITUTE(Tabela1[[#This Row],[5]],",",""))+1,1),"")</f>
        <v/>
      </c>
      <c r="AE426">
        <f>IF(Tabela1[[#This Row],[6]]&lt;&gt;"",IF(ISNUMBER(FIND(",",Tabela1[[#This Row],[6]])),LEN(Tabela1[[#This Row],[6]])-LEN(SUBSTITUTE(Tabela1[[#This Row],[6]],",",""))+1,1),"")</f>
        <v>1</v>
      </c>
      <c r="AF426" t="str">
        <f>IF(Tabela1[[#This Row],[7]]&lt;&gt;"",IF(ISNUMBER(FIND(",",Tabela1[[#This Row],[7]])),LEN(Tabela1[[#This Row],[7]])-LEN(SUBSTITUTE(Tabela1[[#This Row],[7]],",",""))+1,1),"")</f>
        <v/>
      </c>
      <c r="AG426" t="str">
        <f>IF(Tabela1[[#This Row],[8]]&lt;&gt;"",IF(ISNUMBER(FIND(",",Tabela1[[#This Row],[8]])),LEN(Tabela1[[#This Row],[8]])-LEN(SUBSTITUTE(Tabela1[[#This Row],[8]],",",""))+1,1),"")</f>
        <v/>
      </c>
      <c r="AH426" t="str">
        <f>IF(Tabela1[[#This Row],[9]]&lt;&gt;"",IF(ISNUMBER(FIND(",",Tabela1[[#This Row],[9]])),LEN(Tabela1[[#This Row],[9]])-LEN(SUBSTITUTE(Tabela1[[#This Row],[9]],",",""))+1,1),"")</f>
        <v/>
      </c>
      <c r="AI426" t="str">
        <f>IF(Tabela1[[#This Row],[10]]&lt;&gt;"",IF(ISNUMBER(FIND(",",Tabela1[[#This Row],[10]])),LEN(Tabela1[[#This Row],[10]])-LEN(SUBSTITUTE(Tabela1[[#This Row],[10]],",",""))+1,1),"")</f>
        <v/>
      </c>
      <c r="AJ426" t="str">
        <f>IF(Tabela1[[#This Row],[11]]&lt;&gt;"",IF(ISNUMBER(FIND(",",Tabela1[[#This Row],[11]])),LEN(Tabela1[[#This Row],[11]])-LEN(SUBSTITUTE(Tabela1[[#This Row],[11]],",",""))+1,1),"")</f>
        <v/>
      </c>
      <c r="AK426" t="str">
        <f>IF(Tabela1[[#This Row],[12]]&lt;&gt;"",IF(ISNUMBER(FIND(",",Tabela1[[#This Row],[12]])),LEN(Tabela1[[#This Row],[12]])-LEN(SUBSTITUTE(Tabela1[[#This Row],[12]],",",""))+1,1),"")</f>
        <v/>
      </c>
      <c r="AL426" t="str">
        <f>IF(Tabela1[[#This Row],[13]]&lt;&gt;"",IF(ISNUMBER(FIND(",",Tabela1[[#This Row],[13]])),LEN(Tabela1[[#This Row],[13]])-LEN(SUBSTITUTE(Tabela1[[#This Row],[13]],",",""))+1,1),"")</f>
        <v/>
      </c>
      <c r="AM426" t="str">
        <f>IF(Tabela1[[#This Row],[14]]&lt;&gt;"",IF(ISNUMBER(FIND(",",Tabela1[[#This Row],[14]])),LEN(Tabela1[[#This Row],[14]])-LEN(SUBSTITUTE(Tabela1[[#This Row],[14]],",",""))+1,1),"")</f>
        <v/>
      </c>
      <c r="AN426" t="str">
        <f>IF(Tabela1[[#This Row],[15]]&lt;&gt;"",IF(ISNUMBER(FIND(",",Tabela1[[#This Row],[15]])),LEN(Tabela1[[#This Row],[15]])-LEN(SUBSTITUTE(Tabela1[[#This Row],[15]],",",""))+1,1),"")</f>
        <v/>
      </c>
      <c r="AO426" t="str">
        <f>IF(Tabela1[[#This Row],[16]]&lt;&gt;"",IF(ISNUMBER(FIND(",",Tabela1[[#This Row],[16]])),LEN(Tabela1[[#This Row],[16]])-LEN(SUBSTITUTE(Tabela1[[#This Row],[16]],",",""))+1,1),"")</f>
        <v/>
      </c>
      <c r="AP426" t="str">
        <f>IF(Tabela1[[#This Row],[17]]&lt;&gt;"",IF(ISNUMBER(FIND(",",Tabela1[[#This Row],[17]])),LEN(Tabela1[[#This Row],[17]])-LEN(SUBSTITUTE(Tabela1[[#This Row],[17]],",",""))+1,1),"")</f>
        <v/>
      </c>
      <c r="AQ426" t="str">
        <f>IF(Tabela1[[#This Row],[18]]&lt;&gt;"",IF(ISNUMBER(FIND(",",Tabela1[[#This Row],[18]])),LEN(Tabela1[[#This Row],[18]])-LEN(SUBSTITUTE(Tabela1[[#This Row],[18]],",",""))+1,1),"")</f>
        <v/>
      </c>
      <c r="AR426" s="13" t="str">
        <f>IF(Tabela1[[#This Row],[19_LENGTH]]&lt;&gt;"",IF(ISNUMBER(FIND(",",Tabela1[[#This Row],[19_LENGTH]])),LEN(Tabela1[[#This Row],[19_LENGTH]])-LEN(SUBSTITUTE(Tabela1[[#This Row],[19_LENGTH]],",",""))+1,1),"")</f>
        <v/>
      </c>
      <c r="AS426" s="21">
        <f>SUM(Tabela1[[#This Row],[1_]:[19_]])</f>
        <v>1</v>
      </c>
    </row>
    <row r="427" spans="1:45" x14ac:dyDescent="0.25">
      <c r="A427" s="27" t="s">
        <v>1328</v>
      </c>
      <c r="B427" s="19" t="s">
        <v>521</v>
      </c>
      <c r="C427" s="19">
        <v>120</v>
      </c>
      <c r="D427" s="19" t="s">
        <v>1314</v>
      </c>
      <c r="E427" s="20">
        <v>43529</v>
      </c>
      <c r="F427" s="19"/>
      <c r="G427" s="19"/>
      <c r="H427" s="19"/>
      <c r="I427" s="19"/>
      <c r="J427" s="19"/>
      <c r="K427" s="19"/>
      <c r="L427" s="19"/>
      <c r="M427" s="19" t="s">
        <v>182</v>
      </c>
      <c r="N427" s="19"/>
      <c r="O427" s="19"/>
      <c r="P427" s="19"/>
      <c r="Q427" s="19"/>
      <c r="R427" s="19"/>
      <c r="S427" s="19"/>
      <c r="T427" s="19"/>
      <c r="U427" s="19"/>
      <c r="V427" s="19"/>
      <c r="W427" s="19"/>
      <c r="X427" s="19"/>
      <c r="Y427" s="19"/>
      <c r="Z427" t="str">
        <f>IF(Tabela1[[#This Row],[1]]&lt;&gt;"",IF(ISNUMBER(FIND(",",Tabela1[[#This Row],[1]])),LEN(Tabela1[[#This Row],[1]])-LEN(SUBSTITUTE(Tabela1[[#This Row],[1]],",",""))+1,1),"")</f>
        <v/>
      </c>
      <c r="AA427" t="str">
        <f>IF(Tabela1[[#This Row],[2]]&lt;&gt;"",IF(ISNUMBER(FIND(",",Tabela1[[#This Row],[2]])),LEN(Tabela1[[#This Row],[2]])-LEN(SUBSTITUTE(Tabela1[[#This Row],[2]],",",""))+1,1),"")</f>
        <v/>
      </c>
      <c r="AB427" t="str">
        <f>IF(Tabela1[[#This Row],[3]]&lt;&gt;"",IF(ISNUMBER(FIND(",",Tabela1[[#This Row],[3]])),LEN(Tabela1[[#This Row],[3]])-LEN(SUBSTITUTE(Tabela1[[#This Row],[3]],",",""))+1,1),"")</f>
        <v/>
      </c>
      <c r="AC427" t="str">
        <f>IF(Tabela1[[#This Row],[4]]&lt;&gt;"",IF(ISNUMBER(FIND(",",Tabela1[[#This Row],[4]])),LEN(Tabela1[[#This Row],[4]])-LEN(SUBSTITUTE(Tabela1[[#This Row],[4]],",",""))+1,1),"")</f>
        <v/>
      </c>
      <c r="AD427" t="str">
        <f>IF(Tabela1[[#This Row],[5]]&lt;&gt;"",IF(ISNUMBER(FIND(",",Tabela1[[#This Row],[5]])),LEN(Tabela1[[#This Row],[5]])-LEN(SUBSTITUTE(Tabela1[[#This Row],[5]],",",""))+1,1),"")</f>
        <v/>
      </c>
      <c r="AE427" t="str">
        <f>IF(Tabela1[[#This Row],[6]]&lt;&gt;"",IF(ISNUMBER(FIND(",",Tabela1[[#This Row],[6]])),LEN(Tabela1[[#This Row],[6]])-LEN(SUBSTITUTE(Tabela1[[#This Row],[6]],",",""))+1,1),"")</f>
        <v/>
      </c>
      <c r="AF427" t="str">
        <f>IF(Tabela1[[#This Row],[7]]&lt;&gt;"",IF(ISNUMBER(FIND(",",Tabela1[[#This Row],[7]])),LEN(Tabela1[[#This Row],[7]])-LEN(SUBSTITUTE(Tabela1[[#This Row],[7]],",",""))+1,1),"")</f>
        <v/>
      </c>
      <c r="AG427">
        <f>IF(Tabela1[[#This Row],[8]]&lt;&gt;"",IF(ISNUMBER(FIND(",",Tabela1[[#This Row],[8]])),LEN(Tabela1[[#This Row],[8]])-LEN(SUBSTITUTE(Tabela1[[#This Row],[8]],",",""))+1,1),"")</f>
        <v>2</v>
      </c>
      <c r="AH427" t="str">
        <f>IF(Tabela1[[#This Row],[9]]&lt;&gt;"",IF(ISNUMBER(FIND(",",Tabela1[[#This Row],[9]])),LEN(Tabela1[[#This Row],[9]])-LEN(SUBSTITUTE(Tabela1[[#This Row],[9]],",",""))+1,1),"")</f>
        <v/>
      </c>
      <c r="AI427" t="str">
        <f>IF(Tabela1[[#This Row],[10]]&lt;&gt;"",IF(ISNUMBER(FIND(",",Tabela1[[#This Row],[10]])),LEN(Tabela1[[#This Row],[10]])-LEN(SUBSTITUTE(Tabela1[[#This Row],[10]],",",""))+1,1),"")</f>
        <v/>
      </c>
      <c r="AJ427" t="str">
        <f>IF(Tabela1[[#This Row],[11]]&lt;&gt;"",IF(ISNUMBER(FIND(",",Tabela1[[#This Row],[11]])),LEN(Tabela1[[#This Row],[11]])-LEN(SUBSTITUTE(Tabela1[[#This Row],[11]],",",""))+1,1),"")</f>
        <v/>
      </c>
      <c r="AK427" t="str">
        <f>IF(Tabela1[[#This Row],[12]]&lt;&gt;"",IF(ISNUMBER(FIND(",",Tabela1[[#This Row],[12]])),LEN(Tabela1[[#This Row],[12]])-LEN(SUBSTITUTE(Tabela1[[#This Row],[12]],",",""))+1,1),"")</f>
        <v/>
      </c>
      <c r="AL427" t="str">
        <f>IF(Tabela1[[#This Row],[13]]&lt;&gt;"",IF(ISNUMBER(FIND(",",Tabela1[[#This Row],[13]])),LEN(Tabela1[[#This Row],[13]])-LEN(SUBSTITUTE(Tabela1[[#This Row],[13]],",",""))+1,1),"")</f>
        <v/>
      </c>
      <c r="AM427" t="str">
        <f>IF(Tabela1[[#This Row],[14]]&lt;&gt;"",IF(ISNUMBER(FIND(",",Tabela1[[#This Row],[14]])),LEN(Tabela1[[#This Row],[14]])-LEN(SUBSTITUTE(Tabela1[[#This Row],[14]],",",""))+1,1),"")</f>
        <v/>
      </c>
      <c r="AN427" t="str">
        <f>IF(Tabela1[[#This Row],[15]]&lt;&gt;"",IF(ISNUMBER(FIND(",",Tabela1[[#This Row],[15]])),LEN(Tabela1[[#This Row],[15]])-LEN(SUBSTITUTE(Tabela1[[#This Row],[15]],",",""))+1,1),"")</f>
        <v/>
      </c>
      <c r="AO427" t="str">
        <f>IF(Tabela1[[#This Row],[16]]&lt;&gt;"",IF(ISNUMBER(FIND(",",Tabela1[[#This Row],[16]])),LEN(Tabela1[[#This Row],[16]])-LEN(SUBSTITUTE(Tabela1[[#This Row],[16]],",",""))+1,1),"")</f>
        <v/>
      </c>
      <c r="AP427" t="str">
        <f>IF(Tabela1[[#This Row],[17]]&lt;&gt;"",IF(ISNUMBER(FIND(",",Tabela1[[#This Row],[17]])),LEN(Tabela1[[#This Row],[17]])-LEN(SUBSTITUTE(Tabela1[[#This Row],[17]],",",""))+1,1),"")</f>
        <v/>
      </c>
      <c r="AQ427" t="str">
        <f>IF(Tabela1[[#This Row],[18]]&lt;&gt;"",IF(ISNUMBER(FIND(",",Tabela1[[#This Row],[18]])),LEN(Tabela1[[#This Row],[18]])-LEN(SUBSTITUTE(Tabela1[[#This Row],[18]],",",""))+1,1),"")</f>
        <v/>
      </c>
      <c r="AR427" s="13" t="str">
        <f>IF(Tabela1[[#This Row],[19_LENGTH]]&lt;&gt;"",IF(ISNUMBER(FIND(",",Tabela1[[#This Row],[19_LENGTH]])),LEN(Tabela1[[#This Row],[19_LENGTH]])-LEN(SUBSTITUTE(Tabela1[[#This Row],[19_LENGTH]],",",""))+1,1),"")</f>
        <v/>
      </c>
      <c r="AS427" s="21">
        <f>SUM(Tabela1[[#This Row],[1_]:[19_]])</f>
        <v>2</v>
      </c>
    </row>
    <row r="428" spans="1:45" x14ac:dyDescent="0.25">
      <c r="A428" s="27" t="s">
        <v>1328</v>
      </c>
      <c r="B428" s="19" t="s">
        <v>930</v>
      </c>
      <c r="C428" s="19">
        <v>102</v>
      </c>
      <c r="D428" s="19" t="s">
        <v>1314</v>
      </c>
      <c r="E428" s="20">
        <v>43529</v>
      </c>
      <c r="F428" s="19"/>
      <c r="G428" s="19"/>
      <c r="H428" s="19"/>
      <c r="I428" s="19"/>
      <c r="J428" s="19">
        <v>82</v>
      </c>
      <c r="K428" s="19"/>
      <c r="L428" s="19"/>
      <c r="M428" s="19">
        <v>57</v>
      </c>
      <c r="N428" s="19"/>
      <c r="O428" s="19"/>
      <c r="P428" s="19"/>
      <c r="Q428" s="19"/>
      <c r="R428" s="19"/>
      <c r="S428" s="19"/>
      <c r="T428" s="19"/>
      <c r="U428" s="19"/>
      <c r="V428" s="19"/>
      <c r="W428" s="19"/>
      <c r="X428" s="19"/>
      <c r="Y428" s="19"/>
      <c r="Z428" t="str">
        <f>IF(Tabela1[[#This Row],[1]]&lt;&gt;"",IF(ISNUMBER(FIND(",",Tabela1[[#This Row],[1]])),LEN(Tabela1[[#This Row],[1]])-LEN(SUBSTITUTE(Tabela1[[#This Row],[1]],",",""))+1,1),"")</f>
        <v/>
      </c>
      <c r="AA428" t="str">
        <f>IF(Tabela1[[#This Row],[2]]&lt;&gt;"",IF(ISNUMBER(FIND(",",Tabela1[[#This Row],[2]])),LEN(Tabela1[[#This Row],[2]])-LEN(SUBSTITUTE(Tabela1[[#This Row],[2]],",",""))+1,1),"")</f>
        <v/>
      </c>
      <c r="AB428" t="str">
        <f>IF(Tabela1[[#This Row],[3]]&lt;&gt;"",IF(ISNUMBER(FIND(",",Tabela1[[#This Row],[3]])),LEN(Tabela1[[#This Row],[3]])-LEN(SUBSTITUTE(Tabela1[[#This Row],[3]],",",""))+1,1),"")</f>
        <v/>
      </c>
      <c r="AC428" t="str">
        <f>IF(Tabela1[[#This Row],[4]]&lt;&gt;"",IF(ISNUMBER(FIND(",",Tabela1[[#This Row],[4]])),LEN(Tabela1[[#This Row],[4]])-LEN(SUBSTITUTE(Tabela1[[#This Row],[4]],",",""))+1,1),"")</f>
        <v/>
      </c>
      <c r="AD428">
        <f>IF(Tabela1[[#This Row],[5]]&lt;&gt;"",IF(ISNUMBER(FIND(",",Tabela1[[#This Row],[5]])),LEN(Tabela1[[#This Row],[5]])-LEN(SUBSTITUTE(Tabela1[[#This Row],[5]],",",""))+1,1),"")</f>
        <v>1</v>
      </c>
      <c r="AE428" t="str">
        <f>IF(Tabela1[[#This Row],[6]]&lt;&gt;"",IF(ISNUMBER(FIND(",",Tabela1[[#This Row],[6]])),LEN(Tabela1[[#This Row],[6]])-LEN(SUBSTITUTE(Tabela1[[#This Row],[6]],",",""))+1,1),"")</f>
        <v/>
      </c>
      <c r="AF428" t="str">
        <f>IF(Tabela1[[#This Row],[7]]&lt;&gt;"",IF(ISNUMBER(FIND(",",Tabela1[[#This Row],[7]])),LEN(Tabela1[[#This Row],[7]])-LEN(SUBSTITUTE(Tabela1[[#This Row],[7]],",",""))+1,1),"")</f>
        <v/>
      </c>
      <c r="AG428">
        <f>IF(Tabela1[[#This Row],[8]]&lt;&gt;"",IF(ISNUMBER(FIND(",",Tabela1[[#This Row],[8]])),LEN(Tabela1[[#This Row],[8]])-LEN(SUBSTITUTE(Tabela1[[#This Row],[8]],",",""))+1,1),"")</f>
        <v>1</v>
      </c>
      <c r="AH428" t="str">
        <f>IF(Tabela1[[#This Row],[9]]&lt;&gt;"",IF(ISNUMBER(FIND(",",Tabela1[[#This Row],[9]])),LEN(Tabela1[[#This Row],[9]])-LEN(SUBSTITUTE(Tabela1[[#This Row],[9]],",",""))+1,1),"")</f>
        <v/>
      </c>
      <c r="AI428" t="str">
        <f>IF(Tabela1[[#This Row],[10]]&lt;&gt;"",IF(ISNUMBER(FIND(",",Tabela1[[#This Row],[10]])),LEN(Tabela1[[#This Row],[10]])-LEN(SUBSTITUTE(Tabela1[[#This Row],[10]],",",""))+1,1),"")</f>
        <v/>
      </c>
      <c r="AJ428" t="str">
        <f>IF(Tabela1[[#This Row],[11]]&lt;&gt;"",IF(ISNUMBER(FIND(",",Tabela1[[#This Row],[11]])),LEN(Tabela1[[#This Row],[11]])-LEN(SUBSTITUTE(Tabela1[[#This Row],[11]],",",""))+1,1),"")</f>
        <v/>
      </c>
      <c r="AK428" t="str">
        <f>IF(Tabela1[[#This Row],[12]]&lt;&gt;"",IF(ISNUMBER(FIND(",",Tabela1[[#This Row],[12]])),LEN(Tabela1[[#This Row],[12]])-LEN(SUBSTITUTE(Tabela1[[#This Row],[12]],",",""))+1,1),"")</f>
        <v/>
      </c>
      <c r="AL428" t="str">
        <f>IF(Tabela1[[#This Row],[13]]&lt;&gt;"",IF(ISNUMBER(FIND(",",Tabela1[[#This Row],[13]])),LEN(Tabela1[[#This Row],[13]])-LEN(SUBSTITUTE(Tabela1[[#This Row],[13]],",",""))+1,1),"")</f>
        <v/>
      </c>
      <c r="AM428" t="str">
        <f>IF(Tabela1[[#This Row],[14]]&lt;&gt;"",IF(ISNUMBER(FIND(",",Tabela1[[#This Row],[14]])),LEN(Tabela1[[#This Row],[14]])-LEN(SUBSTITUTE(Tabela1[[#This Row],[14]],",",""))+1,1),"")</f>
        <v/>
      </c>
      <c r="AN428" t="str">
        <f>IF(Tabela1[[#This Row],[15]]&lt;&gt;"",IF(ISNUMBER(FIND(",",Tabela1[[#This Row],[15]])),LEN(Tabela1[[#This Row],[15]])-LEN(SUBSTITUTE(Tabela1[[#This Row],[15]],",",""))+1,1),"")</f>
        <v/>
      </c>
      <c r="AO428" t="str">
        <f>IF(Tabela1[[#This Row],[16]]&lt;&gt;"",IF(ISNUMBER(FIND(",",Tabela1[[#This Row],[16]])),LEN(Tabela1[[#This Row],[16]])-LEN(SUBSTITUTE(Tabela1[[#This Row],[16]],",",""))+1,1),"")</f>
        <v/>
      </c>
      <c r="AP428" t="str">
        <f>IF(Tabela1[[#This Row],[17]]&lt;&gt;"",IF(ISNUMBER(FIND(",",Tabela1[[#This Row],[17]])),LEN(Tabela1[[#This Row],[17]])-LEN(SUBSTITUTE(Tabela1[[#This Row],[17]],",",""))+1,1),"")</f>
        <v/>
      </c>
      <c r="AQ428" t="str">
        <f>IF(Tabela1[[#This Row],[18]]&lt;&gt;"",IF(ISNUMBER(FIND(",",Tabela1[[#This Row],[18]])),LEN(Tabela1[[#This Row],[18]])-LEN(SUBSTITUTE(Tabela1[[#This Row],[18]],",",""))+1,1),"")</f>
        <v/>
      </c>
      <c r="AR428" s="13" t="str">
        <f>IF(Tabela1[[#This Row],[19_LENGTH]]&lt;&gt;"",IF(ISNUMBER(FIND(",",Tabela1[[#This Row],[19_LENGTH]])),LEN(Tabela1[[#This Row],[19_LENGTH]])-LEN(SUBSTITUTE(Tabela1[[#This Row],[19_LENGTH]],",",""))+1,1),"")</f>
        <v/>
      </c>
      <c r="AS428" s="21">
        <f>SUM(Tabela1[[#This Row],[1_]:[19_]])</f>
        <v>2</v>
      </c>
    </row>
    <row r="429" spans="1:45" x14ac:dyDescent="0.25">
      <c r="A429" s="27" t="s">
        <v>1328</v>
      </c>
      <c r="B429" s="19" t="s">
        <v>931</v>
      </c>
      <c r="C429" s="19">
        <v>102</v>
      </c>
      <c r="D429" s="19" t="s">
        <v>1314</v>
      </c>
      <c r="E429" s="20">
        <v>43529</v>
      </c>
      <c r="F429" s="19"/>
      <c r="G429" s="19"/>
      <c r="H429" s="19"/>
      <c r="I429" s="19"/>
      <c r="J429" s="19"/>
      <c r="K429" s="19">
        <v>58</v>
      </c>
      <c r="L429" s="19"/>
      <c r="M429" s="19"/>
      <c r="N429" s="19"/>
      <c r="O429" s="19"/>
      <c r="P429" s="19"/>
      <c r="Q429" s="19"/>
      <c r="R429" s="19"/>
      <c r="S429" s="19"/>
      <c r="T429" s="19"/>
      <c r="U429" s="19"/>
      <c r="V429" s="19"/>
      <c r="W429" s="19"/>
      <c r="X429" s="19"/>
      <c r="Y429" s="19"/>
      <c r="Z429" t="str">
        <f>IF(Tabela1[[#This Row],[1]]&lt;&gt;"",IF(ISNUMBER(FIND(",",Tabela1[[#This Row],[1]])),LEN(Tabela1[[#This Row],[1]])-LEN(SUBSTITUTE(Tabela1[[#This Row],[1]],",",""))+1,1),"")</f>
        <v/>
      </c>
      <c r="AA429" t="str">
        <f>IF(Tabela1[[#This Row],[2]]&lt;&gt;"",IF(ISNUMBER(FIND(",",Tabela1[[#This Row],[2]])),LEN(Tabela1[[#This Row],[2]])-LEN(SUBSTITUTE(Tabela1[[#This Row],[2]],",",""))+1,1),"")</f>
        <v/>
      </c>
      <c r="AB429" t="str">
        <f>IF(Tabela1[[#This Row],[3]]&lt;&gt;"",IF(ISNUMBER(FIND(",",Tabela1[[#This Row],[3]])),LEN(Tabela1[[#This Row],[3]])-LEN(SUBSTITUTE(Tabela1[[#This Row],[3]],",",""))+1,1),"")</f>
        <v/>
      </c>
      <c r="AC429" t="str">
        <f>IF(Tabela1[[#This Row],[4]]&lt;&gt;"",IF(ISNUMBER(FIND(",",Tabela1[[#This Row],[4]])),LEN(Tabela1[[#This Row],[4]])-LEN(SUBSTITUTE(Tabela1[[#This Row],[4]],",",""))+1,1),"")</f>
        <v/>
      </c>
      <c r="AD429" t="str">
        <f>IF(Tabela1[[#This Row],[5]]&lt;&gt;"",IF(ISNUMBER(FIND(",",Tabela1[[#This Row],[5]])),LEN(Tabela1[[#This Row],[5]])-LEN(SUBSTITUTE(Tabela1[[#This Row],[5]],",",""))+1,1),"")</f>
        <v/>
      </c>
      <c r="AE429">
        <f>IF(Tabela1[[#This Row],[6]]&lt;&gt;"",IF(ISNUMBER(FIND(",",Tabela1[[#This Row],[6]])),LEN(Tabela1[[#This Row],[6]])-LEN(SUBSTITUTE(Tabela1[[#This Row],[6]],",",""))+1,1),"")</f>
        <v>1</v>
      </c>
      <c r="AF429" t="str">
        <f>IF(Tabela1[[#This Row],[7]]&lt;&gt;"",IF(ISNUMBER(FIND(",",Tabela1[[#This Row],[7]])),LEN(Tabela1[[#This Row],[7]])-LEN(SUBSTITUTE(Tabela1[[#This Row],[7]],",",""))+1,1),"")</f>
        <v/>
      </c>
      <c r="AG429" t="str">
        <f>IF(Tabela1[[#This Row],[8]]&lt;&gt;"",IF(ISNUMBER(FIND(",",Tabela1[[#This Row],[8]])),LEN(Tabela1[[#This Row],[8]])-LEN(SUBSTITUTE(Tabela1[[#This Row],[8]],",",""))+1,1),"")</f>
        <v/>
      </c>
      <c r="AH429" t="str">
        <f>IF(Tabela1[[#This Row],[9]]&lt;&gt;"",IF(ISNUMBER(FIND(",",Tabela1[[#This Row],[9]])),LEN(Tabela1[[#This Row],[9]])-LEN(SUBSTITUTE(Tabela1[[#This Row],[9]],",",""))+1,1),"")</f>
        <v/>
      </c>
      <c r="AI429" t="str">
        <f>IF(Tabela1[[#This Row],[10]]&lt;&gt;"",IF(ISNUMBER(FIND(",",Tabela1[[#This Row],[10]])),LEN(Tabela1[[#This Row],[10]])-LEN(SUBSTITUTE(Tabela1[[#This Row],[10]],",",""))+1,1),"")</f>
        <v/>
      </c>
      <c r="AJ429" t="str">
        <f>IF(Tabela1[[#This Row],[11]]&lt;&gt;"",IF(ISNUMBER(FIND(",",Tabela1[[#This Row],[11]])),LEN(Tabela1[[#This Row],[11]])-LEN(SUBSTITUTE(Tabela1[[#This Row],[11]],",",""))+1,1),"")</f>
        <v/>
      </c>
      <c r="AK429" t="str">
        <f>IF(Tabela1[[#This Row],[12]]&lt;&gt;"",IF(ISNUMBER(FIND(",",Tabela1[[#This Row],[12]])),LEN(Tabela1[[#This Row],[12]])-LEN(SUBSTITUTE(Tabela1[[#This Row],[12]],",",""))+1,1),"")</f>
        <v/>
      </c>
      <c r="AL429" t="str">
        <f>IF(Tabela1[[#This Row],[13]]&lt;&gt;"",IF(ISNUMBER(FIND(",",Tabela1[[#This Row],[13]])),LEN(Tabela1[[#This Row],[13]])-LEN(SUBSTITUTE(Tabela1[[#This Row],[13]],",",""))+1,1),"")</f>
        <v/>
      </c>
      <c r="AM429" t="str">
        <f>IF(Tabela1[[#This Row],[14]]&lt;&gt;"",IF(ISNUMBER(FIND(",",Tabela1[[#This Row],[14]])),LEN(Tabela1[[#This Row],[14]])-LEN(SUBSTITUTE(Tabela1[[#This Row],[14]],",",""))+1,1),"")</f>
        <v/>
      </c>
      <c r="AN429" t="str">
        <f>IF(Tabela1[[#This Row],[15]]&lt;&gt;"",IF(ISNUMBER(FIND(",",Tabela1[[#This Row],[15]])),LEN(Tabela1[[#This Row],[15]])-LEN(SUBSTITUTE(Tabela1[[#This Row],[15]],",",""))+1,1),"")</f>
        <v/>
      </c>
      <c r="AO429" t="str">
        <f>IF(Tabela1[[#This Row],[16]]&lt;&gt;"",IF(ISNUMBER(FIND(",",Tabela1[[#This Row],[16]])),LEN(Tabela1[[#This Row],[16]])-LEN(SUBSTITUTE(Tabela1[[#This Row],[16]],",",""))+1,1),"")</f>
        <v/>
      </c>
      <c r="AP429" t="str">
        <f>IF(Tabela1[[#This Row],[17]]&lt;&gt;"",IF(ISNUMBER(FIND(",",Tabela1[[#This Row],[17]])),LEN(Tabela1[[#This Row],[17]])-LEN(SUBSTITUTE(Tabela1[[#This Row],[17]],",",""))+1,1),"")</f>
        <v/>
      </c>
      <c r="AQ429" t="str">
        <f>IF(Tabela1[[#This Row],[18]]&lt;&gt;"",IF(ISNUMBER(FIND(",",Tabela1[[#This Row],[18]])),LEN(Tabela1[[#This Row],[18]])-LEN(SUBSTITUTE(Tabela1[[#This Row],[18]],",",""))+1,1),"")</f>
        <v/>
      </c>
      <c r="AR429" s="13" t="str">
        <f>IF(Tabela1[[#This Row],[19_LENGTH]]&lt;&gt;"",IF(ISNUMBER(FIND(",",Tabela1[[#This Row],[19_LENGTH]])),LEN(Tabela1[[#This Row],[19_LENGTH]])-LEN(SUBSTITUTE(Tabela1[[#This Row],[19_LENGTH]],",",""))+1,1),"")</f>
        <v/>
      </c>
      <c r="AS429" s="21">
        <f>SUM(Tabela1[[#This Row],[1_]:[19_]])</f>
        <v>1</v>
      </c>
    </row>
    <row r="430" spans="1:45" x14ac:dyDescent="0.25">
      <c r="A430" s="27" t="s">
        <v>1328</v>
      </c>
      <c r="B430" s="19" t="s">
        <v>932</v>
      </c>
      <c r="C430" s="19">
        <v>102</v>
      </c>
      <c r="D430" s="19" t="s">
        <v>1314</v>
      </c>
      <c r="E430" s="20">
        <v>43529</v>
      </c>
      <c r="F430" s="19"/>
      <c r="G430" s="19"/>
      <c r="H430" s="19"/>
      <c r="I430" s="19">
        <v>11</v>
      </c>
      <c r="J430" s="19"/>
      <c r="K430" s="19"/>
      <c r="L430" s="19"/>
      <c r="M430" s="19"/>
      <c r="N430" s="19"/>
      <c r="O430" s="19"/>
      <c r="P430" s="19"/>
      <c r="Q430" s="19"/>
      <c r="R430" s="19"/>
      <c r="S430" s="19"/>
      <c r="T430" s="19"/>
      <c r="U430" s="19"/>
      <c r="V430" s="19"/>
      <c r="W430" s="19"/>
      <c r="X430" s="19"/>
      <c r="Y430" s="19"/>
      <c r="Z430" t="str">
        <f>IF(Tabela1[[#This Row],[1]]&lt;&gt;"",IF(ISNUMBER(FIND(",",Tabela1[[#This Row],[1]])),LEN(Tabela1[[#This Row],[1]])-LEN(SUBSTITUTE(Tabela1[[#This Row],[1]],",",""))+1,1),"")</f>
        <v/>
      </c>
      <c r="AA430" t="str">
        <f>IF(Tabela1[[#This Row],[2]]&lt;&gt;"",IF(ISNUMBER(FIND(",",Tabela1[[#This Row],[2]])),LEN(Tabela1[[#This Row],[2]])-LEN(SUBSTITUTE(Tabela1[[#This Row],[2]],",",""))+1,1),"")</f>
        <v/>
      </c>
      <c r="AB430" t="str">
        <f>IF(Tabela1[[#This Row],[3]]&lt;&gt;"",IF(ISNUMBER(FIND(",",Tabela1[[#This Row],[3]])),LEN(Tabela1[[#This Row],[3]])-LEN(SUBSTITUTE(Tabela1[[#This Row],[3]],",",""))+1,1),"")</f>
        <v/>
      </c>
      <c r="AC430">
        <f>IF(Tabela1[[#This Row],[4]]&lt;&gt;"",IF(ISNUMBER(FIND(",",Tabela1[[#This Row],[4]])),LEN(Tabela1[[#This Row],[4]])-LEN(SUBSTITUTE(Tabela1[[#This Row],[4]],",",""))+1,1),"")</f>
        <v>1</v>
      </c>
      <c r="AD430" t="str">
        <f>IF(Tabela1[[#This Row],[5]]&lt;&gt;"",IF(ISNUMBER(FIND(",",Tabela1[[#This Row],[5]])),LEN(Tabela1[[#This Row],[5]])-LEN(SUBSTITUTE(Tabela1[[#This Row],[5]],",",""))+1,1),"")</f>
        <v/>
      </c>
      <c r="AE430" t="str">
        <f>IF(Tabela1[[#This Row],[6]]&lt;&gt;"",IF(ISNUMBER(FIND(",",Tabela1[[#This Row],[6]])),LEN(Tabela1[[#This Row],[6]])-LEN(SUBSTITUTE(Tabela1[[#This Row],[6]],",",""))+1,1),"")</f>
        <v/>
      </c>
      <c r="AF430" t="str">
        <f>IF(Tabela1[[#This Row],[7]]&lt;&gt;"",IF(ISNUMBER(FIND(",",Tabela1[[#This Row],[7]])),LEN(Tabela1[[#This Row],[7]])-LEN(SUBSTITUTE(Tabela1[[#This Row],[7]],",",""))+1,1),"")</f>
        <v/>
      </c>
      <c r="AG430" t="str">
        <f>IF(Tabela1[[#This Row],[8]]&lt;&gt;"",IF(ISNUMBER(FIND(",",Tabela1[[#This Row],[8]])),LEN(Tabela1[[#This Row],[8]])-LEN(SUBSTITUTE(Tabela1[[#This Row],[8]],",",""))+1,1),"")</f>
        <v/>
      </c>
      <c r="AH430" t="str">
        <f>IF(Tabela1[[#This Row],[9]]&lt;&gt;"",IF(ISNUMBER(FIND(",",Tabela1[[#This Row],[9]])),LEN(Tabela1[[#This Row],[9]])-LEN(SUBSTITUTE(Tabela1[[#This Row],[9]],",",""))+1,1),"")</f>
        <v/>
      </c>
      <c r="AI430" t="str">
        <f>IF(Tabela1[[#This Row],[10]]&lt;&gt;"",IF(ISNUMBER(FIND(",",Tabela1[[#This Row],[10]])),LEN(Tabela1[[#This Row],[10]])-LEN(SUBSTITUTE(Tabela1[[#This Row],[10]],",",""))+1,1),"")</f>
        <v/>
      </c>
      <c r="AJ430" t="str">
        <f>IF(Tabela1[[#This Row],[11]]&lt;&gt;"",IF(ISNUMBER(FIND(",",Tabela1[[#This Row],[11]])),LEN(Tabela1[[#This Row],[11]])-LEN(SUBSTITUTE(Tabela1[[#This Row],[11]],",",""))+1,1),"")</f>
        <v/>
      </c>
      <c r="AK430" t="str">
        <f>IF(Tabela1[[#This Row],[12]]&lt;&gt;"",IF(ISNUMBER(FIND(",",Tabela1[[#This Row],[12]])),LEN(Tabela1[[#This Row],[12]])-LEN(SUBSTITUTE(Tabela1[[#This Row],[12]],",",""))+1,1),"")</f>
        <v/>
      </c>
      <c r="AL430" t="str">
        <f>IF(Tabela1[[#This Row],[13]]&lt;&gt;"",IF(ISNUMBER(FIND(",",Tabela1[[#This Row],[13]])),LEN(Tabela1[[#This Row],[13]])-LEN(SUBSTITUTE(Tabela1[[#This Row],[13]],",",""))+1,1),"")</f>
        <v/>
      </c>
      <c r="AM430" t="str">
        <f>IF(Tabela1[[#This Row],[14]]&lt;&gt;"",IF(ISNUMBER(FIND(",",Tabela1[[#This Row],[14]])),LEN(Tabela1[[#This Row],[14]])-LEN(SUBSTITUTE(Tabela1[[#This Row],[14]],",",""))+1,1),"")</f>
        <v/>
      </c>
      <c r="AN430" t="str">
        <f>IF(Tabela1[[#This Row],[15]]&lt;&gt;"",IF(ISNUMBER(FIND(",",Tabela1[[#This Row],[15]])),LEN(Tabela1[[#This Row],[15]])-LEN(SUBSTITUTE(Tabela1[[#This Row],[15]],",",""))+1,1),"")</f>
        <v/>
      </c>
      <c r="AO430" t="str">
        <f>IF(Tabela1[[#This Row],[16]]&lt;&gt;"",IF(ISNUMBER(FIND(",",Tabela1[[#This Row],[16]])),LEN(Tabela1[[#This Row],[16]])-LEN(SUBSTITUTE(Tabela1[[#This Row],[16]],",",""))+1,1),"")</f>
        <v/>
      </c>
      <c r="AP430" t="str">
        <f>IF(Tabela1[[#This Row],[17]]&lt;&gt;"",IF(ISNUMBER(FIND(",",Tabela1[[#This Row],[17]])),LEN(Tabela1[[#This Row],[17]])-LEN(SUBSTITUTE(Tabela1[[#This Row],[17]],",",""))+1,1),"")</f>
        <v/>
      </c>
      <c r="AQ430" t="str">
        <f>IF(Tabela1[[#This Row],[18]]&lt;&gt;"",IF(ISNUMBER(FIND(",",Tabela1[[#This Row],[18]])),LEN(Tabela1[[#This Row],[18]])-LEN(SUBSTITUTE(Tabela1[[#This Row],[18]],",",""))+1,1),"")</f>
        <v/>
      </c>
      <c r="AR430" s="13" t="str">
        <f>IF(Tabela1[[#This Row],[19_LENGTH]]&lt;&gt;"",IF(ISNUMBER(FIND(",",Tabela1[[#This Row],[19_LENGTH]])),LEN(Tabela1[[#This Row],[19_LENGTH]])-LEN(SUBSTITUTE(Tabela1[[#This Row],[19_LENGTH]],",",""))+1,1),"")</f>
        <v/>
      </c>
      <c r="AS430" s="21">
        <f>SUM(Tabela1[[#This Row],[1_]:[19_]])</f>
        <v>1</v>
      </c>
    </row>
    <row r="431" spans="1:45" x14ac:dyDescent="0.25">
      <c r="A431" s="27" t="s">
        <v>1328</v>
      </c>
      <c r="B431" s="19" t="s">
        <v>932</v>
      </c>
      <c r="C431" s="19">
        <v>102</v>
      </c>
      <c r="D431" s="19" t="s">
        <v>1314</v>
      </c>
      <c r="E431" s="20">
        <v>43529</v>
      </c>
      <c r="F431" s="19"/>
      <c r="G431" s="19">
        <v>54</v>
      </c>
      <c r="H431" s="19"/>
      <c r="I431" s="19"/>
      <c r="J431" s="19"/>
      <c r="K431" s="19"/>
      <c r="L431" s="19"/>
      <c r="M431" s="19"/>
      <c r="N431" s="19"/>
      <c r="O431" s="19"/>
      <c r="P431" s="19"/>
      <c r="Q431" s="19"/>
      <c r="R431" s="19"/>
      <c r="S431" s="19"/>
      <c r="T431" s="19"/>
      <c r="U431" s="19"/>
      <c r="V431" s="19"/>
      <c r="W431" s="19"/>
      <c r="X431" s="19"/>
      <c r="Y431" s="19"/>
      <c r="Z431" t="str">
        <f>IF(Tabela1[[#This Row],[1]]&lt;&gt;"",IF(ISNUMBER(FIND(",",Tabela1[[#This Row],[1]])),LEN(Tabela1[[#This Row],[1]])-LEN(SUBSTITUTE(Tabela1[[#This Row],[1]],",",""))+1,1),"")</f>
        <v/>
      </c>
      <c r="AA431">
        <f>IF(Tabela1[[#This Row],[2]]&lt;&gt;"",IF(ISNUMBER(FIND(",",Tabela1[[#This Row],[2]])),LEN(Tabela1[[#This Row],[2]])-LEN(SUBSTITUTE(Tabela1[[#This Row],[2]],",",""))+1,1),"")</f>
        <v>1</v>
      </c>
      <c r="AB431" t="str">
        <f>IF(Tabela1[[#This Row],[3]]&lt;&gt;"",IF(ISNUMBER(FIND(",",Tabela1[[#This Row],[3]])),LEN(Tabela1[[#This Row],[3]])-LEN(SUBSTITUTE(Tabela1[[#This Row],[3]],",",""))+1,1),"")</f>
        <v/>
      </c>
      <c r="AC431" t="str">
        <f>IF(Tabela1[[#This Row],[4]]&lt;&gt;"",IF(ISNUMBER(FIND(",",Tabela1[[#This Row],[4]])),LEN(Tabela1[[#This Row],[4]])-LEN(SUBSTITUTE(Tabela1[[#This Row],[4]],",",""))+1,1),"")</f>
        <v/>
      </c>
      <c r="AD431" t="str">
        <f>IF(Tabela1[[#This Row],[5]]&lt;&gt;"",IF(ISNUMBER(FIND(",",Tabela1[[#This Row],[5]])),LEN(Tabela1[[#This Row],[5]])-LEN(SUBSTITUTE(Tabela1[[#This Row],[5]],",",""))+1,1),"")</f>
        <v/>
      </c>
      <c r="AE431" t="str">
        <f>IF(Tabela1[[#This Row],[6]]&lt;&gt;"",IF(ISNUMBER(FIND(",",Tabela1[[#This Row],[6]])),LEN(Tabela1[[#This Row],[6]])-LEN(SUBSTITUTE(Tabela1[[#This Row],[6]],",",""))+1,1),"")</f>
        <v/>
      </c>
      <c r="AF431" t="str">
        <f>IF(Tabela1[[#This Row],[7]]&lt;&gt;"",IF(ISNUMBER(FIND(",",Tabela1[[#This Row],[7]])),LEN(Tabela1[[#This Row],[7]])-LEN(SUBSTITUTE(Tabela1[[#This Row],[7]],",",""))+1,1),"")</f>
        <v/>
      </c>
      <c r="AG431" t="str">
        <f>IF(Tabela1[[#This Row],[8]]&lt;&gt;"",IF(ISNUMBER(FIND(",",Tabela1[[#This Row],[8]])),LEN(Tabela1[[#This Row],[8]])-LEN(SUBSTITUTE(Tabela1[[#This Row],[8]],",",""))+1,1),"")</f>
        <v/>
      </c>
      <c r="AH431" t="str">
        <f>IF(Tabela1[[#This Row],[9]]&lt;&gt;"",IF(ISNUMBER(FIND(",",Tabela1[[#This Row],[9]])),LEN(Tabela1[[#This Row],[9]])-LEN(SUBSTITUTE(Tabela1[[#This Row],[9]],",",""))+1,1),"")</f>
        <v/>
      </c>
      <c r="AI431" t="str">
        <f>IF(Tabela1[[#This Row],[10]]&lt;&gt;"",IF(ISNUMBER(FIND(",",Tabela1[[#This Row],[10]])),LEN(Tabela1[[#This Row],[10]])-LEN(SUBSTITUTE(Tabela1[[#This Row],[10]],",",""))+1,1),"")</f>
        <v/>
      </c>
      <c r="AJ431" t="str">
        <f>IF(Tabela1[[#This Row],[11]]&lt;&gt;"",IF(ISNUMBER(FIND(",",Tabela1[[#This Row],[11]])),LEN(Tabela1[[#This Row],[11]])-LEN(SUBSTITUTE(Tabela1[[#This Row],[11]],",",""))+1,1),"")</f>
        <v/>
      </c>
      <c r="AK431" t="str">
        <f>IF(Tabela1[[#This Row],[12]]&lt;&gt;"",IF(ISNUMBER(FIND(",",Tabela1[[#This Row],[12]])),LEN(Tabela1[[#This Row],[12]])-LEN(SUBSTITUTE(Tabela1[[#This Row],[12]],",",""))+1,1),"")</f>
        <v/>
      </c>
      <c r="AL431" t="str">
        <f>IF(Tabela1[[#This Row],[13]]&lt;&gt;"",IF(ISNUMBER(FIND(",",Tabela1[[#This Row],[13]])),LEN(Tabela1[[#This Row],[13]])-LEN(SUBSTITUTE(Tabela1[[#This Row],[13]],",",""))+1,1),"")</f>
        <v/>
      </c>
      <c r="AM431" t="str">
        <f>IF(Tabela1[[#This Row],[14]]&lt;&gt;"",IF(ISNUMBER(FIND(",",Tabela1[[#This Row],[14]])),LEN(Tabela1[[#This Row],[14]])-LEN(SUBSTITUTE(Tabela1[[#This Row],[14]],",",""))+1,1),"")</f>
        <v/>
      </c>
      <c r="AN431" t="str">
        <f>IF(Tabela1[[#This Row],[15]]&lt;&gt;"",IF(ISNUMBER(FIND(",",Tabela1[[#This Row],[15]])),LEN(Tabela1[[#This Row],[15]])-LEN(SUBSTITUTE(Tabela1[[#This Row],[15]],",",""))+1,1),"")</f>
        <v/>
      </c>
      <c r="AO431" t="str">
        <f>IF(Tabela1[[#This Row],[16]]&lt;&gt;"",IF(ISNUMBER(FIND(",",Tabela1[[#This Row],[16]])),LEN(Tabela1[[#This Row],[16]])-LEN(SUBSTITUTE(Tabela1[[#This Row],[16]],",",""))+1,1),"")</f>
        <v/>
      </c>
      <c r="AP431" t="str">
        <f>IF(Tabela1[[#This Row],[17]]&lt;&gt;"",IF(ISNUMBER(FIND(",",Tabela1[[#This Row],[17]])),LEN(Tabela1[[#This Row],[17]])-LEN(SUBSTITUTE(Tabela1[[#This Row],[17]],",",""))+1,1),"")</f>
        <v/>
      </c>
      <c r="AQ431" t="str">
        <f>IF(Tabela1[[#This Row],[18]]&lt;&gt;"",IF(ISNUMBER(FIND(",",Tabela1[[#This Row],[18]])),LEN(Tabela1[[#This Row],[18]])-LEN(SUBSTITUTE(Tabela1[[#This Row],[18]],",",""))+1,1),"")</f>
        <v/>
      </c>
      <c r="AR431" s="13" t="str">
        <f>IF(Tabela1[[#This Row],[19_LENGTH]]&lt;&gt;"",IF(ISNUMBER(FIND(",",Tabela1[[#This Row],[19_LENGTH]])),LEN(Tabela1[[#This Row],[19_LENGTH]])-LEN(SUBSTITUTE(Tabela1[[#This Row],[19_LENGTH]],",",""))+1,1),"")</f>
        <v/>
      </c>
      <c r="AS431" s="21">
        <f>SUM(Tabela1[[#This Row],[1_]:[19_]])</f>
        <v>1</v>
      </c>
    </row>
    <row r="432" spans="1:45" x14ac:dyDescent="0.25">
      <c r="A432" s="27" t="s">
        <v>1328</v>
      </c>
      <c r="B432" s="19" t="s">
        <v>933</v>
      </c>
      <c r="C432" s="19">
        <v>102</v>
      </c>
      <c r="D432" s="19" t="s">
        <v>1314</v>
      </c>
      <c r="E432" s="20">
        <v>43529</v>
      </c>
      <c r="F432" s="19"/>
      <c r="G432" s="19"/>
      <c r="H432" s="19"/>
      <c r="I432" s="19" t="s">
        <v>183</v>
      </c>
      <c r="J432" s="19"/>
      <c r="K432" s="19"/>
      <c r="L432" s="19"/>
      <c r="M432" s="19"/>
      <c r="N432" s="19"/>
      <c r="O432" s="19"/>
      <c r="P432" s="19"/>
      <c r="Q432" s="19"/>
      <c r="R432" s="19"/>
      <c r="S432" s="19"/>
      <c r="T432" s="19"/>
      <c r="U432" s="19"/>
      <c r="V432" s="19"/>
      <c r="W432" s="19"/>
      <c r="X432" s="19"/>
      <c r="Y432" s="19"/>
      <c r="Z432" t="str">
        <f>IF(Tabela1[[#This Row],[1]]&lt;&gt;"",IF(ISNUMBER(FIND(",",Tabela1[[#This Row],[1]])),LEN(Tabela1[[#This Row],[1]])-LEN(SUBSTITUTE(Tabela1[[#This Row],[1]],",",""))+1,1),"")</f>
        <v/>
      </c>
      <c r="AA432" t="str">
        <f>IF(Tabela1[[#This Row],[2]]&lt;&gt;"",IF(ISNUMBER(FIND(",",Tabela1[[#This Row],[2]])),LEN(Tabela1[[#This Row],[2]])-LEN(SUBSTITUTE(Tabela1[[#This Row],[2]],",",""))+1,1),"")</f>
        <v/>
      </c>
      <c r="AB432" t="str">
        <f>IF(Tabela1[[#This Row],[3]]&lt;&gt;"",IF(ISNUMBER(FIND(",",Tabela1[[#This Row],[3]])),LEN(Tabela1[[#This Row],[3]])-LEN(SUBSTITUTE(Tabela1[[#This Row],[3]],",",""))+1,1),"")</f>
        <v/>
      </c>
      <c r="AC432">
        <f>IF(Tabela1[[#This Row],[4]]&lt;&gt;"",IF(ISNUMBER(FIND(",",Tabela1[[#This Row],[4]])),LEN(Tabela1[[#This Row],[4]])-LEN(SUBSTITUTE(Tabela1[[#This Row],[4]],",",""))+1,1),"")</f>
        <v>2</v>
      </c>
      <c r="AD432" t="str">
        <f>IF(Tabela1[[#This Row],[5]]&lt;&gt;"",IF(ISNUMBER(FIND(",",Tabela1[[#This Row],[5]])),LEN(Tabela1[[#This Row],[5]])-LEN(SUBSTITUTE(Tabela1[[#This Row],[5]],",",""))+1,1),"")</f>
        <v/>
      </c>
      <c r="AE432" t="str">
        <f>IF(Tabela1[[#This Row],[6]]&lt;&gt;"",IF(ISNUMBER(FIND(",",Tabela1[[#This Row],[6]])),LEN(Tabela1[[#This Row],[6]])-LEN(SUBSTITUTE(Tabela1[[#This Row],[6]],",",""))+1,1),"")</f>
        <v/>
      </c>
      <c r="AF432" t="str">
        <f>IF(Tabela1[[#This Row],[7]]&lt;&gt;"",IF(ISNUMBER(FIND(",",Tabela1[[#This Row],[7]])),LEN(Tabela1[[#This Row],[7]])-LEN(SUBSTITUTE(Tabela1[[#This Row],[7]],",",""))+1,1),"")</f>
        <v/>
      </c>
      <c r="AG432" t="str">
        <f>IF(Tabela1[[#This Row],[8]]&lt;&gt;"",IF(ISNUMBER(FIND(",",Tabela1[[#This Row],[8]])),LEN(Tabela1[[#This Row],[8]])-LEN(SUBSTITUTE(Tabela1[[#This Row],[8]],",",""))+1,1),"")</f>
        <v/>
      </c>
      <c r="AH432" t="str">
        <f>IF(Tabela1[[#This Row],[9]]&lt;&gt;"",IF(ISNUMBER(FIND(",",Tabela1[[#This Row],[9]])),LEN(Tabela1[[#This Row],[9]])-LEN(SUBSTITUTE(Tabela1[[#This Row],[9]],",",""))+1,1),"")</f>
        <v/>
      </c>
      <c r="AI432" t="str">
        <f>IF(Tabela1[[#This Row],[10]]&lt;&gt;"",IF(ISNUMBER(FIND(",",Tabela1[[#This Row],[10]])),LEN(Tabela1[[#This Row],[10]])-LEN(SUBSTITUTE(Tabela1[[#This Row],[10]],",",""))+1,1),"")</f>
        <v/>
      </c>
      <c r="AJ432" t="str">
        <f>IF(Tabela1[[#This Row],[11]]&lt;&gt;"",IF(ISNUMBER(FIND(",",Tabela1[[#This Row],[11]])),LEN(Tabela1[[#This Row],[11]])-LEN(SUBSTITUTE(Tabela1[[#This Row],[11]],",",""))+1,1),"")</f>
        <v/>
      </c>
      <c r="AK432" t="str">
        <f>IF(Tabela1[[#This Row],[12]]&lt;&gt;"",IF(ISNUMBER(FIND(",",Tabela1[[#This Row],[12]])),LEN(Tabela1[[#This Row],[12]])-LEN(SUBSTITUTE(Tabela1[[#This Row],[12]],",",""))+1,1),"")</f>
        <v/>
      </c>
      <c r="AL432" t="str">
        <f>IF(Tabela1[[#This Row],[13]]&lt;&gt;"",IF(ISNUMBER(FIND(",",Tabela1[[#This Row],[13]])),LEN(Tabela1[[#This Row],[13]])-LEN(SUBSTITUTE(Tabela1[[#This Row],[13]],",",""))+1,1),"")</f>
        <v/>
      </c>
      <c r="AM432" t="str">
        <f>IF(Tabela1[[#This Row],[14]]&lt;&gt;"",IF(ISNUMBER(FIND(",",Tabela1[[#This Row],[14]])),LEN(Tabela1[[#This Row],[14]])-LEN(SUBSTITUTE(Tabela1[[#This Row],[14]],",",""))+1,1),"")</f>
        <v/>
      </c>
      <c r="AN432" t="str">
        <f>IF(Tabela1[[#This Row],[15]]&lt;&gt;"",IF(ISNUMBER(FIND(",",Tabela1[[#This Row],[15]])),LEN(Tabela1[[#This Row],[15]])-LEN(SUBSTITUTE(Tabela1[[#This Row],[15]],",",""))+1,1),"")</f>
        <v/>
      </c>
      <c r="AO432" t="str">
        <f>IF(Tabela1[[#This Row],[16]]&lt;&gt;"",IF(ISNUMBER(FIND(",",Tabela1[[#This Row],[16]])),LEN(Tabela1[[#This Row],[16]])-LEN(SUBSTITUTE(Tabela1[[#This Row],[16]],",",""))+1,1),"")</f>
        <v/>
      </c>
      <c r="AP432" t="str">
        <f>IF(Tabela1[[#This Row],[17]]&lt;&gt;"",IF(ISNUMBER(FIND(",",Tabela1[[#This Row],[17]])),LEN(Tabela1[[#This Row],[17]])-LEN(SUBSTITUTE(Tabela1[[#This Row],[17]],",",""))+1,1),"")</f>
        <v/>
      </c>
      <c r="AQ432" t="str">
        <f>IF(Tabela1[[#This Row],[18]]&lt;&gt;"",IF(ISNUMBER(FIND(",",Tabela1[[#This Row],[18]])),LEN(Tabela1[[#This Row],[18]])-LEN(SUBSTITUTE(Tabela1[[#This Row],[18]],",",""))+1,1),"")</f>
        <v/>
      </c>
      <c r="AR432" s="13" t="str">
        <f>IF(Tabela1[[#This Row],[19_LENGTH]]&lt;&gt;"",IF(ISNUMBER(FIND(",",Tabela1[[#This Row],[19_LENGTH]])),LEN(Tabela1[[#This Row],[19_LENGTH]])-LEN(SUBSTITUTE(Tabela1[[#This Row],[19_LENGTH]],",",""))+1,1),"")</f>
        <v/>
      </c>
      <c r="AS432" s="21">
        <f>SUM(Tabela1[[#This Row],[1_]:[19_]])</f>
        <v>2</v>
      </c>
    </row>
    <row r="433" spans="1:45" x14ac:dyDescent="0.25">
      <c r="A433" s="27" t="s">
        <v>1327</v>
      </c>
      <c r="B433" s="19" t="s">
        <v>522</v>
      </c>
      <c r="C433" s="19">
        <v>172</v>
      </c>
      <c r="D433" s="19" t="s">
        <v>1304</v>
      </c>
      <c r="E433" s="20">
        <v>43529</v>
      </c>
      <c r="F433" s="19"/>
      <c r="G433" s="19"/>
      <c r="H433" s="19">
        <v>133</v>
      </c>
      <c r="I433" s="19"/>
      <c r="J433" s="19"/>
      <c r="K433" s="19"/>
      <c r="L433" s="19"/>
      <c r="M433" s="19"/>
      <c r="N433" s="19"/>
      <c r="O433" s="19"/>
      <c r="P433" s="19"/>
      <c r="Q433" s="19"/>
      <c r="R433" s="19"/>
      <c r="S433" s="19"/>
      <c r="T433" s="19"/>
      <c r="U433" s="19">
        <v>134</v>
      </c>
      <c r="V433" s="19"/>
      <c r="W433" s="19"/>
      <c r="X433" s="19"/>
      <c r="Y433" s="19"/>
      <c r="Z433" t="str">
        <f>IF(Tabela1[[#This Row],[1]]&lt;&gt;"",IF(ISNUMBER(FIND(",",Tabela1[[#This Row],[1]])),LEN(Tabela1[[#This Row],[1]])-LEN(SUBSTITUTE(Tabela1[[#This Row],[1]],",",""))+1,1),"")</f>
        <v/>
      </c>
      <c r="AA433" t="str">
        <f>IF(Tabela1[[#This Row],[2]]&lt;&gt;"",IF(ISNUMBER(FIND(",",Tabela1[[#This Row],[2]])),LEN(Tabela1[[#This Row],[2]])-LEN(SUBSTITUTE(Tabela1[[#This Row],[2]],",",""))+1,1),"")</f>
        <v/>
      </c>
      <c r="AB433">
        <f>IF(Tabela1[[#This Row],[3]]&lt;&gt;"",IF(ISNUMBER(FIND(",",Tabela1[[#This Row],[3]])),LEN(Tabela1[[#This Row],[3]])-LEN(SUBSTITUTE(Tabela1[[#This Row],[3]],",",""))+1,1),"")</f>
        <v>1</v>
      </c>
      <c r="AC433" t="str">
        <f>IF(Tabela1[[#This Row],[4]]&lt;&gt;"",IF(ISNUMBER(FIND(",",Tabela1[[#This Row],[4]])),LEN(Tabela1[[#This Row],[4]])-LEN(SUBSTITUTE(Tabela1[[#This Row],[4]],",",""))+1,1),"")</f>
        <v/>
      </c>
      <c r="AD433" t="str">
        <f>IF(Tabela1[[#This Row],[5]]&lt;&gt;"",IF(ISNUMBER(FIND(",",Tabela1[[#This Row],[5]])),LEN(Tabela1[[#This Row],[5]])-LEN(SUBSTITUTE(Tabela1[[#This Row],[5]],",",""))+1,1),"")</f>
        <v/>
      </c>
      <c r="AE433" t="str">
        <f>IF(Tabela1[[#This Row],[6]]&lt;&gt;"",IF(ISNUMBER(FIND(",",Tabela1[[#This Row],[6]])),LEN(Tabela1[[#This Row],[6]])-LEN(SUBSTITUTE(Tabela1[[#This Row],[6]],",",""))+1,1),"")</f>
        <v/>
      </c>
      <c r="AF433" t="str">
        <f>IF(Tabela1[[#This Row],[7]]&lt;&gt;"",IF(ISNUMBER(FIND(",",Tabela1[[#This Row],[7]])),LEN(Tabela1[[#This Row],[7]])-LEN(SUBSTITUTE(Tabela1[[#This Row],[7]],",",""))+1,1),"")</f>
        <v/>
      </c>
      <c r="AG433" t="str">
        <f>IF(Tabela1[[#This Row],[8]]&lt;&gt;"",IF(ISNUMBER(FIND(",",Tabela1[[#This Row],[8]])),LEN(Tabela1[[#This Row],[8]])-LEN(SUBSTITUTE(Tabela1[[#This Row],[8]],",",""))+1,1),"")</f>
        <v/>
      </c>
      <c r="AH433" t="str">
        <f>IF(Tabela1[[#This Row],[9]]&lt;&gt;"",IF(ISNUMBER(FIND(",",Tabela1[[#This Row],[9]])),LEN(Tabela1[[#This Row],[9]])-LEN(SUBSTITUTE(Tabela1[[#This Row],[9]],",",""))+1,1),"")</f>
        <v/>
      </c>
      <c r="AI433" t="str">
        <f>IF(Tabela1[[#This Row],[10]]&lt;&gt;"",IF(ISNUMBER(FIND(",",Tabela1[[#This Row],[10]])),LEN(Tabela1[[#This Row],[10]])-LEN(SUBSTITUTE(Tabela1[[#This Row],[10]],",",""))+1,1),"")</f>
        <v/>
      </c>
      <c r="AJ433" t="str">
        <f>IF(Tabela1[[#This Row],[11]]&lt;&gt;"",IF(ISNUMBER(FIND(",",Tabela1[[#This Row],[11]])),LEN(Tabela1[[#This Row],[11]])-LEN(SUBSTITUTE(Tabela1[[#This Row],[11]],",",""))+1,1),"")</f>
        <v/>
      </c>
      <c r="AK433" t="str">
        <f>IF(Tabela1[[#This Row],[12]]&lt;&gt;"",IF(ISNUMBER(FIND(",",Tabela1[[#This Row],[12]])),LEN(Tabela1[[#This Row],[12]])-LEN(SUBSTITUTE(Tabela1[[#This Row],[12]],",",""))+1,1),"")</f>
        <v/>
      </c>
      <c r="AL433" t="str">
        <f>IF(Tabela1[[#This Row],[13]]&lt;&gt;"",IF(ISNUMBER(FIND(",",Tabela1[[#This Row],[13]])),LEN(Tabela1[[#This Row],[13]])-LEN(SUBSTITUTE(Tabela1[[#This Row],[13]],",",""))+1,1),"")</f>
        <v/>
      </c>
      <c r="AM433" t="str">
        <f>IF(Tabela1[[#This Row],[14]]&lt;&gt;"",IF(ISNUMBER(FIND(",",Tabela1[[#This Row],[14]])),LEN(Tabela1[[#This Row],[14]])-LEN(SUBSTITUTE(Tabela1[[#This Row],[14]],",",""))+1,1),"")</f>
        <v/>
      </c>
      <c r="AN433" t="str">
        <f>IF(Tabela1[[#This Row],[15]]&lt;&gt;"",IF(ISNUMBER(FIND(",",Tabela1[[#This Row],[15]])),LEN(Tabela1[[#This Row],[15]])-LEN(SUBSTITUTE(Tabela1[[#This Row],[15]],",",""))+1,1),"")</f>
        <v/>
      </c>
      <c r="AO433">
        <f>IF(Tabela1[[#This Row],[16]]&lt;&gt;"",IF(ISNUMBER(FIND(",",Tabela1[[#This Row],[16]])),LEN(Tabela1[[#This Row],[16]])-LEN(SUBSTITUTE(Tabela1[[#This Row],[16]],",",""))+1,1),"")</f>
        <v>1</v>
      </c>
      <c r="AP433" t="str">
        <f>IF(Tabela1[[#This Row],[17]]&lt;&gt;"",IF(ISNUMBER(FIND(",",Tabela1[[#This Row],[17]])),LEN(Tabela1[[#This Row],[17]])-LEN(SUBSTITUTE(Tabela1[[#This Row],[17]],",",""))+1,1),"")</f>
        <v/>
      </c>
      <c r="AQ433" t="str">
        <f>IF(Tabela1[[#This Row],[18]]&lt;&gt;"",IF(ISNUMBER(FIND(",",Tabela1[[#This Row],[18]])),LEN(Tabela1[[#This Row],[18]])-LEN(SUBSTITUTE(Tabela1[[#This Row],[18]],",",""))+1,1),"")</f>
        <v/>
      </c>
      <c r="AR433" s="13" t="str">
        <f>IF(Tabela1[[#This Row],[19_LENGTH]]&lt;&gt;"",IF(ISNUMBER(FIND(",",Tabela1[[#This Row],[19_LENGTH]])),LEN(Tabela1[[#This Row],[19_LENGTH]])-LEN(SUBSTITUTE(Tabela1[[#This Row],[19_LENGTH]],",",""))+1,1),"")</f>
        <v/>
      </c>
      <c r="AS433" s="21">
        <f>SUM(Tabela1[[#This Row],[1_]:[19_]])</f>
        <v>2</v>
      </c>
    </row>
    <row r="434" spans="1:45" x14ac:dyDescent="0.25">
      <c r="A434" s="27" t="s">
        <v>1328</v>
      </c>
      <c r="B434" s="19" t="s">
        <v>523</v>
      </c>
      <c r="C434" s="19">
        <v>102</v>
      </c>
      <c r="D434" s="19" t="s">
        <v>1308</v>
      </c>
      <c r="E434" s="20">
        <v>43529</v>
      </c>
      <c r="F434" s="19"/>
      <c r="G434" s="19"/>
      <c r="H434" s="19"/>
      <c r="I434" s="19"/>
      <c r="J434" s="19"/>
      <c r="K434" s="19"/>
      <c r="L434" s="19"/>
      <c r="M434" s="19"/>
      <c r="N434" s="19"/>
      <c r="O434" s="19"/>
      <c r="P434" s="19"/>
      <c r="Q434" s="19"/>
      <c r="R434" s="19">
        <v>5</v>
      </c>
      <c r="S434" s="19"/>
      <c r="T434" s="19"/>
      <c r="U434" s="19"/>
      <c r="V434" s="19"/>
      <c r="W434" s="19"/>
      <c r="X434" s="19"/>
      <c r="Y434" s="19"/>
      <c r="Z434" t="str">
        <f>IF(Tabela1[[#This Row],[1]]&lt;&gt;"",IF(ISNUMBER(FIND(",",Tabela1[[#This Row],[1]])),LEN(Tabela1[[#This Row],[1]])-LEN(SUBSTITUTE(Tabela1[[#This Row],[1]],",",""))+1,1),"")</f>
        <v/>
      </c>
      <c r="AA434" t="str">
        <f>IF(Tabela1[[#This Row],[2]]&lt;&gt;"",IF(ISNUMBER(FIND(",",Tabela1[[#This Row],[2]])),LEN(Tabela1[[#This Row],[2]])-LEN(SUBSTITUTE(Tabela1[[#This Row],[2]],",",""))+1,1),"")</f>
        <v/>
      </c>
      <c r="AB434" t="str">
        <f>IF(Tabela1[[#This Row],[3]]&lt;&gt;"",IF(ISNUMBER(FIND(",",Tabela1[[#This Row],[3]])),LEN(Tabela1[[#This Row],[3]])-LEN(SUBSTITUTE(Tabela1[[#This Row],[3]],",",""))+1,1),"")</f>
        <v/>
      </c>
      <c r="AC434" t="str">
        <f>IF(Tabela1[[#This Row],[4]]&lt;&gt;"",IF(ISNUMBER(FIND(",",Tabela1[[#This Row],[4]])),LEN(Tabela1[[#This Row],[4]])-LEN(SUBSTITUTE(Tabela1[[#This Row],[4]],",",""))+1,1),"")</f>
        <v/>
      </c>
      <c r="AD434" t="str">
        <f>IF(Tabela1[[#This Row],[5]]&lt;&gt;"",IF(ISNUMBER(FIND(",",Tabela1[[#This Row],[5]])),LEN(Tabela1[[#This Row],[5]])-LEN(SUBSTITUTE(Tabela1[[#This Row],[5]],",",""))+1,1),"")</f>
        <v/>
      </c>
      <c r="AE434" t="str">
        <f>IF(Tabela1[[#This Row],[6]]&lt;&gt;"",IF(ISNUMBER(FIND(",",Tabela1[[#This Row],[6]])),LEN(Tabela1[[#This Row],[6]])-LEN(SUBSTITUTE(Tabela1[[#This Row],[6]],",",""))+1,1),"")</f>
        <v/>
      </c>
      <c r="AF434" t="str">
        <f>IF(Tabela1[[#This Row],[7]]&lt;&gt;"",IF(ISNUMBER(FIND(",",Tabela1[[#This Row],[7]])),LEN(Tabela1[[#This Row],[7]])-LEN(SUBSTITUTE(Tabela1[[#This Row],[7]],",",""))+1,1),"")</f>
        <v/>
      </c>
      <c r="AG434" t="str">
        <f>IF(Tabela1[[#This Row],[8]]&lt;&gt;"",IF(ISNUMBER(FIND(",",Tabela1[[#This Row],[8]])),LEN(Tabela1[[#This Row],[8]])-LEN(SUBSTITUTE(Tabela1[[#This Row],[8]],",",""))+1,1),"")</f>
        <v/>
      </c>
      <c r="AH434" t="str">
        <f>IF(Tabela1[[#This Row],[9]]&lt;&gt;"",IF(ISNUMBER(FIND(",",Tabela1[[#This Row],[9]])),LEN(Tabela1[[#This Row],[9]])-LEN(SUBSTITUTE(Tabela1[[#This Row],[9]],",",""))+1,1),"")</f>
        <v/>
      </c>
      <c r="AI434" t="str">
        <f>IF(Tabela1[[#This Row],[10]]&lt;&gt;"",IF(ISNUMBER(FIND(",",Tabela1[[#This Row],[10]])),LEN(Tabela1[[#This Row],[10]])-LEN(SUBSTITUTE(Tabela1[[#This Row],[10]],",",""))+1,1),"")</f>
        <v/>
      </c>
      <c r="AJ434" t="str">
        <f>IF(Tabela1[[#This Row],[11]]&lt;&gt;"",IF(ISNUMBER(FIND(",",Tabela1[[#This Row],[11]])),LEN(Tabela1[[#This Row],[11]])-LEN(SUBSTITUTE(Tabela1[[#This Row],[11]],",",""))+1,1),"")</f>
        <v/>
      </c>
      <c r="AK434" t="str">
        <f>IF(Tabela1[[#This Row],[12]]&lt;&gt;"",IF(ISNUMBER(FIND(",",Tabela1[[#This Row],[12]])),LEN(Tabela1[[#This Row],[12]])-LEN(SUBSTITUTE(Tabela1[[#This Row],[12]],",",""))+1,1),"")</f>
        <v/>
      </c>
      <c r="AL434">
        <f>IF(Tabela1[[#This Row],[13]]&lt;&gt;"",IF(ISNUMBER(FIND(",",Tabela1[[#This Row],[13]])),LEN(Tabela1[[#This Row],[13]])-LEN(SUBSTITUTE(Tabela1[[#This Row],[13]],",",""))+1,1),"")</f>
        <v>1</v>
      </c>
      <c r="AM434" t="str">
        <f>IF(Tabela1[[#This Row],[14]]&lt;&gt;"",IF(ISNUMBER(FIND(",",Tabela1[[#This Row],[14]])),LEN(Tabela1[[#This Row],[14]])-LEN(SUBSTITUTE(Tabela1[[#This Row],[14]],",",""))+1,1),"")</f>
        <v/>
      </c>
      <c r="AN434" t="str">
        <f>IF(Tabela1[[#This Row],[15]]&lt;&gt;"",IF(ISNUMBER(FIND(",",Tabela1[[#This Row],[15]])),LEN(Tabela1[[#This Row],[15]])-LEN(SUBSTITUTE(Tabela1[[#This Row],[15]],",",""))+1,1),"")</f>
        <v/>
      </c>
      <c r="AO434" t="str">
        <f>IF(Tabela1[[#This Row],[16]]&lt;&gt;"",IF(ISNUMBER(FIND(",",Tabela1[[#This Row],[16]])),LEN(Tabela1[[#This Row],[16]])-LEN(SUBSTITUTE(Tabela1[[#This Row],[16]],",",""))+1,1),"")</f>
        <v/>
      </c>
      <c r="AP434" t="str">
        <f>IF(Tabela1[[#This Row],[17]]&lt;&gt;"",IF(ISNUMBER(FIND(",",Tabela1[[#This Row],[17]])),LEN(Tabela1[[#This Row],[17]])-LEN(SUBSTITUTE(Tabela1[[#This Row],[17]],",",""))+1,1),"")</f>
        <v/>
      </c>
      <c r="AQ434" t="str">
        <f>IF(Tabela1[[#This Row],[18]]&lt;&gt;"",IF(ISNUMBER(FIND(",",Tabela1[[#This Row],[18]])),LEN(Tabela1[[#This Row],[18]])-LEN(SUBSTITUTE(Tabela1[[#This Row],[18]],",",""))+1,1),"")</f>
        <v/>
      </c>
      <c r="AR434" s="13" t="str">
        <f>IF(Tabela1[[#This Row],[19_LENGTH]]&lt;&gt;"",IF(ISNUMBER(FIND(",",Tabela1[[#This Row],[19_LENGTH]])),LEN(Tabela1[[#This Row],[19_LENGTH]])-LEN(SUBSTITUTE(Tabela1[[#This Row],[19_LENGTH]],",",""))+1,1),"")</f>
        <v/>
      </c>
      <c r="AS434" s="21">
        <f>SUM(Tabela1[[#This Row],[1_]:[19_]])</f>
        <v>1</v>
      </c>
    </row>
    <row r="435" spans="1:45" x14ac:dyDescent="0.25">
      <c r="A435" s="27" t="s">
        <v>1325</v>
      </c>
      <c r="B435" s="19" t="s">
        <v>524</v>
      </c>
      <c r="C435" s="19">
        <v>200</v>
      </c>
      <c r="D435" s="19" t="s">
        <v>1296</v>
      </c>
      <c r="E435" s="20">
        <v>43532</v>
      </c>
      <c r="F435" s="19"/>
      <c r="G435" s="19">
        <v>37</v>
      </c>
      <c r="H435" s="19"/>
      <c r="I435" s="19">
        <v>162</v>
      </c>
      <c r="J435" s="19"/>
      <c r="K435" s="19"/>
      <c r="L435" s="19"/>
      <c r="M435" s="19"/>
      <c r="N435" s="19"/>
      <c r="O435" s="19"/>
      <c r="P435" s="19"/>
      <c r="Q435" s="19"/>
      <c r="R435" s="19"/>
      <c r="S435" s="19"/>
      <c r="T435" s="19"/>
      <c r="U435" s="19">
        <v>108</v>
      </c>
      <c r="V435" s="19"/>
      <c r="W435" s="19"/>
      <c r="X435" s="19"/>
      <c r="Y435" s="19"/>
      <c r="Z435" t="str">
        <f>IF(Tabela1[[#This Row],[1]]&lt;&gt;"",IF(ISNUMBER(FIND(",",Tabela1[[#This Row],[1]])),LEN(Tabela1[[#This Row],[1]])-LEN(SUBSTITUTE(Tabela1[[#This Row],[1]],",",""))+1,1),"")</f>
        <v/>
      </c>
      <c r="AA435">
        <f>IF(Tabela1[[#This Row],[2]]&lt;&gt;"",IF(ISNUMBER(FIND(",",Tabela1[[#This Row],[2]])),LEN(Tabela1[[#This Row],[2]])-LEN(SUBSTITUTE(Tabela1[[#This Row],[2]],",",""))+1,1),"")</f>
        <v>1</v>
      </c>
      <c r="AB435" t="str">
        <f>IF(Tabela1[[#This Row],[3]]&lt;&gt;"",IF(ISNUMBER(FIND(",",Tabela1[[#This Row],[3]])),LEN(Tabela1[[#This Row],[3]])-LEN(SUBSTITUTE(Tabela1[[#This Row],[3]],",",""))+1,1),"")</f>
        <v/>
      </c>
      <c r="AC435">
        <f>IF(Tabela1[[#This Row],[4]]&lt;&gt;"",IF(ISNUMBER(FIND(",",Tabela1[[#This Row],[4]])),LEN(Tabela1[[#This Row],[4]])-LEN(SUBSTITUTE(Tabela1[[#This Row],[4]],",",""))+1,1),"")</f>
        <v>1</v>
      </c>
      <c r="AD435" t="str">
        <f>IF(Tabela1[[#This Row],[5]]&lt;&gt;"",IF(ISNUMBER(FIND(",",Tabela1[[#This Row],[5]])),LEN(Tabela1[[#This Row],[5]])-LEN(SUBSTITUTE(Tabela1[[#This Row],[5]],",",""))+1,1),"")</f>
        <v/>
      </c>
      <c r="AE435" t="str">
        <f>IF(Tabela1[[#This Row],[6]]&lt;&gt;"",IF(ISNUMBER(FIND(",",Tabela1[[#This Row],[6]])),LEN(Tabela1[[#This Row],[6]])-LEN(SUBSTITUTE(Tabela1[[#This Row],[6]],",",""))+1,1),"")</f>
        <v/>
      </c>
      <c r="AF435" t="str">
        <f>IF(Tabela1[[#This Row],[7]]&lt;&gt;"",IF(ISNUMBER(FIND(",",Tabela1[[#This Row],[7]])),LEN(Tabela1[[#This Row],[7]])-LEN(SUBSTITUTE(Tabela1[[#This Row],[7]],",",""))+1,1),"")</f>
        <v/>
      </c>
      <c r="AG435" t="str">
        <f>IF(Tabela1[[#This Row],[8]]&lt;&gt;"",IF(ISNUMBER(FIND(",",Tabela1[[#This Row],[8]])),LEN(Tabela1[[#This Row],[8]])-LEN(SUBSTITUTE(Tabela1[[#This Row],[8]],",",""))+1,1),"")</f>
        <v/>
      </c>
      <c r="AH435" t="str">
        <f>IF(Tabela1[[#This Row],[9]]&lt;&gt;"",IF(ISNUMBER(FIND(",",Tabela1[[#This Row],[9]])),LEN(Tabela1[[#This Row],[9]])-LEN(SUBSTITUTE(Tabela1[[#This Row],[9]],",",""))+1,1),"")</f>
        <v/>
      </c>
      <c r="AI435" t="str">
        <f>IF(Tabela1[[#This Row],[10]]&lt;&gt;"",IF(ISNUMBER(FIND(",",Tabela1[[#This Row],[10]])),LEN(Tabela1[[#This Row],[10]])-LEN(SUBSTITUTE(Tabela1[[#This Row],[10]],",",""))+1,1),"")</f>
        <v/>
      </c>
      <c r="AJ435" t="str">
        <f>IF(Tabela1[[#This Row],[11]]&lt;&gt;"",IF(ISNUMBER(FIND(",",Tabela1[[#This Row],[11]])),LEN(Tabela1[[#This Row],[11]])-LEN(SUBSTITUTE(Tabela1[[#This Row],[11]],",",""))+1,1),"")</f>
        <v/>
      </c>
      <c r="AK435" t="str">
        <f>IF(Tabela1[[#This Row],[12]]&lt;&gt;"",IF(ISNUMBER(FIND(",",Tabela1[[#This Row],[12]])),LEN(Tabela1[[#This Row],[12]])-LEN(SUBSTITUTE(Tabela1[[#This Row],[12]],",",""))+1,1),"")</f>
        <v/>
      </c>
      <c r="AL435" t="str">
        <f>IF(Tabela1[[#This Row],[13]]&lt;&gt;"",IF(ISNUMBER(FIND(",",Tabela1[[#This Row],[13]])),LEN(Tabela1[[#This Row],[13]])-LEN(SUBSTITUTE(Tabela1[[#This Row],[13]],",",""))+1,1),"")</f>
        <v/>
      </c>
      <c r="AM435" t="str">
        <f>IF(Tabela1[[#This Row],[14]]&lt;&gt;"",IF(ISNUMBER(FIND(",",Tabela1[[#This Row],[14]])),LEN(Tabela1[[#This Row],[14]])-LEN(SUBSTITUTE(Tabela1[[#This Row],[14]],",",""))+1,1),"")</f>
        <v/>
      </c>
      <c r="AN435" t="str">
        <f>IF(Tabela1[[#This Row],[15]]&lt;&gt;"",IF(ISNUMBER(FIND(",",Tabela1[[#This Row],[15]])),LEN(Tabela1[[#This Row],[15]])-LEN(SUBSTITUTE(Tabela1[[#This Row],[15]],",",""))+1,1),"")</f>
        <v/>
      </c>
      <c r="AO435">
        <f>IF(Tabela1[[#This Row],[16]]&lt;&gt;"",IF(ISNUMBER(FIND(",",Tabela1[[#This Row],[16]])),LEN(Tabela1[[#This Row],[16]])-LEN(SUBSTITUTE(Tabela1[[#This Row],[16]],",",""))+1,1),"")</f>
        <v>1</v>
      </c>
      <c r="AP435" t="str">
        <f>IF(Tabela1[[#This Row],[17]]&lt;&gt;"",IF(ISNUMBER(FIND(",",Tabela1[[#This Row],[17]])),LEN(Tabela1[[#This Row],[17]])-LEN(SUBSTITUTE(Tabela1[[#This Row],[17]],",",""))+1,1),"")</f>
        <v/>
      </c>
      <c r="AQ435" t="str">
        <f>IF(Tabela1[[#This Row],[18]]&lt;&gt;"",IF(ISNUMBER(FIND(",",Tabela1[[#This Row],[18]])),LEN(Tabela1[[#This Row],[18]])-LEN(SUBSTITUTE(Tabela1[[#This Row],[18]],",",""))+1,1),"")</f>
        <v/>
      </c>
      <c r="AR435" s="13" t="str">
        <f>IF(Tabela1[[#This Row],[19_LENGTH]]&lt;&gt;"",IF(ISNUMBER(FIND(",",Tabela1[[#This Row],[19_LENGTH]])),LEN(Tabela1[[#This Row],[19_LENGTH]])-LEN(SUBSTITUTE(Tabela1[[#This Row],[19_LENGTH]],",",""))+1,1),"")</f>
        <v/>
      </c>
      <c r="AS435" s="21">
        <f>SUM(Tabela1[[#This Row],[1_]:[19_]])</f>
        <v>3</v>
      </c>
    </row>
    <row r="436" spans="1:45" x14ac:dyDescent="0.25">
      <c r="A436" s="27" t="s">
        <v>1325</v>
      </c>
      <c r="B436" s="19" t="s">
        <v>838</v>
      </c>
      <c r="C436" s="19">
        <v>202</v>
      </c>
      <c r="D436" s="19" t="s">
        <v>1298</v>
      </c>
      <c r="E436" s="20">
        <v>43532</v>
      </c>
      <c r="F436" s="19"/>
      <c r="G436" s="19"/>
      <c r="H436" s="19">
        <v>151</v>
      </c>
      <c r="I436" s="19"/>
      <c r="J436" s="19"/>
      <c r="K436" s="19"/>
      <c r="L436" s="19"/>
      <c r="M436" s="19"/>
      <c r="N436" s="19"/>
      <c r="O436" s="19"/>
      <c r="P436" s="19"/>
      <c r="Q436" s="19"/>
      <c r="R436" s="19"/>
      <c r="S436" s="19"/>
      <c r="T436" s="19"/>
      <c r="U436" s="19"/>
      <c r="V436" s="19"/>
      <c r="W436" s="19"/>
      <c r="X436" s="19"/>
      <c r="Y436" s="19"/>
      <c r="Z436" t="str">
        <f>IF(Tabela1[[#This Row],[1]]&lt;&gt;"",IF(ISNUMBER(FIND(",",Tabela1[[#This Row],[1]])),LEN(Tabela1[[#This Row],[1]])-LEN(SUBSTITUTE(Tabela1[[#This Row],[1]],",",""))+1,1),"")</f>
        <v/>
      </c>
      <c r="AA436" t="str">
        <f>IF(Tabela1[[#This Row],[2]]&lt;&gt;"",IF(ISNUMBER(FIND(",",Tabela1[[#This Row],[2]])),LEN(Tabela1[[#This Row],[2]])-LEN(SUBSTITUTE(Tabela1[[#This Row],[2]],",",""))+1,1),"")</f>
        <v/>
      </c>
      <c r="AB436">
        <f>IF(Tabela1[[#This Row],[3]]&lt;&gt;"",IF(ISNUMBER(FIND(",",Tabela1[[#This Row],[3]])),LEN(Tabela1[[#This Row],[3]])-LEN(SUBSTITUTE(Tabela1[[#This Row],[3]],",",""))+1,1),"")</f>
        <v>1</v>
      </c>
      <c r="AC436" t="str">
        <f>IF(Tabela1[[#This Row],[4]]&lt;&gt;"",IF(ISNUMBER(FIND(",",Tabela1[[#This Row],[4]])),LEN(Tabela1[[#This Row],[4]])-LEN(SUBSTITUTE(Tabela1[[#This Row],[4]],",",""))+1,1),"")</f>
        <v/>
      </c>
      <c r="AD436" t="str">
        <f>IF(Tabela1[[#This Row],[5]]&lt;&gt;"",IF(ISNUMBER(FIND(",",Tabela1[[#This Row],[5]])),LEN(Tabela1[[#This Row],[5]])-LEN(SUBSTITUTE(Tabela1[[#This Row],[5]],",",""))+1,1),"")</f>
        <v/>
      </c>
      <c r="AE436" t="str">
        <f>IF(Tabela1[[#This Row],[6]]&lt;&gt;"",IF(ISNUMBER(FIND(",",Tabela1[[#This Row],[6]])),LEN(Tabela1[[#This Row],[6]])-LEN(SUBSTITUTE(Tabela1[[#This Row],[6]],",",""))+1,1),"")</f>
        <v/>
      </c>
      <c r="AF436" t="str">
        <f>IF(Tabela1[[#This Row],[7]]&lt;&gt;"",IF(ISNUMBER(FIND(",",Tabela1[[#This Row],[7]])),LEN(Tabela1[[#This Row],[7]])-LEN(SUBSTITUTE(Tabela1[[#This Row],[7]],",",""))+1,1),"")</f>
        <v/>
      </c>
      <c r="AG436" t="str">
        <f>IF(Tabela1[[#This Row],[8]]&lt;&gt;"",IF(ISNUMBER(FIND(",",Tabela1[[#This Row],[8]])),LEN(Tabela1[[#This Row],[8]])-LEN(SUBSTITUTE(Tabela1[[#This Row],[8]],",",""))+1,1),"")</f>
        <v/>
      </c>
      <c r="AH436" t="str">
        <f>IF(Tabela1[[#This Row],[9]]&lt;&gt;"",IF(ISNUMBER(FIND(",",Tabela1[[#This Row],[9]])),LEN(Tabela1[[#This Row],[9]])-LEN(SUBSTITUTE(Tabela1[[#This Row],[9]],",",""))+1,1),"")</f>
        <v/>
      </c>
      <c r="AI436" t="str">
        <f>IF(Tabela1[[#This Row],[10]]&lt;&gt;"",IF(ISNUMBER(FIND(",",Tabela1[[#This Row],[10]])),LEN(Tabela1[[#This Row],[10]])-LEN(SUBSTITUTE(Tabela1[[#This Row],[10]],",",""))+1,1),"")</f>
        <v/>
      </c>
      <c r="AJ436" t="str">
        <f>IF(Tabela1[[#This Row],[11]]&lt;&gt;"",IF(ISNUMBER(FIND(",",Tabela1[[#This Row],[11]])),LEN(Tabela1[[#This Row],[11]])-LEN(SUBSTITUTE(Tabela1[[#This Row],[11]],",",""))+1,1),"")</f>
        <v/>
      </c>
      <c r="AK436" t="str">
        <f>IF(Tabela1[[#This Row],[12]]&lt;&gt;"",IF(ISNUMBER(FIND(",",Tabela1[[#This Row],[12]])),LEN(Tabela1[[#This Row],[12]])-LEN(SUBSTITUTE(Tabela1[[#This Row],[12]],",",""))+1,1),"")</f>
        <v/>
      </c>
      <c r="AL436" t="str">
        <f>IF(Tabela1[[#This Row],[13]]&lt;&gt;"",IF(ISNUMBER(FIND(",",Tabela1[[#This Row],[13]])),LEN(Tabela1[[#This Row],[13]])-LEN(SUBSTITUTE(Tabela1[[#This Row],[13]],",",""))+1,1),"")</f>
        <v/>
      </c>
      <c r="AM436" t="str">
        <f>IF(Tabela1[[#This Row],[14]]&lt;&gt;"",IF(ISNUMBER(FIND(",",Tabela1[[#This Row],[14]])),LEN(Tabela1[[#This Row],[14]])-LEN(SUBSTITUTE(Tabela1[[#This Row],[14]],",",""))+1,1),"")</f>
        <v/>
      </c>
      <c r="AN436" t="str">
        <f>IF(Tabela1[[#This Row],[15]]&lt;&gt;"",IF(ISNUMBER(FIND(",",Tabela1[[#This Row],[15]])),LEN(Tabela1[[#This Row],[15]])-LEN(SUBSTITUTE(Tabela1[[#This Row],[15]],",",""))+1,1),"")</f>
        <v/>
      </c>
      <c r="AO436" t="str">
        <f>IF(Tabela1[[#This Row],[16]]&lt;&gt;"",IF(ISNUMBER(FIND(",",Tabela1[[#This Row],[16]])),LEN(Tabela1[[#This Row],[16]])-LEN(SUBSTITUTE(Tabela1[[#This Row],[16]],",",""))+1,1),"")</f>
        <v/>
      </c>
      <c r="AP436" t="str">
        <f>IF(Tabela1[[#This Row],[17]]&lt;&gt;"",IF(ISNUMBER(FIND(",",Tabela1[[#This Row],[17]])),LEN(Tabela1[[#This Row],[17]])-LEN(SUBSTITUTE(Tabela1[[#This Row],[17]],",",""))+1,1),"")</f>
        <v/>
      </c>
      <c r="AQ436" t="str">
        <f>IF(Tabela1[[#This Row],[18]]&lt;&gt;"",IF(ISNUMBER(FIND(",",Tabela1[[#This Row],[18]])),LEN(Tabela1[[#This Row],[18]])-LEN(SUBSTITUTE(Tabela1[[#This Row],[18]],",",""))+1,1),"")</f>
        <v/>
      </c>
      <c r="AR436" s="13" t="str">
        <f>IF(Tabela1[[#This Row],[19_LENGTH]]&lt;&gt;"",IF(ISNUMBER(FIND(",",Tabela1[[#This Row],[19_LENGTH]])),LEN(Tabela1[[#This Row],[19_LENGTH]])-LEN(SUBSTITUTE(Tabela1[[#This Row],[19_LENGTH]],",",""))+1,1),"")</f>
        <v/>
      </c>
      <c r="AS436" s="21">
        <f>SUM(Tabela1[[#This Row],[1_]:[19_]])</f>
        <v>1</v>
      </c>
    </row>
    <row r="437" spans="1:45" x14ac:dyDescent="0.25">
      <c r="A437" s="27" t="s">
        <v>1325</v>
      </c>
      <c r="B437" s="19" t="s">
        <v>839</v>
      </c>
      <c r="C437" s="19">
        <v>206</v>
      </c>
      <c r="D437" s="19" t="s">
        <v>1296</v>
      </c>
      <c r="E437" s="20">
        <v>43531</v>
      </c>
      <c r="F437" s="19"/>
      <c r="G437" s="19"/>
      <c r="H437" s="19"/>
      <c r="I437" s="19"/>
      <c r="J437" s="19"/>
      <c r="K437" s="19"/>
      <c r="L437" s="19"/>
      <c r="M437" s="19"/>
      <c r="N437" s="19"/>
      <c r="O437" s="19"/>
      <c r="P437" s="19"/>
      <c r="Q437" s="19"/>
      <c r="R437" s="19"/>
      <c r="S437" s="19"/>
      <c r="T437" s="19"/>
      <c r="U437" s="19">
        <v>187</v>
      </c>
      <c r="V437" s="19"/>
      <c r="W437" s="19"/>
      <c r="X437" s="19"/>
      <c r="Y437" s="19"/>
      <c r="Z437" t="str">
        <f>IF(Tabela1[[#This Row],[1]]&lt;&gt;"",IF(ISNUMBER(FIND(",",Tabela1[[#This Row],[1]])),LEN(Tabela1[[#This Row],[1]])-LEN(SUBSTITUTE(Tabela1[[#This Row],[1]],",",""))+1,1),"")</f>
        <v/>
      </c>
      <c r="AA437" t="str">
        <f>IF(Tabela1[[#This Row],[2]]&lt;&gt;"",IF(ISNUMBER(FIND(",",Tabela1[[#This Row],[2]])),LEN(Tabela1[[#This Row],[2]])-LEN(SUBSTITUTE(Tabela1[[#This Row],[2]],",",""))+1,1),"")</f>
        <v/>
      </c>
      <c r="AB437" t="str">
        <f>IF(Tabela1[[#This Row],[3]]&lt;&gt;"",IF(ISNUMBER(FIND(",",Tabela1[[#This Row],[3]])),LEN(Tabela1[[#This Row],[3]])-LEN(SUBSTITUTE(Tabela1[[#This Row],[3]],",",""))+1,1),"")</f>
        <v/>
      </c>
      <c r="AC437" t="str">
        <f>IF(Tabela1[[#This Row],[4]]&lt;&gt;"",IF(ISNUMBER(FIND(",",Tabela1[[#This Row],[4]])),LEN(Tabela1[[#This Row],[4]])-LEN(SUBSTITUTE(Tabela1[[#This Row],[4]],",",""))+1,1),"")</f>
        <v/>
      </c>
      <c r="AD437" t="str">
        <f>IF(Tabela1[[#This Row],[5]]&lt;&gt;"",IF(ISNUMBER(FIND(",",Tabela1[[#This Row],[5]])),LEN(Tabela1[[#This Row],[5]])-LEN(SUBSTITUTE(Tabela1[[#This Row],[5]],",",""))+1,1),"")</f>
        <v/>
      </c>
      <c r="AE437" t="str">
        <f>IF(Tabela1[[#This Row],[6]]&lt;&gt;"",IF(ISNUMBER(FIND(",",Tabela1[[#This Row],[6]])),LEN(Tabela1[[#This Row],[6]])-LEN(SUBSTITUTE(Tabela1[[#This Row],[6]],",",""))+1,1),"")</f>
        <v/>
      </c>
      <c r="AF437" t="str">
        <f>IF(Tabela1[[#This Row],[7]]&lt;&gt;"",IF(ISNUMBER(FIND(",",Tabela1[[#This Row],[7]])),LEN(Tabela1[[#This Row],[7]])-LEN(SUBSTITUTE(Tabela1[[#This Row],[7]],",",""))+1,1),"")</f>
        <v/>
      </c>
      <c r="AG437" t="str">
        <f>IF(Tabela1[[#This Row],[8]]&lt;&gt;"",IF(ISNUMBER(FIND(",",Tabela1[[#This Row],[8]])),LEN(Tabela1[[#This Row],[8]])-LEN(SUBSTITUTE(Tabela1[[#This Row],[8]],",",""))+1,1),"")</f>
        <v/>
      </c>
      <c r="AH437" t="str">
        <f>IF(Tabela1[[#This Row],[9]]&lt;&gt;"",IF(ISNUMBER(FIND(",",Tabela1[[#This Row],[9]])),LEN(Tabela1[[#This Row],[9]])-LEN(SUBSTITUTE(Tabela1[[#This Row],[9]],",",""))+1,1),"")</f>
        <v/>
      </c>
      <c r="AI437" t="str">
        <f>IF(Tabela1[[#This Row],[10]]&lt;&gt;"",IF(ISNUMBER(FIND(",",Tabela1[[#This Row],[10]])),LEN(Tabela1[[#This Row],[10]])-LEN(SUBSTITUTE(Tabela1[[#This Row],[10]],",",""))+1,1),"")</f>
        <v/>
      </c>
      <c r="AJ437" t="str">
        <f>IF(Tabela1[[#This Row],[11]]&lt;&gt;"",IF(ISNUMBER(FIND(",",Tabela1[[#This Row],[11]])),LEN(Tabela1[[#This Row],[11]])-LEN(SUBSTITUTE(Tabela1[[#This Row],[11]],",",""))+1,1),"")</f>
        <v/>
      </c>
      <c r="AK437" t="str">
        <f>IF(Tabela1[[#This Row],[12]]&lt;&gt;"",IF(ISNUMBER(FIND(",",Tabela1[[#This Row],[12]])),LEN(Tabela1[[#This Row],[12]])-LEN(SUBSTITUTE(Tabela1[[#This Row],[12]],",",""))+1,1),"")</f>
        <v/>
      </c>
      <c r="AL437" t="str">
        <f>IF(Tabela1[[#This Row],[13]]&lt;&gt;"",IF(ISNUMBER(FIND(",",Tabela1[[#This Row],[13]])),LEN(Tabela1[[#This Row],[13]])-LEN(SUBSTITUTE(Tabela1[[#This Row],[13]],",",""))+1,1),"")</f>
        <v/>
      </c>
      <c r="AM437" t="str">
        <f>IF(Tabela1[[#This Row],[14]]&lt;&gt;"",IF(ISNUMBER(FIND(",",Tabela1[[#This Row],[14]])),LEN(Tabela1[[#This Row],[14]])-LEN(SUBSTITUTE(Tabela1[[#This Row],[14]],",",""))+1,1),"")</f>
        <v/>
      </c>
      <c r="AN437" t="str">
        <f>IF(Tabela1[[#This Row],[15]]&lt;&gt;"",IF(ISNUMBER(FIND(",",Tabela1[[#This Row],[15]])),LEN(Tabela1[[#This Row],[15]])-LEN(SUBSTITUTE(Tabela1[[#This Row],[15]],",",""))+1,1),"")</f>
        <v/>
      </c>
      <c r="AO437">
        <f>IF(Tabela1[[#This Row],[16]]&lt;&gt;"",IF(ISNUMBER(FIND(",",Tabela1[[#This Row],[16]])),LEN(Tabela1[[#This Row],[16]])-LEN(SUBSTITUTE(Tabela1[[#This Row],[16]],",",""))+1,1),"")</f>
        <v>1</v>
      </c>
      <c r="AP437" t="str">
        <f>IF(Tabela1[[#This Row],[17]]&lt;&gt;"",IF(ISNUMBER(FIND(",",Tabela1[[#This Row],[17]])),LEN(Tabela1[[#This Row],[17]])-LEN(SUBSTITUTE(Tabela1[[#This Row],[17]],",",""))+1,1),"")</f>
        <v/>
      </c>
      <c r="AQ437" t="str">
        <f>IF(Tabela1[[#This Row],[18]]&lt;&gt;"",IF(ISNUMBER(FIND(",",Tabela1[[#This Row],[18]])),LEN(Tabela1[[#This Row],[18]])-LEN(SUBSTITUTE(Tabela1[[#This Row],[18]],",",""))+1,1),"")</f>
        <v/>
      </c>
      <c r="AR437" s="13" t="str">
        <f>IF(Tabela1[[#This Row],[19_LENGTH]]&lt;&gt;"",IF(ISNUMBER(FIND(",",Tabela1[[#This Row],[19_LENGTH]])),LEN(Tabela1[[#This Row],[19_LENGTH]])-LEN(SUBSTITUTE(Tabela1[[#This Row],[19_LENGTH]],",",""))+1,1),"")</f>
        <v/>
      </c>
      <c r="AS437" s="21">
        <f>SUM(Tabela1[[#This Row],[1_]:[19_]])</f>
        <v>1</v>
      </c>
    </row>
    <row r="438" spans="1:45" x14ac:dyDescent="0.25">
      <c r="A438" s="27" t="s">
        <v>1325</v>
      </c>
      <c r="B438" s="19" t="s">
        <v>840</v>
      </c>
      <c r="C438" s="19">
        <v>202</v>
      </c>
      <c r="D438" s="19" t="s">
        <v>1296</v>
      </c>
      <c r="E438" s="20">
        <v>43531</v>
      </c>
      <c r="F438" s="19"/>
      <c r="G438" s="19"/>
      <c r="H438" s="19"/>
      <c r="I438" s="19"/>
      <c r="J438" s="19">
        <v>136</v>
      </c>
      <c r="K438" s="19"/>
      <c r="L438" s="19"/>
      <c r="M438" s="19"/>
      <c r="N438" s="19"/>
      <c r="O438" s="19"/>
      <c r="P438" s="19"/>
      <c r="Q438" s="19"/>
      <c r="R438" s="19"/>
      <c r="S438" s="19"/>
      <c r="T438" s="19"/>
      <c r="U438" s="19" t="s">
        <v>184</v>
      </c>
      <c r="V438" s="19"/>
      <c r="W438" s="19"/>
      <c r="X438" s="19"/>
      <c r="Y438" s="19"/>
      <c r="Z438" t="str">
        <f>IF(Tabela1[[#This Row],[1]]&lt;&gt;"",IF(ISNUMBER(FIND(",",Tabela1[[#This Row],[1]])),LEN(Tabela1[[#This Row],[1]])-LEN(SUBSTITUTE(Tabela1[[#This Row],[1]],",",""))+1,1),"")</f>
        <v/>
      </c>
      <c r="AA438" t="str">
        <f>IF(Tabela1[[#This Row],[2]]&lt;&gt;"",IF(ISNUMBER(FIND(",",Tabela1[[#This Row],[2]])),LEN(Tabela1[[#This Row],[2]])-LEN(SUBSTITUTE(Tabela1[[#This Row],[2]],",",""))+1,1),"")</f>
        <v/>
      </c>
      <c r="AB438" t="str">
        <f>IF(Tabela1[[#This Row],[3]]&lt;&gt;"",IF(ISNUMBER(FIND(",",Tabela1[[#This Row],[3]])),LEN(Tabela1[[#This Row],[3]])-LEN(SUBSTITUTE(Tabela1[[#This Row],[3]],",",""))+1,1),"")</f>
        <v/>
      </c>
      <c r="AC438" t="str">
        <f>IF(Tabela1[[#This Row],[4]]&lt;&gt;"",IF(ISNUMBER(FIND(",",Tabela1[[#This Row],[4]])),LEN(Tabela1[[#This Row],[4]])-LEN(SUBSTITUTE(Tabela1[[#This Row],[4]],",",""))+1,1),"")</f>
        <v/>
      </c>
      <c r="AD438">
        <f>IF(Tabela1[[#This Row],[5]]&lt;&gt;"",IF(ISNUMBER(FIND(",",Tabela1[[#This Row],[5]])),LEN(Tabela1[[#This Row],[5]])-LEN(SUBSTITUTE(Tabela1[[#This Row],[5]],",",""))+1,1),"")</f>
        <v>1</v>
      </c>
      <c r="AE438" t="str">
        <f>IF(Tabela1[[#This Row],[6]]&lt;&gt;"",IF(ISNUMBER(FIND(",",Tabela1[[#This Row],[6]])),LEN(Tabela1[[#This Row],[6]])-LEN(SUBSTITUTE(Tabela1[[#This Row],[6]],",",""))+1,1),"")</f>
        <v/>
      </c>
      <c r="AF438" t="str">
        <f>IF(Tabela1[[#This Row],[7]]&lt;&gt;"",IF(ISNUMBER(FIND(",",Tabela1[[#This Row],[7]])),LEN(Tabela1[[#This Row],[7]])-LEN(SUBSTITUTE(Tabela1[[#This Row],[7]],",",""))+1,1),"")</f>
        <v/>
      </c>
      <c r="AG438" t="str">
        <f>IF(Tabela1[[#This Row],[8]]&lt;&gt;"",IF(ISNUMBER(FIND(",",Tabela1[[#This Row],[8]])),LEN(Tabela1[[#This Row],[8]])-LEN(SUBSTITUTE(Tabela1[[#This Row],[8]],",",""))+1,1),"")</f>
        <v/>
      </c>
      <c r="AH438" t="str">
        <f>IF(Tabela1[[#This Row],[9]]&lt;&gt;"",IF(ISNUMBER(FIND(",",Tabela1[[#This Row],[9]])),LEN(Tabela1[[#This Row],[9]])-LEN(SUBSTITUTE(Tabela1[[#This Row],[9]],",",""))+1,1),"")</f>
        <v/>
      </c>
      <c r="AI438" t="str">
        <f>IF(Tabela1[[#This Row],[10]]&lt;&gt;"",IF(ISNUMBER(FIND(",",Tabela1[[#This Row],[10]])),LEN(Tabela1[[#This Row],[10]])-LEN(SUBSTITUTE(Tabela1[[#This Row],[10]],",",""))+1,1),"")</f>
        <v/>
      </c>
      <c r="AJ438" t="str">
        <f>IF(Tabela1[[#This Row],[11]]&lt;&gt;"",IF(ISNUMBER(FIND(",",Tabela1[[#This Row],[11]])),LEN(Tabela1[[#This Row],[11]])-LEN(SUBSTITUTE(Tabela1[[#This Row],[11]],",",""))+1,1),"")</f>
        <v/>
      </c>
      <c r="AK438" t="str">
        <f>IF(Tabela1[[#This Row],[12]]&lt;&gt;"",IF(ISNUMBER(FIND(",",Tabela1[[#This Row],[12]])),LEN(Tabela1[[#This Row],[12]])-LEN(SUBSTITUTE(Tabela1[[#This Row],[12]],",",""))+1,1),"")</f>
        <v/>
      </c>
      <c r="AL438" t="str">
        <f>IF(Tabela1[[#This Row],[13]]&lt;&gt;"",IF(ISNUMBER(FIND(",",Tabela1[[#This Row],[13]])),LEN(Tabela1[[#This Row],[13]])-LEN(SUBSTITUTE(Tabela1[[#This Row],[13]],",",""))+1,1),"")</f>
        <v/>
      </c>
      <c r="AM438" t="str">
        <f>IF(Tabela1[[#This Row],[14]]&lt;&gt;"",IF(ISNUMBER(FIND(",",Tabela1[[#This Row],[14]])),LEN(Tabela1[[#This Row],[14]])-LEN(SUBSTITUTE(Tabela1[[#This Row],[14]],",",""))+1,1),"")</f>
        <v/>
      </c>
      <c r="AN438" t="str">
        <f>IF(Tabela1[[#This Row],[15]]&lt;&gt;"",IF(ISNUMBER(FIND(",",Tabela1[[#This Row],[15]])),LEN(Tabela1[[#This Row],[15]])-LEN(SUBSTITUTE(Tabela1[[#This Row],[15]],",",""))+1,1),"")</f>
        <v/>
      </c>
      <c r="AO438">
        <f>IF(Tabela1[[#This Row],[16]]&lt;&gt;"",IF(ISNUMBER(FIND(",",Tabela1[[#This Row],[16]])),LEN(Tabela1[[#This Row],[16]])-LEN(SUBSTITUTE(Tabela1[[#This Row],[16]],",",""))+1,1),"")</f>
        <v>2</v>
      </c>
      <c r="AP438" t="str">
        <f>IF(Tabela1[[#This Row],[17]]&lt;&gt;"",IF(ISNUMBER(FIND(",",Tabela1[[#This Row],[17]])),LEN(Tabela1[[#This Row],[17]])-LEN(SUBSTITUTE(Tabela1[[#This Row],[17]],",",""))+1,1),"")</f>
        <v/>
      </c>
      <c r="AQ438" t="str">
        <f>IF(Tabela1[[#This Row],[18]]&lt;&gt;"",IF(ISNUMBER(FIND(",",Tabela1[[#This Row],[18]])),LEN(Tabela1[[#This Row],[18]])-LEN(SUBSTITUTE(Tabela1[[#This Row],[18]],",",""))+1,1),"")</f>
        <v/>
      </c>
      <c r="AR438" s="13" t="str">
        <f>IF(Tabela1[[#This Row],[19_LENGTH]]&lt;&gt;"",IF(ISNUMBER(FIND(",",Tabela1[[#This Row],[19_LENGTH]])),LEN(Tabela1[[#This Row],[19_LENGTH]])-LEN(SUBSTITUTE(Tabela1[[#This Row],[19_LENGTH]],",",""))+1,1),"")</f>
        <v/>
      </c>
      <c r="AS438" s="21">
        <f>SUM(Tabela1[[#This Row],[1_]:[19_]])</f>
        <v>3</v>
      </c>
    </row>
    <row r="439" spans="1:45" x14ac:dyDescent="0.25">
      <c r="A439" s="27" t="s">
        <v>1325</v>
      </c>
      <c r="B439" s="19" t="s">
        <v>841</v>
      </c>
      <c r="C439" s="19">
        <v>198</v>
      </c>
      <c r="D439" s="19" t="s">
        <v>1315</v>
      </c>
      <c r="E439" s="20">
        <v>43531</v>
      </c>
      <c r="F439" s="19"/>
      <c r="G439" s="19"/>
      <c r="H439" s="19"/>
      <c r="I439" s="19">
        <v>16</v>
      </c>
      <c r="J439" s="19"/>
      <c r="K439" s="19"/>
      <c r="L439" s="19"/>
      <c r="M439" s="19"/>
      <c r="N439" s="19"/>
      <c r="O439" s="19"/>
      <c r="P439" s="19"/>
      <c r="Q439" s="19"/>
      <c r="R439" s="19">
        <v>41</v>
      </c>
      <c r="S439" s="19"/>
      <c r="T439" s="19"/>
      <c r="U439" s="19"/>
      <c r="V439" s="19"/>
      <c r="W439" s="19"/>
      <c r="X439" s="19"/>
      <c r="Y439" s="19"/>
      <c r="Z439" t="str">
        <f>IF(Tabela1[[#This Row],[1]]&lt;&gt;"",IF(ISNUMBER(FIND(",",Tabela1[[#This Row],[1]])),LEN(Tabela1[[#This Row],[1]])-LEN(SUBSTITUTE(Tabela1[[#This Row],[1]],",",""))+1,1),"")</f>
        <v/>
      </c>
      <c r="AA439" t="str">
        <f>IF(Tabela1[[#This Row],[2]]&lt;&gt;"",IF(ISNUMBER(FIND(",",Tabela1[[#This Row],[2]])),LEN(Tabela1[[#This Row],[2]])-LEN(SUBSTITUTE(Tabela1[[#This Row],[2]],",",""))+1,1),"")</f>
        <v/>
      </c>
      <c r="AB439" t="str">
        <f>IF(Tabela1[[#This Row],[3]]&lt;&gt;"",IF(ISNUMBER(FIND(",",Tabela1[[#This Row],[3]])),LEN(Tabela1[[#This Row],[3]])-LEN(SUBSTITUTE(Tabela1[[#This Row],[3]],",",""))+1,1),"")</f>
        <v/>
      </c>
      <c r="AC439">
        <f>IF(Tabela1[[#This Row],[4]]&lt;&gt;"",IF(ISNUMBER(FIND(",",Tabela1[[#This Row],[4]])),LEN(Tabela1[[#This Row],[4]])-LEN(SUBSTITUTE(Tabela1[[#This Row],[4]],",",""))+1,1),"")</f>
        <v>1</v>
      </c>
      <c r="AD439" t="str">
        <f>IF(Tabela1[[#This Row],[5]]&lt;&gt;"",IF(ISNUMBER(FIND(",",Tabela1[[#This Row],[5]])),LEN(Tabela1[[#This Row],[5]])-LEN(SUBSTITUTE(Tabela1[[#This Row],[5]],",",""))+1,1),"")</f>
        <v/>
      </c>
      <c r="AE439" t="str">
        <f>IF(Tabela1[[#This Row],[6]]&lt;&gt;"",IF(ISNUMBER(FIND(",",Tabela1[[#This Row],[6]])),LEN(Tabela1[[#This Row],[6]])-LEN(SUBSTITUTE(Tabela1[[#This Row],[6]],",",""))+1,1),"")</f>
        <v/>
      </c>
      <c r="AF439" t="str">
        <f>IF(Tabela1[[#This Row],[7]]&lt;&gt;"",IF(ISNUMBER(FIND(",",Tabela1[[#This Row],[7]])),LEN(Tabela1[[#This Row],[7]])-LEN(SUBSTITUTE(Tabela1[[#This Row],[7]],",",""))+1,1),"")</f>
        <v/>
      </c>
      <c r="AG439" t="str">
        <f>IF(Tabela1[[#This Row],[8]]&lt;&gt;"",IF(ISNUMBER(FIND(",",Tabela1[[#This Row],[8]])),LEN(Tabela1[[#This Row],[8]])-LEN(SUBSTITUTE(Tabela1[[#This Row],[8]],",",""))+1,1),"")</f>
        <v/>
      </c>
      <c r="AH439" t="str">
        <f>IF(Tabela1[[#This Row],[9]]&lt;&gt;"",IF(ISNUMBER(FIND(",",Tabela1[[#This Row],[9]])),LEN(Tabela1[[#This Row],[9]])-LEN(SUBSTITUTE(Tabela1[[#This Row],[9]],",",""))+1,1),"")</f>
        <v/>
      </c>
      <c r="AI439" t="str">
        <f>IF(Tabela1[[#This Row],[10]]&lt;&gt;"",IF(ISNUMBER(FIND(",",Tabela1[[#This Row],[10]])),LEN(Tabela1[[#This Row],[10]])-LEN(SUBSTITUTE(Tabela1[[#This Row],[10]],",",""))+1,1),"")</f>
        <v/>
      </c>
      <c r="AJ439" t="str">
        <f>IF(Tabela1[[#This Row],[11]]&lt;&gt;"",IF(ISNUMBER(FIND(",",Tabela1[[#This Row],[11]])),LEN(Tabela1[[#This Row],[11]])-LEN(SUBSTITUTE(Tabela1[[#This Row],[11]],",",""))+1,1),"")</f>
        <v/>
      </c>
      <c r="AK439" t="str">
        <f>IF(Tabela1[[#This Row],[12]]&lt;&gt;"",IF(ISNUMBER(FIND(",",Tabela1[[#This Row],[12]])),LEN(Tabela1[[#This Row],[12]])-LEN(SUBSTITUTE(Tabela1[[#This Row],[12]],",",""))+1,1),"")</f>
        <v/>
      </c>
      <c r="AL439">
        <f>IF(Tabela1[[#This Row],[13]]&lt;&gt;"",IF(ISNUMBER(FIND(",",Tabela1[[#This Row],[13]])),LEN(Tabela1[[#This Row],[13]])-LEN(SUBSTITUTE(Tabela1[[#This Row],[13]],",",""))+1,1),"")</f>
        <v>1</v>
      </c>
      <c r="AM439" t="str">
        <f>IF(Tabela1[[#This Row],[14]]&lt;&gt;"",IF(ISNUMBER(FIND(",",Tabela1[[#This Row],[14]])),LEN(Tabela1[[#This Row],[14]])-LEN(SUBSTITUTE(Tabela1[[#This Row],[14]],",",""))+1,1),"")</f>
        <v/>
      </c>
      <c r="AN439" t="str">
        <f>IF(Tabela1[[#This Row],[15]]&lt;&gt;"",IF(ISNUMBER(FIND(",",Tabela1[[#This Row],[15]])),LEN(Tabela1[[#This Row],[15]])-LEN(SUBSTITUTE(Tabela1[[#This Row],[15]],",",""))+1,1),"")</f>
        <v/>
      </c>
      <c r="AO439" t="str">
        <f>IF(Tabela1[[#This Row],[16]]&lt;&gt;"",IF(ISNUMBER(FIND(",",Tabela1[[#This Row],[16]])),LEN(Tabela1[[#This Row],[16]])-LEN(SUBSTITUTE(Tabela1[[#This Row],[16]],",",""))+1,1),"")</f>
        <v/>
      </c>
      <c r="AP439" t="str">
        <f>IF(Tabela1[[#This Row],[17]]&lt;&gt;"",IF(ISNUMBER(FIND(",",Tabela1[[#This Row],[17]])),LEN(Tabela1[[#This Row],[17]])-LEN(SUBSTITUTE(Tabela1[[#This Row],[17]],",",""))+1,1),"")</f>
        <v/>
      </c>
      <c r="AQ439" t="str">
        <f>IF(Tabela1[[#This Row],[18]]&lt;&gt;"",IF(ISNUMBER(FIND(",",Tabela1[[#This Row],[18]])),LEN(Tabela1[[#This Row],[18]])-LEN(SUBSTITUTE(Tabela1[[#This Row],[18]],",",""))+1,1),"")</f>
        <v/>
      </c>
      <c r="AR439" s="13" t="str">
        <f>IF(Tabela1[[#This Row],[19_LENGTH]]&lt;&gt;"",IF(ISNUMBER(FIND(",",Tabela1[[#This Row],[19_LENGTH]])),LEN(Tabela1[[#This Row],[19_LENGTH]])-LEN(SUBSTITUTE(Tabela1[[#This Row],[19_LENGTH]],",",""))+1,1),"")</f>
        <v/>
      </c>
      <c r="AS439" s="21">
        <f>SUM(Tabela1[[#This Row],[1_]:[19_]])</f>
        <v>2</v>
      </c>
    </row>
    <row r="440" spans="1:45" x14ac:dyDescent="0.25">
      <c r="A440" s="27" t="s">
        <v>1325</v>
      </c>
      <c r="B440" s="19" t="s">
        <v>842</v>
      </c>
      <c r="C440" s="19">
        <v>202</v>
      </c>
      <c r="D440" s="19" t="s">
        <v>1315</v>
      </c>
      <c r="E440" s="20">
        <v>43531</v>
      </c>
      <c r="F440" s="19"/>
      <c r="G440" s="19"/>
      <c r="H440" s="19"/>
      <c r="I440" s="19">
        <v>186</v>
      </c>
      <c r="J440" s="19">
        <v>117</v>
      </c>
      <c r="K440" s="19"/>
      <c r="L440" s="19"/>
      <c r="M440" s="19"/>
      <c r="N440" s="19"/>
      <c r="O440" s="19"/>
      <c r="P440" s="19"/>
      <c r="Q440" s="19"/>
      <c r="R440" s="19"/>
      <c r="S440" s="19"/>
      <c r="T440" s="19"/>
      <c r="U440" s="19"/>
      <c r="V440" s="19"/>
      <c r="W440" s="19"/>
      <c r="X440" s="19"/>
      <c r="Y440" s="19"/>
      <c r="Z440" t="str">
        <f>IF(Tabela1[[#This Row],[1]]&lt;&gt;"",IF(ISNUMBER(FIND(",",Tabela1[[#This Row],[1]])),LEN(Tabela1[[#This Row],[1]])-LEN(SUBSTITUTE(Tabela1[[#This Row],[1]],",",""))+1,1),"")</f>
        <v/>
      </c>
      <c r="AA440" t="str">
        <f>IF(Tabela1[[#This Row],[2]]&lt;&gt;"",IF(ISNUMBER(FIND(",",Tabela1[[#This Row],[2]])),LEN(Tabela1[[#This Row],[2]])-LEN(SUBSTITUTE(Tabela1[[#This Row],[2]],",",""))+1,1),"")</f>
        <v/>
      </c>
      <c r="AB440" t="str">
        <f>IF(Tabela1[[#This Row],[3]]&lt;&gt;"",IF(ISNUMBER(FIND(",",Tabela1[[#This Row],[3]])),LEN(Tabela1[[#This Row],[3]])-LEN(SUBSTITUTE(Tabela1[[#This Row],[3]],",",""))+1,1),"")</f>
        <v/>
      </c>
      <c r="AC440">
        <f>IF(Tabela1[[#This Row],[4]]&lt;&gt;"",IF(ISNUMBER(FIND(",",Tabela1[[#This Row],[4]])),LEN(Tabela1[[#This Row],[4]])-LEN(SUBSTITUTE(Tabela1[[#This Row],[4]],",",""))+1,1),"")</f>
        <v>1</v>
      </c>
      <c r="AD440">
        <f>IF(Tabela1[[#This Row],[5]]&lt;&gt;"",IF(ISNUMBER(FIND(",",Tabela1[[#This Row],[5]])),LEN(Tabela1[[#This Row],[5]])-LEN(SUBSTITUTE(Tabela1[[#This Row],[5]],",",""))+1,1),"")</f>
        <v>1</v>
      </c>
      <c r="AE440" t="str">
        <f>IF(Tabela1[[#This Row],[6]]&lt;&gt;"",IF(ISNUMBER(FIND(",",Tabela1[[#This Row],[6]])),LEN(Tabela1[[#This Row],[6]])-LEN(SUBSTITUTE(Tabela1[[#This Row],[6]],",",""))+1,1),"")</f>
        <v/>
      </c>
      <c r="AF440" t="str">
        <f>IF(Tabela1[[#This Row],[7]]&lt;&gt;"",IF(ISNUMBER(FIND(",",Tabela1[[#This Row],[7]])),LEN(Tabela1[[#This Row],[7]])-LEN(SUBSTITUTE(Tabela1[[#This Row],[7]],",",""))+1,1),"")</f>
        <v/>
      </c>
      <c r="AG440" t="str">
        <f>IF(Tabela1[[#This Row],[8]]&lt;&gt;"",IF(ISNUMBER(FIND(",",Tabela1[[#This Row],[8]])),LEN(Tabela1[[#This Row],[8]])-LEN(SUBSTITUTE(Tabela1[[#This Row],[8]],",",""))+1,1),"")</f>
        <v/>
      </c>
      <c r="AH440" t="str">
        <f>IF(Tabela1[[#This Row],[9]]&lt;&gt;"",IF(ISNUMBER(FIND(",",Tabela1[[#This Row],[9]])),LEN(Tabela1[[#This Row],[9]])-LEN(SUBSTITUTE(Tabela1[[#This Row],[9]],",",""))+1,1),"")</f>
        <v/>
      </c>
      <c r="AI440" t="str">
        <f>IF(Tabela1[[#This Row],[10]]&lt;&gt;"",IF(ISNUMBER(FIND(",",Tabela1[[#This Row],[10]])),LEN(Tabela1[[#This Row],[10]])-LEN(SUBSTITUTE(Tabela1[[#This Row],[10]],",",""))+1,1),"")</f>
        <v/>
      </c>
      <c r="AJ440" t="str">
        <f>IF(Tabela1[[#This Row],[11]]&lt;&gt;"",IF(ISNUMBER(FIND(",",Tabela1[[#This Row],[11]])),LEN(Tabela1[[#This Row],[11]])-LEN(SUBSTITUTE(Tabela1[[#This Row],[11]],",",""))+1,1),"")</f>
        <v/>
      </c>
      <c r="AK440" t="str">
        <f>IF(Tabela1[[#This Row],[12]]&lt;&gt;"",IF(ISNUMBER(FIND(",",Tabela1[[#This Row],[12]])),LEN(Tabela1[[#This Row],[12]])-LEN(SUBSTITUTE(Tabela1[[#This Row],[12]],",",""))+1,1),"")</f>
        <v/>
      </c>
      <c r="AL440" t="str">
        <f>IF(Tabela1[[#This Row],[13]]&lt;&gt;"",IF(ISNUMBER(FIND(",",Tabela1[[#This Row],[13]])),LEN(Tabela1[[#This Row],[13]])-LEN(SUBSTITUTE(Tabela1[[#This Row],[13]],",",""))+1,1),"")</f>
        <v/>
      </c>
      <c r="AM440" t="str">
        <f>IF(Tabela1[[#This Row],[14]]&lt;&gt;"",IF(ISNUMBER(FIND(",",Tabela1[[#This Row],[14]])),LEN(Tabela1[[#This Row],[14]])-LEN(SUBSTITUTE(Tabela1[[#This Row],[14]],",",""))+1,1),"")</f>
        <v/>
      </c>
      <c r="AN440" t="str">
        <f>IF(Tabela1[[#This Row],[15]]&lt;&gt;"",IF(ISNUMBER(FIND(",",Tabela1[[#This Row],[15]])),LEN(Tabela1[[#This Row],[15]])-LEN(SUBSTITUTE(Tabela1[[#This Row],[15]],",",""))+1,1),"")</f>
        <v/>
      </c>
      <c r="AO440" t="str">
        <f>IF(Tabela1[[#This Row],[16]]&lt;&gt;"",IF(ISNUMBER(FIND(",",Tabela1[[#This Row],[16]])),LEN(Tabela1[[#This Row],[16]])-LEN(SUBSTITUTE(Tabela1[[#This Row],[16]],",",""))+1,1),"")</f>
        <v/>
      </c>
      <c r="AP440" t="str">
        <f>IF(Tabela1[[#This Row],[17]]&lt;&gt;"",IF(ISNUMBER(FIND(",",Tabela1[[#This Row],[17]])),LEN(Tabela1[[#This Row],[17]])-LEN(SUBSTITUTE(Tabela1[[#This Row],[17]],",",""))+1,1),"")</f>
        <v/>
      </c>
      <c r="AQ440" t="str">
        <f>IF(Tabela1[[#This Row],[18]]&lt;&gt;"",IF(ISNUMBER(FIND(",",Tabela1[[#This Row],[18]])),LEN(Tabela1[[#This Row],[18]])-LEN(SUBSTITUTE(Tabela1[[#This Row],[18]],",",""))+1,1),"")</f>
        <v/>
      </c>
      <c r="AR440" s="13" t="str">
        <f>IF(Tabela1[[#This Row],[19_LENGTH]]&lt;&gt;"",IF(ISNUMBER(FIND(",",Tabela1[[#This Row],[19_LENGTH]])),LEN(Tabela1[[#This Row],[19_LENGTH]])-LEN(SUBSTITUTE(Tabela1[[#This Row],[19_LENGTH]],",",""))+1,1),"")</f>
        <v/>
      </c>
      <c r="AS440" s="21">
        <f>SUM(Tabela1[[#This Row],[1_]:[19_]])</f>
        <v>2</v>
      </c>
    </row>
    <row r="441" spans="1:45" x14ac:dyDescent="0.25">
      <c r="A441" s="27" t="s">
        <v>1325</v>
      </c>
      <c r="B441" s="19" t="s">
        <v>843</v>
      </c>
      <c r="C441" s="19">
        <v>202</v>
      </c>
      <c r="D441" s="19" t="s">
        <v>1315</v>
      </c>
      <c r="E441" s="20">
        <v>43531</v>
      </c>
      <c r="F441" s="19"/>
      <c r="G441" s="19">
        <v>181</v>
      </c>
      <c r="H441" s="19">
        <v>125</v>
      </c>
      <c r="I441" s="19" t="s">
        <v>185</v>
      </c>
      <c r="J441" s="19"/>
      <c r="K441" s="19"/>
      <c r="L441" s="19"/>
      <c r="M441" s="19"/>
      <c r="N441" s="19"/>
      <c r="O441" s="19"/>
      <c r="P441" s="19"/>
      <c r="Q441" s="19"/>
      <c r="R441" s="19"/>
      <c r="S441" s="19"/>
      <c r="T441" s="19"/>
      <c r="U441" s="19"/>
      <c r="V441" s="19"/>
      <c r="W441" s="19"/>
      <c r="X441" s="19"/>
      <c r="Y441" s="19"/>
      <c r="Z441" t="str">
        <f>IF(Tabela1[[#This Row],[1]]&lt;&gt;"",IF(ISNUMBER(FIND(",",Tabela1[[#This Row],[1]])),LEN(Tabela1[[#This Row],[1]])-LEN(SUBSTITUTE(Tabela1[[#This Row],[1]],",",""))+1,1),"")</f>
        <v/>
      </c>
      <c r="AA441">
        <f>IF(Tabela1[[#This Row],[2]]&lt;&gt;"",IF(ISNUMBER(FIND(",",Tabela1[[#This Row],[2]])),LEN(Tabela1[[#This Row],[2]])-LEN(SUBSTITUTE(Tabela1[[#This Row],[2]],",",""))+1,1),"")</f>
        <v>1</v>
      </c>
      <c r="AB441">
        <f>IF(Tabela1[[#This Row],[3]]&lt;&gt;"",IF(ISNUMBER(FIND(",",Tabela1[[#This Row],[3]])),LEN(Tabela1[[#This Row],[3]])-LEN(SUBSTITUTE(Tabela1[[#This Row],[3]],",",""))+1,1),"")</f>
        <v>1</v>
      </c>
      <c r="AC441">
        <f>IF(Tabela1[[#This Row],[4]]&lt;&gt;"",IF(ISNUMBER(FIND(",",Tabela1[[#This Row],[4]])),LEN(Tabela1[[#This Row],[4]])-LEN(SUBSTITUTE(Tabela1[[#This Row],[4]],",",""))+1,1),"")</f>
        <v>3</v>
      </c>
      <c r="AD441" t="str">
        <f>IF(Tabela1[[#This Row],[5]]&lt;&gt;"",IF(ISNUMBER(FIND(",",Tabela1[[#This Row],[5]])),LEN(Tabela1[[#This Row],[5]])-LEN(SUBSTITUTE(Tabela1[[#This Row],[5]],",",""))+1,1),"")</f>
        <v/>
      </c>
      <c r="AE441" t="str">
        <f>IF(Tabela1[[#This Row],[6]]&lt;&gt;"",IF(ISNUMBER(FIND(",",Tabela1[[#This Row],[6]])),LEN(Tabela1[[#This Row],[6]])-LEN(SUBSTITUTE(Tabela1[[#This Row],[6]],",",""))+1,1),"")</f>
        <v/>
      </c>
      <c r="AF441" t="str">
        <f>IF(Tabela1[[#This Row],[7]]&lt;&gt;"",IF(ISNUMBER(FIND(",",Tabela1[[#This Row],[7]])),LEN(Tabela1[[#This Row],[7]])-LEN(SUBSTITUTE(Tabela1[[#This Row],[7]],",",""))+1,1),"")</f>
        <v/>
      </c>
      <c r="AG441" t="str">
        <f>IF(Tabela1[[#This Row],[8]]&lt;&gt;"",IF(ISNUMBER(FIND(",",Tabela1[[#This Row],[8]])),LEN(Tabela1[[#This Row],[8]])-LEN(SUBSTITUTE(Tabela1[[#This Row],[8]],",",""))+1,1),"")</f>
        <v/>
      </c>
      <c r="AH441" t="str">
        <f>IF(Tabela1[[#This Row],[9]]&lt;&gt;"",IF(ISNUMBER(FIND(",",Tabela1[[#This Row],[9]])),LEN(Tabela1[[#This Row],[9]])-LEN(SUBSTITUTE(Tabela1[[#This Row],[9]],",",""))+1,1),"")</f>
        <v/>
      </c>
      <c r="AI441" t="str">
        <f>IF(Tabela1[[#This Row],[10]]&lt;&gt;"",IF(ISNUMBER(FIND(",",Tabela1[[#This Row],[10]])),LEN(Tabela1[[#This Row],[10]])-LEN(SUBSTITUTE(Tabela1[[#This Row],[10]],",",""))+1,1),"")</f>
        <v/>
      </c>
      <c r="AJ441" t="str">
        <f>IF(Tabela1[[#This Row],[11]]&lt;&gt;"",IF(ISNUMBER(FIND(",",Tabela1[[#This Row],[11]])),LEN(Tabela1[[#This Row],[11]])-LEN(SUBSTITUTE(Tabela1[[#This Row],[11]],",",""))+1,1),"")</f>
        <v/>
      </c>
      <c r="AK441" t="str">
        <f>IF(Tabela1[[#This Row],[12]]&lt;&gt;"",IF(ISNUMBER(FIND(",",Tabela1[[#This Row],[12]])),LEN(Tabela1[[#This Row],[12]])-LEN(SUBSTITUTE(Tabela1[[#This Row],[12]],",",""))+1,1),"")</f>
        <v/>
      </c>
      <c r="AL441" t="str">
        <f>IF(Tabela1[[#This Row],[13]]&lt;&gt;"",IF(ISNUMBER(FIND(",",Tabela1[[#This Row],[13]])),LEN(Tabela1[[#This Row],[13]])-LEN(SUBSTITUTE(Tabela1[[#This Row],[13]],",",""))+1,1),"")</f>
        <v/>
      </c>
      <c r="AM441" t="str">
        <f>IF(Tabela1[[#This Row],[14]]&lt;&gt;"",IF(ISNUMBER(FIND(",",Tabela1[[#This Row],[14]])),LEN(Tabela1[[#This Row],[14]])-LEN(SUBSTITUTE(Tabela1[[#This Row],[14]],",",""))+1,1),"")</f>
        <v/>
      </c>
      <c r="AN441" t="str">
        <f>IF(Tabela1[[#This Row],[15]]&lt;&gt;"",IF(ISNUMBER(FIND(",",Tabela1[[#This Row],[15]])),LEN(Tabela1[[#This Row],[15]])-LEN(SUBSTITUTE(Tabela1[[#This Row],[15]],",",""))+1,1),"")</f>
        <v/>
      </c>
      <c r="AO441" t="str">
        <f>IF(Tabela1[[#This Row],[16]]&lt;&gt;"",IF(ISNUMBER(FIND(",",Tabela1[[#This Row],[16]])),LEN(Tabela1[[#This Row],[16]])-LEN(SUBSTITUTE(Tabela1[[#This Row],[16]],",",""))+1,1),"")</f>
        <v/>
      </c>
      <c r="AP441" t="str">
        <f>IF(Tabela1[[#This Row],[17]]&lt;&gt;"",IF(ISNUMBER(FIND(",",Tabela1[[#This Row],[17]])),LEN(Tabela1[[#This Row],[17]])-LEN(SUBSTITUTE(Tabela1[[#This Row],[17]],",",""))+1,1),"")</f>
        <v/>
      </c>
      <c r="AQ441" t="str">
        <f>IF(Tabela1[[#This Row],[18]]&lt;&gt;"",IF(ISNUMBER(FIND(",",Tabela1[[#This Row],[18]])),LEN(Tabela1[[#This Row],[18]])-LEN(SUBSTITUTE(Tabela1[[#This Row],[18]],",",""))+1,1),"")</f>
        <v/>
      </c>
      <c r="AR441" s="13" t="str">
        <f>IF(Tabela1[[#This Row],[19_LENGTH]]&lt;&gt;"",IF(ISNUMBER(FIND(",",Tabela1[[#This Row],[19_LENGTH]])),LEN(Tabela1[[#This Row],[19_LENGTH]])-LEN(SUBSTITUTE(Tabela1[[#This Row],[19_LENGTH]],",",""))+1,1),"")</f>
        <v/>
      </c>
      <c r="AS441" s="21">
        <f>SUM(Tabela1[[#This Row],[1_]:[19_]])</f>
        <v>5</v>
      </c>
    </row>
    <row r="442" spans="1:45" x14ac:dyDescent="0.25">
      <c r="A442" s="27" t="s">
        <v>1325</v>
      </c>
      <c r="B442" s="19" t="s">
        <v>844</v>
      </c>
      <c r="C442" s="19">
        <v>202</v>
      </c>
      <c r="D442" s="19" t="s">
        <v>1315</v>
      </c>
      <c r="E442" s="20">
        <v>43531</v>
      </c>
      <c r="F442" s="19"/>
      <c r="G442" s="19">
        <v>18</v>
      </c>
      <c r="H442" s="19"/>
      <c r="I442" s="19">
        <v>12</v>
      </c>
      <c r="J442" s="19" t="s">
        <v>186</v>
      </c>
      <c r="K442" s="19"/>
      <c r="L442" s="19"/>
      <c r="M442" s="19">
        <v>42</v>
      </c>
      <c r="N442" s="19"/>
      <c r="O442" s="19"/>
      <c r="P442" s="19"/>
      <c r="Q442" s="19"/>
      <c r="R442" s="19"/>
      <c r="S442" s="19"/>
      <c r="T442" s="19"/>
      <c r="U442" s="19"/>
      <c r="V442" s="19"/>
      <c r="W442" s="19"/>
      <c r="X442" s="19"/>
      <c r="Y442" s="19"/>
      <c r="Z442" t="str">
        <f>IF(Tabela1[[#This Row],[1]]&lt;&gt;"",IF(ISNUMBER(FIND(",",Tabela1[[#This Row],[1]])),LEN(Tabela1[[#This Row],[1]])-LEN(SUBSTITUTE(Tabela1[[#This Row],[1]],",",""))+1,1),"")</f>
        <v/>
      </c>
      <c r="AA442">
        <f>IF(Tabela1[[#This Row],[2]]&lt;&gt;"",IF(ISNUMBER(FIND(",",Tabela1[[#This Row],[2]])),LEN(Tabela1[[#This Row],[2]])-LEN(SUBSTITUTE(Tabela1[[#This Row],[2]],",",""))+1,1),"")</f>
        <v>1</v>
      </c>
      <c r="AB442" t="str">
        <f>IF(Tabela1[[#This Row],[3]]&lt;&gt;"",IF(ISNUMBER(FIND(",",Tabela1[[#This Row],[3]])),LEN(Tabela1[[#This Row],[3]])-LEN(SUBSTITUTE(Tabela1[[#This Row],[3]],",",""))+1,1),"")</f>
        <v/>
      </c>
      <c r="AC442">
        <f>IF(Tabela1[[#This Row],[4]]&lt;&gt;"",IF(ISNUMBER(FIND(",",Tabela1[[#This Row],[4]])),LEN(Tabela1[[#This Row],[4]])-LEN(SUBSTITUTE(Tabela1[[#This Row],[4]],",",""))+1,1),"")</f>
        <v>1</v>
      </c>
      <c r="AD442">
        <f>IF(Tabela1[[#This Row],[5]]&lt;&gt;"",IF(ISNUMBER(FIND(",",Tabela1[[#This Row],[5]])),LEN(Tabela1[[#This Row],[5]])-LEN(SUBSTITUTE(Tabela1[[#This Row],[5]],",",""))+1,1),"")</f>
        <v>1</v>
      </c>
      <c r="AE442" t="str">
        <f>IF(Tabela1[[#This Row],[6]]&lt;&gt;"",IF(ISNUMBER(FIND(",",Tabela1[[#This Row],[6]])),LEN(Tabela1[[#This Row],[6]])-LEN(SUBSTITUTE(Tabela1[[#This Row],[6]],",",""))+1,1),"")</f>
        <v/>
      </c>
      <c r="AF442" t="str">
        <f>IF(Tabela1[[#This Row],[7]]&lt;&gt;"",IF(ISNUMBER(FIND(",",Tabela1[[#This Row],[7]])),LEN(Tabela1[[#This Row],[7]])-LEN(SUBSTITUTE(Tabela1[[#This Row],[7]],",",""))+1,1),"")</f>
        <v/>
      </c>
      <c r="AG442">
        <f>IF(Tabela1[[#This Row],[8]]&lt;&gt;"",IF(ISNUMBER(FIND(",",Tabela1[[#This Row],[8]])),LEN(Tabela1[[#This Row],[8]])-LEN(SUBSTITUTE(Tabela1[[#This Row],[8]],",",""))+1,1),"")</f>
        <v>1</v>
      </c>
      <c r="AH442" t="str">
        <f>IF(Tabela1[[#This Row],[9]]&lt;&gt;"",IF(ISNUMBER(FIND(",",Tabela1[[#This Row],[9]])),LEN(Tabela1[[#This Row],[9]])-LEN(SUBSTITUTE(Tabela1[[#This Row],[9]],",",""))+1,1),"")</f>
        <v/>
      </c>
      <c r="AI442" t="str">
        <f>IF(Tabela1[[#This Row],[10]]&lt;&gt;"",IF(ISNUMBER(FIND(",",Tabela1[[#This Row],[10]])),LEN(Tabela1[[#This Row],[10]])-LEN(SUBSTITUTE(Tabela1[[#This Row],[10]],",",""))+1,1),"")</f>
        <v/>
      </c>
      <c r="AJ442" t="str">
        <f>IF(Tabela1[[#This Row],[11]]&lt;&gt;"",IF(ISNUMBER(FIND(",",Tabela1[[#This Row],[11]])),LEN(Tabela1[[#This Row],[11]])-LEN(SUBSTITUTE(Tabela1[[#This Row],[11]],",",""))+1,1),"")</f>
        <v/>
      </c>
      <c r="AK442" t="str">
        <f>IF(Tabela1[[#This Row],[12]]&lt;&gt;"",IF(ISNUMBER(FIND(",",Tabela1[[#This Row],[12]])),LEN(Tabela1[[#This Row],[12]])-LEN(SUBSTITUTE(Tabela1[[#This Row],[12]],",",""))+1,1),"")</f>
        <v/>
      </c>
      <c r="AL442" t="str">
        <f>IF(Tabela1[[#This Row],[13]]&lt;&gt;"",IF(ISNUMBER(FIND(",",Tabela1[[#This Row],[13]])),LEN(Tabela1[[#This Row],[13]])-LEN(SUBSTITUTE(Tabela1[[#This Row],[13]],",",""))+1,1),"")</f>
        <v/>
      </c>
      <c r="AM442" t="str">
        <f>IF(Tabela1[[#This Row],[14]]&lt;&gt;"",IF(ISNUMBER(FIND(",",Tabela1[[#This Row],[14]])),LEN(Tabela1[[#This Row],[14]])-LEN(SUBSTITUTE(Tabela1[[#This Row],[14]],",",""))+1,1),"")</f>
        <v/>
      </c>
      <c r="AN442" t="str">
        <f>IF(Tabela1[[#This Row],[15]]&lt;&gt;"",IF(ISNUMBER(FIND(",",Tabela1[[#This Row],[15]])),LEN(Tabela1[[#This Row],[15]])-LEN(SUBSTITUTE(Tabela1[[#This Row],[15]],",",""))+1,1),"")</f>
        <v/>
      </c>
      <c r="AO442" t="str">
        <f>IF(Tabela1[[#This Row],[16]]&lt;&gt;"",IF(ISNUMBER(FIND(",",Tabela1[[#This Row],[16]])),LEN(Tabela1[[#This Row],[16]])-LEN(SUBSTITUTE(Tabela1[[#This Row],[16]],",",""))+1,1),"")</f>
        <v/>
      </c>
      <c r="AP442" t="str">
        <f>IF(Tabela1[[#This Row],[17]]&lt;&gt;"",IF(ISNUMBER(FIND(",",Tabela1[[#This Row],[17]])),LEN(Tabela1[[#This Row],[17]])-LEN(SUBSTITUTE(Tabela1[[#This Row],[17]],",",""))+1,1),"")</f>
        <v/>
      </c>
      <c r="AQ442" t="str">
        <f>IF(Tabela1[[#This Row],[18]]&lt;&gt;"",IF(ISNUMBER(FIND(",",Tabela1[[#This Row],[18]])),LEN(Tabela1[[#This Row],[18]])-LEN(SUBSTITUTE(Tabela1[[#This Row],[18]],",",""))+1,1),"")</f>
        <v/>
      </c>
      <c r="AR442" s="13" t="str">
        <f>IF(Tabela1[[#This Row],[19_LENGTH]]&lt;&gt;"",IF(ISNUMBER(FIND(",",Tabela1[[#This Row],[19_LENGTH]])),LEN(Tabela1[[#This Row],[19_LENGTH]])-LEN(SUBSTITUTE(Tabela1[[#This Row],[19_LENGTH]],",",""))+1,1),"")</f>
        <v/>
      </c>
      <c r="AS442" s="21">
        <f>SUM(Tabela1[[#This Row],[1_]:[19_]])</f>
        <v>4</v>
      </c>
    </row>
    <row r="443" spans="1:45" x14ac:dyDescent="0.25">
      <c r="A443" s="27" t="s">
        <v>1325</v>
      </c>
      <c r="B443" s="19" t="s">
        <v>845</v>
      </c>
      <c r="C443" s="19">
        <v>206</v>
      </c>
      <c r="D443" s="19" t="s">
        <v>1315</v>
      </c>
      <c r="E443" s="20">
        <v>43531</v>
      </c>
      <c r="F443" s="19"/>
      <c r="G443" s="19"/>
      <c r="H443" s="19"/>
      <c r="I443" s="19"/>
      <c r="J443" s="19"/>
      <c r="K443" s="19"/>
      <c r="L443" s="19"/>
      <c r="M443" s="19"/>
      <c r="N443" s="19"/>
      <c r="O443" s="19"/>
      <c r="P443" s="19"/>
      <c r="Q443" s="19"/>
      <c r="R443" s="19"/>
      <c r="S443" s="19"/>
      <c r="T443" s="19"/>
      <c r="U443" s="19">
        <v>80</v>
      </c>
      <c r="V443" s="19"/>
      <c r="W443" s="19"/>
      <c r="X443" s="19"/>
      <c r="Y443" s="19"/>
      <c r="Z443" t="str">
        <f>IF(Tabela1[[#This Row],[1]]&lt;&gt;"",IF(ISNUMBER(FIND(",",Tabela1[[#This Row],[1]])),LEN(Tabela1[[#This Row],[1]])-LEN(SUBSTITUTE(Tabela1[[#This Row],[1]],",",""))+1,1),"")</f>
        <v/>
      </c>
      <c r="AA443" t="str">
        <f>IF(Tabela1[[#This Row],[2]]&lt;&gt;"",IF(ISNUMBER(FIND(",",Tabela1[[#This Row],[2]])),LEN(Tabela1[[#This Row],[2]])-LEN(SUBSTITUTE(Tabela1[[#This Row],[2]],",",""))+1,1),"")</f>
        <v/>
      </c>
      <c r="AB443" t="str">
        <f>IF(Tabela1[[#This Row],[3]]&lt;&gt;"",IF(ISNUMBER(FIND(",",Tabela1[[#This Row],[3]])),LEN(Tabela1[[#This Row],[3]])-LEN(SUBSTITUTE(Tabela1[[#This Row],[3]],",",""))+1,1),"")</f>
        <v/>
      </c>
      <c r="AC443" t="str">
        <f>IF(Tabela1[[#This Row],[4]]&lt;&gt;"",IF(ISNUMBER(FIND(",",Tabela1[[#This Row],[4]])),LEN(Tabela1[[#This Row],[4]])-LEN(SUBSTITUTE(Tabela1[[#This Row],[4]],",",""))+1,1),"")</f>
        <v/>
      </c>
      <c r="AD443" t="str">
        <f>IF(Tabela1[[#This Row],[5]]&lt;&gt;"",IF(ISNUMBER(FIND(",",Tabela1[[#This Row],[5]])),LEN(Tabela1[[#This Row],[5]])-LEN(SUBSTITUTE(Tabela1[[#This Row],[5]],",",""))+1,1),"")</f>
        <v/>
      </c>
      <c r="AE443" t="str">
        <f>IF(Tabela1[[#This Row],[6]]&lt;&gt;"",IF(ISNUMBER(FIND(",",Tabela1[[#This Row],[6]])),LEN(Tabela1[[#This Row],[6]])-LEN(SUBSTITUTE(Tabela1[[#This Row],[6]],",",""))+1,1),"")</f>
        <v/>
      </c>
      <c r="AF443" t="str">
        <f>IF(Tabela1[[#This Row],[7]]&lt;&gt;"",IF(ISNUMBER(FIND(",",Tabela1[[#This Row],[7]])),LEN(Tabela1[[#This Row],[7]])-LEN(SUBSTITUTE(Tabela1[[#This Row],[7]],",",""))+1,1),"")</f>
        <v/>
      </c>
      <c r="AG443" t="str">
        <f>IF(Tabela1[[#This Row],[8]]&lt;&gt;"",IF(ISNUMBER(FIND(",",Tabela1[[#This Row],[8]])),LEN(Tabela1[[#This Row],[8]])-LEN(SUBSTITUTE(Tabela1[[#This Row],[8]],",",""))+1,1),"")</f>
        <v/>
      </c>
      <c r="AH443" t="str">
        <f>IF(Tabela1[[#This Row],[9]]&lt;&gt;"",IF(ISNUMBER(FIND(",",Tabela1[[#This Row],[9]])),LEN(Tabela1[[#This Row],[9]])-LEN(SUBSTITUTE(Tabela1[[#This Row],[9]],",",""))+1,1),"")</f>
        <v/>
      </c>
      <c r="AI443" t="str">
        <f>IF(Tabela1[[#This Row],[10]]&lt;&gt;"",IF(ISNUMBER(FIND(",",Tabela1[[#This Row],[10]])),LEN(Tabela1[[#This Row],[10]])-LEN(SUBSTITUTE(Tabela1[[#This Row],[10]],",",""))+1,1),"")</f>
        <v/>
      </c>
      <c r="AJ443" t="str">
        <f>IF(Tabela1[[#This Row],[11]]&lt;&gt;"",IF(ISNUMBER(FIND(",",Tabela1[[#This Row],[11]])),LEN(Tabela1[[#This Row],[11]])-LEN(SUBSTITUTE(Tabela1[[#This Row],[11]],",",""))+1,1),"")</f>
        <v/>
      </c>
      <c r="AK443" t="str">
        <f>IF(Tabela1[[#This Row],[12]]&lt;&gt;"",IF(ISNUMBER(FIND(",",Tabela1[[#This Row],[12]])),LEN(Tabela1[[#This Row],[12]])-LEN(SUBSTITUTE(Tabela1[[#This Row],[12]],",",""))+1,1),"")</f>
        <v/>
      </c>
      <c r="AL443" t="str">
        <f>IF(Tabela1[[#This Row],[13]]&lt;&gt;"",IF(ISNUMBER(FIND(",",Tabela1[[#This Row],[13]])),LEN(Tabela1[[#This Row],[13]])-LEN(SUBSTITUTE(Tabela1[[#This Row],[13]],",",""))+1,1),"")</f>
        <v/>
      </c>
      <c r="AM443" t="str">
        <f>IF(Tabela1[[#This Row],[14]]&lt;&gt;"",IF(ISNUMBER(FIND(",",Tabela1[[#This Row],[14]])),LEN(Tabela1[[#This Row],[14]])-LEN(SUBSTITUTE(Tabela1[[#This Row],[14]],",",""))+1,1),"")</f>
        <v/>
      </c>
      <c r="AN443" t="str">
        <f>IF(Tabela1[[#This Row],[15]]&lt;&gt;"",IF(ISNUMBER(FIND(",",Tabela1[[#This Row],[15]])),LEN(Tabela1[[#This Row],[15]])-LEN(SUBSTITUTE(Tabela1[[#This Row],[15]],",",""))+1,1),"")</f>
        <v/>
      </c>
      <c r="AO443">
        <f>IF(Tabela1[[#This Row],[16]]&lt;&gt;"",IF(ISNUMBER(FIND(",",Tabela1[[#This Row],[16]])),LEN(Tabela1[[#This Row],[16]])-LEN(SUBSTITUTE(Tabela1[[#This Row],[16]],",",""))+1,1),"")</f>
        <v>1</v>
      </c>
      <c r="AP443" t="str">
        <f>IF(Tabela1[[#This Row],[17]]&lt;&gt;"",IF(ISNUMBER(FIND(",",Tabela1[[#This Row],[17]])),LEN(Tabela1[[#This Row],[17]])-LEN(SUBSTITUTE(Tabela1[[#This Row],[17]],",",""))+1,1),"")</f>
        <v/>
      </c>
      <c r="AQ443" t="str">
        <f>IF(Tabela1[[#This Row],[18]]&lt;&gt;"",IF(ISNUMBER(FIND(",",Tabela1[[#This Row],[18]])),LEN(Tabela1[[#This Row],[18]])-LEN(SUBSTITUTE(Tabela1[[#This Row],[18]],",",""))+1,1),"")</f>
        <v/>
      </c>
      <c r="AR443" s="13" t="str">
        <f>IF(Tabela1[[#This Row],[19_LENGTH]]&lt;&gt;"",IF(ISNUMBER(FIND(",",Tabela1[[#This Row],[19_LENGTH]])),LEN(Tabela1[[#This Row],[19_LENGTH]])-LEN(SUBSTITUTE(Tabela1[[#This Row],[19_LENGTH]],",",""))+1,1),"")</f>
        <v/>
      </c>
      <c r="AS443" s="21">
        <f>SUM(Tabela1[[#This Row],[1_]:[19_]])</f>
        <v>1</v>
      </c>
    </row>
    <row r="444" spans="1:45" x14ac:dyDescent="0.25">
      <c r="A444" s="27" t="s">
        <v>1325</v>
      </c>
      <c r="B444" s="19" t="s">
        <v>846</v>
      </c>
      <c r="C444" s="19">
        <v>202</v>
      </c>
      <c r="D444" s="19" t="s">
        <v>1315</v>
      </c>
      <c r="E444" s="20">
        <v>43531</v>
      </c>
      <c r="F444" s="19"/>
      <c r="G444" s="19"/>
      <c r="H444" s="19"/>
      <c r="I444" s="19">
        <v>149</v>
      </c>
      <c r="J444" s="19">
        <v>125</v>
      </c>
      <c r="K444" s="19"/>
      <c r="L444" s="19"/>
      <c r="M444" s="19"/>
      <c r="N444" s="19"/>
      <c r="O444" s="19"/>
      <c r="P444" s="19"/>
      <c r="Q444" s="19"/>
      <c r="R444" s="19"/>
      <c r="S444" s="19"/>
      <c r="T444" s="19"/>
      <c r="U444" s="19"/>
      <c r="V444" s="19"/>
      <c r="W444" s="19"/>
      <c r="X444" s="19" t="s">
        <v>95</v>
      </c>
      <c r="Y444" s="19">
        <v>151</v>
      </c>
      <c r="Z444" t="str">
        <f>IF(Tabela1[[#This Row],[1]]&lt;&gt;"",IF(ISNUMBER(FIND(",",Tabela1[[#This Row],[1]])),LEN(Tabela1[[#This Row],[1]])-LEN(SUBSTITUTE(Tabela1[[#This Row],[1]],",",""))+1,1),"")</f>
        <v/>
      </c>
      <c r="AA444" t="str">
        <f>IF(Tabela1[[#This Row],[2]]&lt;&gt;"",IF(ISNUMBER(FIND(",",Tabela1[[#This Row],[2]])),LEN(Tabela1[[#This Row],[2]])-LEN(SUBSTITUTE(Tabela1[[#This Row],[2]],",",""))+1,1),"")</f>
        <v/>
      </c>
      <c r="AB444" t="str">
        <f>IF(Tabela1[[#This Row],[3]]&lt;&gt;"",IF(ISNUMBER(FIND(",",Tabela1[[#This Row],[3]])),LEN(Tabela1[[#This Row],[3]])-LEN(SUBSTITUTE(Tabela1[[#This Row],[3]],",",""))+1,1),"")</f>
        <v/>
      </c>
      <c r="AC444">
        <f>IF(Tabela1[[#This Row],[4]]&lt;&gt;"",IF(ISNUMBER(FIND(",",Tabela1[[#This Row],[4]])),LEN(Tabela1[[#This Row],[4]])-LEN(SUBSTITUTE(Tabela1[[#This Row],[4]],",",""))+1,1),"")</f>
        <v>1</v>
      </c>
      <c r="AD444">
        <f>IF(Tabela1[[#This Row],[5]]&lt;&gt;"",IF(ISNUMBER(FIND(",",Tabela1[[#This Row],[5]])),LEN(Tabela1[[#This Row],[5]])-LEN(SUBSTITUTE(Tabela1[[#This Row],[5]],",",""))+1,1),"")</f>
        <v>1</v>
      </c>
      <c r="AE444" t="str">
        <f>IF(Tabela1[[#This Row],[6]]&lt;&gt;"",IF(ISNUMBER(FIND(",",Tabela1[[#This Row],[6]])),LEN(Tabela1[[#This Row],[6]])-LEN(SUBSTITUTE(Tabela1[[#This Row],[6]],",",""))+1,1),"")</f>
        <v/>
      </c>
      <c r="AF444" t="str">
        <f>IF(Tabela1[[#This Row],[7]]&lt;&gt;"",IF(ISNUMBER(FIND(",",Tabela1[[#This Row],[7]])),LEN(Tabela1[[#This Row],[7]])-LEN(SUBSTITUTE(Tabela1[[#This Row],[7]],",",""))+1,1),"")</f>
        <v/>
      </c>
      <c r="AG444" t="str">
        <f>IF(Tabela1[[#This Row],[8]]&lt;&gt;"",IF(ISNUMBER(FIND(",",Tabela1[[#This Row],[8]])),LEN(Tabela1[[#This Row],[8]])-LEN(SUBSTITUTE(Tabela1[[#This Row],[8]],",",""))+1,1),"")</f>
        <v/>
      </c>
      <c r="AH444" t="str">
        <f>IF(Tabela1[[#This Row],[9]]&lt;&gt;"",IF(ISNUMBER(FIND(",",Tabela1[[#This Row],[9]])),LEN(Tabela1[[#This Row],[9]])-LEN(SUBSTITUTE(Tabela1[[#This Row],[9]],",",""))+1,1),"")</f>
        <v/>
      </c>
      <c r="AI444" t="str">
        <f>IF(Tabela1[[#This Row],[10]]&lt;&gt;"",IF(ISNUMBER(FIND(",",Tabela1[[#This Row],[10]])),LEN(Tabela1[[#This Row],[10]])-LEN(SUBSTITUTE(Tabela1[[#This Row],[10]],",",""))+1,1),"")</f>
        <v/>
      </c>
      <c r="AJ444" t="str">
        <f>IF(Tabela1[[#This Row],[11]]&lt;&gt;"",IF(ISNUMBER(FIND(",",Tabela1[[#This Row],[11]])),LEN(Tabela1[[#This Row],[11]])-LEN(SUBSTITUTE(Tabela1[[#This Row],[11]],",",""))+1,1),"")</f>
        <v/>
      </c>
      <c r="AK444" t="str">
        <f>IF(Tabela1[[#This Row],[12]]&lt;&gt;"",IF(ISNUMBER(FIND(",",Tabela1[[#This Row],[12]])),LEN(Tabela1[[#This Row],[12]])-LEN(SUBSTITUTE(Tabela1[[#This Row],[12]],",",""))+1,1),"")</f>
        <v/>
      </c>
      <c r="AL444" t="str">
        <f>IF(Tabela1[[#This Row],[13]]&lt;&gt;"",IF(ISNUMBER(FIND(",",Tabela1[[#This Row],[13]])),LEN(Tabela1[[#This Row],[13]])-LEN(SUBSTITUTE(Tabela1[[#This Row],[13]],",",""))+1,1),"")</f>
        <v/>
      </c>
      <c r="AM444" t="str">
        <f>IF(Tabela1[[#This Row],[14]]&lt;&gt;"",IF(ISNUMBER(FIND(",",Tabela1[[#This Row],[14]])),LEN(Tabela1[[#This Row],[14]])-LEN(SUBSTITUTE(Tabela1[[#This Row],[14]],",",""))+1,1),"")</f>
        <v/>
      </c>
      <c r="AN444" t="str">
        <f>IF(Tabela1[[#This Row],[15]]&lt;&gt;"",IF(ISNUMBER(FIND(",",Tabela1[[#This Row],[15]])),LEN(Tabela1[[#This Row],[15]])-LEN(SUBSTITUTE(Tabela1[[#This Row],[15]],",",""))+1,1),"")</f>
        <v/>
      </c>
      <c r="AO444" t="str">
        <f>IF(Tabela1[[#This Row],[16]]&lt;&gt;"",IF(ISNUMBER(FIND(",",Tabela1[[#This Row],[16]])),LEN(Tabela1[[#This Row],[16]])-LEN(SUBSTITUTE(Tabela1[[#This Row],[16]],",",""))+1,1),"")</f>
        <v/>
      </c>
      <c r="AP444" t="str">
        <f>IF(Tabela1[[#This Row],[17]]&lt;&gt;"",IF(ISNUMBER(FIND(",",Tabela1[[#This Row],[17]])),LEN(Tabela1[[#This Row],[17]])-LEN(SUBSTITUTE(Tabela1[[#This Row],[17]],",",""))+1,1),"")</f>
        <v/>
      </c>
      <c r="AQ444" t="str">
        <f>IF(Tabela1[[#This Row],[18]]&lt;&gt;"",IF(ISNUMBER(FIND(",",Tabela1[[#This Row],[18]])),LEN(Tabela1[[#This Row],[18]])-LEN(SUBSTITUTE(Tabela1[[#This Row],[18]],",",""))+1,1),"")</f>
        <v/>
      </c>
      <c r="AR444" s="13">
        <f>IF(Tabela1[[#This Row],[19_LENGTH]]&lt;&gt;"",IF(ISNUMBER(FIND(",",Tabela1[[#This Row],[19_LENGTH]])),LEN(Tabela1[[#This Row],[19_LENGTH]])-LEN(SUBSTITUTE(Tabela1[[#This Row],[19_LENGTH]],",",""))+1,1),"")</f>
        <v>1</v>
      </c>
      <c r="AS444" s="21">
        <f>SUM(Tabela1[[#This Row],[1_]:[19_]])</f>
        <v>3</v>
      </c>
    </row>
    <row r="445" spans="1:45" x14ac:dyDescent="0.25">
      <c r="A445" s="27" t="s">
        <v>1325</v>
      </c>
      <c r="B445" s="19" t="s">
        <v>847</v>
      </c>
      <c r="C445" s="19">
        <v>202</v>
      </c>
      <c r="D445" s="19" t="s">
        <v>1315</v>
      </c>
      <c r="E445" s="20">
        <v>43531</v>
      </c>
      <c r="F445" s="19"/>
      <c r="G445" s="19"/>
      <c r="H445" s="19"/>
      <c r="I445" s="19"/>
      <c r="J445" s="19"/>
      <c r="K445" s="19"/>
      <c r="L445" s="19"/>
      <c r="M445" s="19"/>
      <c r="N445" s="19"/>
      <c r="O445" s="19"/>
      <c r="P445" s="19"/>
      <c r="Q445" s="19"/>
      <c r="R445" s="19"/>
      <c r="S445" s="19"/>
      <c r="T445" s="19"/>
      <c r="U445" s="19"/>
      <c r="V445" s="19"/>
      <c r="W445" s="19"/>
      <c r="X445" s="19" t="s">
        <v>95</v>
      </c>
      <c r="Y445" s="19" t="s">
        <v>187</v>
      </c>
      <c r="Z445" t="str">
        <f>IF(Tabela1[[#This Row],[1]]&lt;&gt;"",IF(ISNUMBER(FIND(",",Tabela1[[#This Row],[1]])),LEN(Tabela1[[#This Row],[1]])-LEN(SUBSTITUTE(Tabela1[[#This Row],[1]],",",""))+1,1),"")</f>
        <v/>
      </c>
      <c r="AA445" t="str">
        <f>IF(Tabela1[[#This Row],[2]]&lt;&gt;"",IF(ISNUMBER(FIND(",",Tabela1[[#This Row],[2]])),LEN(Tabela1[[#This Row],[2]])-LEN(SUBSTITUTE(Tabela1[[#This Row],[2]],",",""))+1,1),"")</f>
        <v/>
      </c>
      <c r="AB445" t="str">
        <f>IF(Tabela1[[#This Row],[3]]&lt;&gt;"",IF(ISNUMBER(FIND(",",Tabela1[[#This Row],[3]])),LEN(Tabela1[[#This Row],[3]])-LEN(SUBSTITUTE(Tabela1[[#This Row],[3]],",",""))+1,1),"")</f>
        <v/>
      </c>
      <c r="AC445" t="str">
        <f>IF(Tabela1[[#This Row],[4]]&lt;&gt;"",IF(ISNUMBER(FIND(",",Tabela1[[#This Row],[4]])),LEN(Tabela1[[#This Row],[4]])-LEN(SUBSTITUTE(Tabela1[[#This Row],[4]],",",""))+1,1),"")</f>
        <v/>
      </c>
      <c r="AD445" t="str">
        <f>IF(Tabela1[[#This Row],[5]]&lt;&gt;"",IF(ISNUMBER(FIND(",",Tabela1[[#This Row],[5]])),LEN(Tabela1[[#This Row],[5]])-LEN(SUBSTITUTE(Tabela1[[#This Row],[5]],",",""))+1,1),"")</f>
        <v/>
      </c>
      <c r="AE445" t="str">
        <f>IF(Tabela1[[#This Row],[6]]&lt;&gt;"",IF(ISNUMBER(FIND(",",Tabela1[[#This Row],[6]])),LEN(Tabela1[[#This Row],[6]])-LEN(SUBSTITUTE(Tabela1[[#This Row],[6]],",",""))+1,1),"")</f>
        <v/>
      </c>
      <c r="AF445" t="str">
        <f>IF(Tabela1[[#This Row],[7]]&lt;&gt;"",IF(ISNUMBER(FIND(",",Tabela1[[#This Row],[7]])),LEN(Tabela1[[#This Row],[7]])-LEN(SUBSTITUTE(Tabela1[[#This Row],[7]],",",""))+1,1),"")</f>
        <v/>
      </c>
      <c r="AG445" t="str">
        <f>IF(Tabela1[[#This Row],[8]]&lt;&gt;"",IF(ISNUMBER(FIND(",",Tabela1[[#This Row],[8]])),LEN(Tabela1[[#This Row],[8]])-LEN(SUBSTITUTE(Tabela1[[#This Row],[8]],",",""))+1,1),"")</f>
        <v/>
      </c>
      <c r="AH445" t="str">
        <f>IF(Tabela1[[#This Row],[9]]&lt;&gt;"",IF(ISNUMBER(FIND(",",Tabela1[[#This Row],[9]])),LEN(Tabela1[[#This Row],[9]])-LEN(SUBSTITUTE(Tabela1[[#This Row],[9]],",",""))+1,1),"")</f>
        <v/>
      </c>
      <c r="AI445" t="str">
        <f>IF(Tabela1[[#This Row],[10]]&lt;&gt;"",IF(ISNUMBER(FIND(",",Tabela1[[#This Row],[10]])),LEN(Tabela1[[#This Row],[10]])-LEN(SUBSTITUTE(Tabela1[[#This Row],[10]],",",""))+1,1),"")</f>
        <v/>
      </c>
      <c r="AJ445" t="str">
        <f>IF(Tabela1[[#This Row],[11]]&lt;&gt;"",IF(ISNUMBER(FIND(",",Tabela1[[#This Row],[11]])),LEN(Tabela1[[#This Row],[11]])-LEN(SUBSTITUTE(Tabela1[[#This Row],[11]],",",""))+1,1),"")</f>
        <v/>
      </c>
      <c r="AK445" t="str">
        <f>IF(Tabela1[[#This Row],[12]]&lt;&gt;"",IF(ISNUMBER(FIND(",",Tabela1[[#This Row],[12]])),LEN(Tabela1[[#This Row],[12]])-LEN(SUBSTITUTE(Tabela1[[#This Row],[12]],",",""))+1,1),"")</f>
        <v/>
      </c>
      <c r="AL445" t="str">
        <f>IF(Tabela1[[#This Row],[13]]&lt;&gt;"",IF(ISNUMBER(FIND(",",Tabela1[[#This Row],[13]])),LEN(Tabela1[[#This Row],[13]])-LEN(SUBSTITUTE(Tabela1[[#This Row],[13]],",",""))+1,1),"")</f>
        <v/>
      </c>
      <c r="AM445" t="str">
        <f>IF(Tabela1[[#This Row],[14]]&lt;&gt;"",IF(ISNUMBER(FIND(",",Tabela1[[#This Row],[14]])),LEN(Tabela1[[#This Row],[14]])-LEN(SUBSTITUTE(Tabela1[[#This Row],[14]],",",""))+1,1),"")</f>
        <v/>
      </c>
      <c r="AN445" t="str">
        <f>IF(Tabela1[[#This Row],[15]]&lt;&gt;"",IF(ISNUMBER(FIND(",",Tabela1[[#This Row],[15]])),LEN(Tabela1[[#This Row],[15]])-LEN(SUBSTITUTE(Tabela1[[#This Row],[15]],",",""))+1,1),"")</f>
        <v/>
      </c>
      <c r="AO445" t="str">
        <f>IF(Tabela1[[#This Row],[16]]&lt;&gt;"",IF(ISNUMBER(FIND(",",Tabela1[[#This Row],[16]])),LEN(Tabela1[[#This Row],[16]])-LEN(SUBSTITUTE(Tabela1[[#This Row],[16]],",",""))+1,1),"")</f>
        <v/>
      </c>
      <c r="AP445" t="str">
        <f>IF(Tabela1[[#This Row],[17]]&lt;&gt;"",IF(ISNUMBER(FIND(",",Tabela1[[#This Row],[17]])),LEN(Tabela1[[#This Row],[17]])-LEN(SUBSTITUTE(Tabela1[[#This Row],[17]],",",""))+1,1),"")</f>
        <v/>
      </c>
      <c r="AQ445" t="str">
        <f>IF(Tabela1[[#This Row],[18]]&lt;&gt;"",IF(ISNUMBER(FIND(",",Tabela1[[#This Row],[18]])),LEN(Tabela1[[#This Row],[18]])-LEN(SUBSTITUTE(Tabela1[[#This Row],[18]],",",""))+1,1),"")</f>
        <v/>
      </c>
      <c r="AR445" s="13">
        <f>IF(Tabela1[[#This Row],[19_LENGTH]]&lt;&gt;"",IF(ISNUMBER(FIND(",",Tabela1[[#This Row],[19_LENGTH]])),LEN(Tabela1[[#This Row],[19_LENGTH]])-LEN(SUBSTITUTE(Tabela1[[#This Row],[19_LENGTH]],",",""))+1,1),"")</f>
        <v>1</v>
      </c>
      <c r="AS445" s="21">
        <f>SUM(Tabela1[[#This Row],[1_]:[19_]])</f>
        <v>1</v>
      </c>
    </row>
    <row r="446" spans="1:45" x14ac:dyDescent="0.25">
      <c r="A446" s="27" t="s">
        <v>1325</v>
      </c>
      <c r="B446" s="19" t="s">
        <v>848</v>
      </c>
      <c r="C446" s="19">
        <v>202</v>
      </c>
      <c r="D446" s="19" t="s">
        <v>1315</v>
      </c>
      <c r="E446" s="20">
        <v>43531</v>
      </c>
      <c r="F446" s="19"/>
      <c r="G446" s="19"/>
      <c r="H446" s="19">
        <v>15</v>
      </c>
      <c r="I446" s="19">
        <v>75</v>
      </c>
      <c r="J446" s="19"/>
      <c r="K446" s="19"/>
      <c r="L446" s="19"/>
      <c r="M446" s="19"/>
      <c r="N446" s="19"/>
      <c r="O446" s="19"/>
      <c r="P446" s="19"/>
      <c r="Q446" s="19"/>
      <c r="R446" s="19"/>
      <c r="S446" s="19"/>
      <c r="T446" s="19"/>
      <c r="U446" s="19"/>
      <c r="V446" s="19">
        <v>43</v>
      </c>
      <c r="W446" s="19"/>
      <c r="X446" s="19"/>
      <c r="Y446" s="19"/>
      <c r="Z446" t="str">
        <f>IF(Tabela1[[#This Row],[1]]&lt;&gt;"",IF(ISNUMBER(FIND(",",Tabela1[[#This Row],[1]])),LEN(Tabela1[[#This Row],[1]])-LEN(SUBSTITUTE(Tabela1[[#This Row],[1]],",",""))+1,1),"")</f>
        <v/>
      </c>
      <c r="AA446" t="str">
        <f>IF(Tabela1[[#This Row],[2]]&lt;&gt;"",IF(ISNUMBER(FIND(",",Tabela1[[#This Row],[2]])),LEN(Tabela1[[#This Row],[2]])-LEN(SUBSTITUTE(Tabela1[[#This Row],[2]],",",""))+1,1),"")</f>
        <v/>
      </c>
      <c r="AB446">
        <f>IF(Tabela1[[#This Row],[3]]&lt;&gt;"",IF(ISNUMBER(FIND(",",Tabela1[[#This Row],[3]])),LEN(Tabela1[[#This Row],[3]])-LEN(SUBSTITUTE(Tabela1[[#This Row],[3]],",",""))+1,1),"")</f>
        <v>1</v>
      </c>
      <c r="AC446">
        <f>IF(Tabela1[[#This Row],[4]]&lt;&gt;"",IF(ISNUMBER(FIND(",",Tabela1[[#This Row],[4]])),LEN(Tabela1[[#This Row],[4]])-LEN(SUBSTITUTE(Tabela1[[#This Row],[4]],",",""))+1,1),"")</f>
        <v>1</v>
      </c>
      <c r="AD446" t="str">
        <f>IF(Tabela1[[#This Row],[5]]&lt;&gt;"",IF(ISNUMBER(FIND(",",Tabela1[[#This Row],[5]])),LEN(Tabela1[[#This Row],[5]])-LEN(SUBSTITUTE(Tabela1[[#This Row],[5]],",",""))+1,1),"")</f>
        <v/>
      </c>
      <c r="AE446" t="str">
        <f>IF(Tabela1[[#This Row],[6]]&lt;&gt;"",IF(ISNUMBER(FIND(",",Tabela1[[#This Row],[6]])),LEN(Tabela1[[#This Row],[6]])-LEN(SUBSTITUTE(Tabela1[[#This Row],[6]],",",""))+1,1),"")</f>
        <v/>
      </c>
      <c r="AF446" t="str">
        <f>IF(Tabela1[[#This Row],[7]]&lt;&gt;"",IF(ISNUMBER(FIND(",",Tabela1[[#This Row],[7]])),LEN(Tabela1[[#This Row],[7]])-LEN(SUBSTITUTE(Tabela1[[#This Row],[7]],",",""))+1,1),"")</f>
        <v/>
      </c>
      <c r="AG446" t="str">
        <f>IF(Tabela1[[#This Row],[8]]&lt;&gt;"",IF(ISNUMBER(FIND(",",Tabela1[[#This Row],[8]])),LEN(Tabela1[[#This Row],[8]])-LEN(SUBSTITUTE(Tabela1[[#This Row],[8]],",",""))+1,1),"")</f>
        <v/>
      </c>
      <c r="AH446" t="str">
        <f>IF(Tabela1[[#This Row],[9]]&lt;&gt;"",IF(ISNUMBER(FIND(",",Tabela1[[#This Row],[9]])),LEN(Tabela1[[#This Row],[9]])-LEN(SUBSTITUTE(Tabela1[[#This Row],[9]],",",""))+1,1),"")</f>
        <v/>
      </c>
      <c r="AI446" t="str">
        <f>IF(Tabela1[[#This Row],[10]]&lt;&gt;"",IF(ISNUMBER(FIND(",",Tabela1[[#This Row],[10]])),LEN(Tabela1[[#This Row],[10]])-LEN(SUBSTITUTE(Tabela1[[#This Row],[10]],",",""))+1,1),"")</f>
        <v/>
      </c>
      <c r="AJ446" t="str">
        <f>IF(Tabela1[[#This Row],[11]]&lt;&gt;"",IF(ISNUMBER(FIND(",",Tabela1[[#This Row],[11]])),LEN(Tabela1[[#This Row],[11]])-LEN(SUBSTITUTE(Tabela1[[#This Row],[11]],",",""))+1,1),"")</f>
        <v/>
      </c>
      <c r="AK446" t="str">
        <f>IF(Tabela1[[#This Row],[12]]&lt;&gt;"",IF(ISNUMBER(FIND(",",Tabela1[[#This Row],[12]])),LEN(Tabela1[[#This Row],[12]])-LEN(SUBSTITUTE(Tabela1[[#This Row],[12]],",",""))+1,1),"")</f>
        <v/>
      </c>
      <c r="AL446" t="str">
        <f>IF(Tabela1[[#This Row],[13]]&lt;&gt;"",IF(ISNUMBER(FIND(",",Tabela1[[#This Row],[13]])),LEN(Tabela1[[#This Row],[13]])-LEN(SUBSTITUTE(Tabela1[[#This Row],[13]],",",""))+1,1),"")</f>
        <v/>
      </c>
      <c r="AM446" t="str">
        <f>IF(Tabela1[[#This Row],[14]]&lt;&gt;"",IF(ISNUMBER(FIND(",",Tabela1[[#This Row],[14]])),LEN(Tabela1[[#This Row],[14]])-LEN(SUBSTITUTE(Tabela1[[#This Row],[14]],",",""))+1,1),"")</f>
        <v/>
      </c>
      <c r="AN446" t="str">
        <f>IF(Tabela1[[#This Row],[15]]&lt;&gt;"",IF(ISNUMBER(FIND(",",Tabela1[[#This Row],[15]])),LEN(Tabela1[[#This Row],[15]])-LEN(SUBSTITUTE(Tabela1[[#This Row],[15]],",",""))+1,1),"")</f>
        <v/>
      </c>
      <c r="AO446" t="str">
        <f>IF(Tabela1[[#This Row],[16]]&lt;&gt;"",IF(ISNUMBER(FIND(",",Tabela1[[#This Row],[16]])),LEN(Tabela1[[#This Row],[16]])-LEN(SUBSTITUTE(Tabela1[[#This Row],[16]],",",""))+1,1),"")</f>
        <v/>
      </c>
      <c r="AP446">
        <f>IF(Tabela1[[#This Row],[17]]&lt;&gt;"",IF(ISNUMBER(FIND(",",Tabela1[[#This Row],[17]])),LEN(Tabela1[[#This Row],[17]])-LEN(SUBSTITUTE(Tabela1[[#This Row],[17]],",",""))+1,1),"")</f>
        <v>1</v>
      </c>
      <c r="AQ446" t="str">
        <f>IF(Tabela1[[#This Row],[18]]&lt;&gt;"",IF(ISNUMBER(FIND(",",Tabela1[[#This Row],[18]])),LEN(Tabela1[[#This Row],[18]])-LEN(SUBSTITUTE(Tabela1[[#This Row],[18]],",",""))+1,1),"")</f>
        <v/>
      </c>
      <c r="AR446" s="13" t="str">
        <f>IF(Tabela1[[#This Row],[19_LENGTH]]&lt;&gt;"",IF(ISNUMBER(FIND(",",Tabela1[[#This Row],[19_LENGTH]])),LEN(Tabela1[[#This Row],[19_LENGTH]])-LEN(SUBSTITUTE(Tabela1[[#This Row],[19_LENGTH]],",",""))+1,1),"")</f>
        <v/>
      </c>
      <c r="AS446" s="21">
        <f>SUM(Tabela1[[#This Row],[1_]:[19_]])</f>
        <v>3</v>
      </c>
    </row>
    <row r="447" spans="1:45" x14ac:dyDescent="0.25">
      <c r="A447" s="27" t="s">
        <v>1325</v>
      </c>
      <c r="B447" s="19" t="s">
        <v>525</v>
      </c>
      <c r="C447" s="19">
        <v>202</v>
      </c>
      <c r="D447" s="19" t="s">
        <v>1304</v>
      </c>
      <c r="E447" s="20">
        <v>43531</v>
      </c>
      <c r="F447" s="19"/>
      <c r="G447" s="19"/>
      <c r="H447" s="19" t="s">
        <v>188</v>
      </c>
      <c r="I447" s="19" t="s">
        <v>189</v>
      </c>
      <c r="J447" s="19"/>
      <c r="K447" s="19"/>
      <c r="L447" s="19"/>
      <c r="M447" s="19"/>
      <c r="N447" s="19"/>
      <c r="O447" s="19"/>
      <c r="P447" s="19"/>
      <c r="Q447" s="19"/>
      <c r="R447" s="19"/>
      <c r="S447" s="19"/>
      <c r="T447" s="19"/>
      <c r="U447" s="19"/>
      <c r="V447" s="19"/>
      <c r="W447" s="19"/>
      <c r="X447" s="19"/>
      <c r="Y447" s="19"/>
      <c r="Z447" t="str">
        <f>IF(Tabela1[[#This Row],[1]]&lt;&gt;"",IF(ISNUMBER(FIND(",",Tabela1[[#This Row],[1]])),LEN(Tabela1[[#This Row],[1]])-LEN(SUBSTITUTE(Tabela1[[#This Row],[1]],",",""))+1,1),"")</f>
        <v/>
      </c>
      <c r="AA447" t="str">
        <f>IF(Tabela1[[#This Row],[2]]&lt;&gt;"",IF(ISNUMBER(FIND(",",Tabela1[[#This Row],[2]])),LEN(Tabela1[[#This Row],[2]])-LEN(SUBSTITUTE(Tabela1[[#This Row],[2]],",",""))+1,1),"")</f>
        <v/>
      </c>
      <c r="AB447">
        <f>IF(Tabela1[[#This Row],[3]]&lt;&gt;"",IF(ISNUMBER(FIND(",",Tabela1[[#This Row],[3]])),LEN(Tabela1[[#This Row],[3]])-LEN(SUBSTITUTE(Tabela1[[#This Row],[3]],",",""))+1,1),"")</f>
        <v>1</v>
      </c>
      <c r="AC447">
        <f>IF(Tabela1[[#This Row],[4]]&lt;&gt;"",IF(ISNUMBER(FIND(",",Tabela1[[#This Row],[4]])),LEN(Tabela1[[#This Row],[4]])-LEN(SUBSTITUTE(Tabela1[[#This Row],[4]],",",""))+1,1),"")</f>
        <v>2</v>
      </c>
      <c r="AD447" t="str">
        <f>IF(Tabela1[[#This Row],[5]]&lt;&gt;"",IF(ISNUMBER(FIND(",",Tabela1[[#This Row],[5]])),LEN(Tabela1[[#This Row],[5]])-LEN(SUBSTITUTE(Tabela1[[#This Row],[5]],",",""))+1,1),"")</f>
        <v/>
      </c>
      <c r="AE447" t="str">
        <f>IF(Tabela1[[#This Row],[6]]&lt;&gt;"",IF(ISNUMBER(FIND(",",Tabela1[[#This Row],[6]])),LEN(Tabela1[[#This Row],[6]])-LEN(SUBSTITUTE(Tabela1[[#This Row],[6]],",",""))+1,1),"")</f>
        <v/>
      </c>
      <c r="AF447" t="str">
        <f>IF(Tabela1[[#This Row],[7]]&lt;&gt;"",IF(ISNUMBER(FIND(",",Tabela1[[#This Row],[7]])),LEN(Tabela1[[#This Row],[7]])-LEN(SUBSTITUTE(Tabela1[[#This Row],[7]],",",""))+1,1),"")</f>
        <v/>
      </c>
      <c r="AG447" t="str">
        <f>IF(Tabela1[[#This Row],[8]]&lt;&gt;"",IF(ISNUMBER(FIND(",",Tabela1[[#This Row],[8]])),LEN(Tabela1[[#This Row],[8]])-LEN(SUBSTITUTE(Tabela1[[#This Row],[8]],",",""))+1,1),"")</f>
        <v/>
      </c>
      <c r="AH447" t="str">
        <f>IF(Tabela1[[#This Row],[9]]&lt;&gt;"",IF(ISNUMBER(FIND(",",Tabela1[[#This Row],[9]])),LEN(Tabela1[[#This Row],[9]])-LEN(SUBSTITUTE(Tabela1[[#This Row],[9]],",",""))+1,1),"")</f>
        <v/>
      </c>
      <c r="AI447" t="str">
        <f>IF(Tabela1[[#This Row],[10]]&lt;&gt;"",IF(ISNUMBER(FIND(",",Tabela1[[#This Row],[10]])),LEN(Tabela1[[#This Row],[10]])-LEN(SUBSTITUTE(Tabela1[[#This Row],[10]],",",""))+1,1),"")</f>
        <v/>
      </c>
      <c r="AJ447" t="str">
        <f>IF(Tabela1[[#This Row],[11]]&lt;&gt;"",IF(ISNUMBER(FIND(",",Tabela1[[#This Row],[11]])),LEN(Tabela1[[#This Row],[11]])-LEN(SUBSTITUTE(Tabela1[[#This Row],[11]],",",""))+1,1),"")</f>
        <v/>
      </c>
      <c r="AK447" t="str">
        <f>IF(Tabela1[[#This Row],[12]]&lt;&gt;"",IF(ISNUMBER(FIND(",",Tabela1[[#This Row],[12]])),LEN(Tabela1[[#This Row],[12]])-LEN(SUBSTITUTE(Tabela1[[#This Row],[12]],",",""))+1,1),"")</f>
        <v/>
      </c>
      <c r="AL447" t="str">
        <f>IF(Tabela1[[#This Row],[13]]&lt;&gt;"",IF(ISNUMBER(FIND(",",Tabela1[[#This Row],[13]])),LEN(Tabela1[[#This Row],[13]])-LEN(SUBSTITUTE(Tabela1[[#This Row],[13]],",",""))+1,1),"")</f>
        <v/>
      </c>
      <c r="AM447" t="str">
        <f>IF(Tabela1[[#This Row],[14]]&lt;&gt;"",IF(ISNUMBER(FIND(",",Tabela1[[#This Row],[14]])),LEN(Tabela1[[#This Row],[14]])-LEN(SUBSTITUTE(Tabela1[[#This Row],[14]],",",""))+1,1),"")</f>
        <v/>
      </c>
      <c r="AN447" t="str">
        <f>IF(Tabela1[[#This Row],[15]]&lt;&gt;"",IF(ISNUMBER(FIND(",",Tabela1[[#This Row],[15]])),LEN(Tabela1[[#This Row],[15]])-LEN(SUBSTITUTE(Tabela1[[#This Row],[15]],",",""))+1,1),"")</f>
        <v/>
      </c>
      <c r="AO447" t="str">
        <f>IF(Tabela1[[#This Row],[16]]&lt;&gt;"",IF(ISNUMBER(FIND(",",Tabela1[[#This Row],[16]])),LEN(Tabela1[[#This Row],[16]])-LEN(SUBSTITUTE(Tabela1[[#This Row],[16]],",",""))+1,1),"")</f>
        <v/>
      </c>
      <c r="AP447" t="str">
        <f>IF(Tabela1[[#This Row],[17]]&lt;&gt;"",IF(ISNUMBER(FIND(",",Tabela1[[#This Row],[17]])),LEN(Tabela1[[#This Row],[17]])-LEN(SUBSTITUTE(Tabela1[[#This Row],[17]],",",""))+1,1),"")</f>
        <v/>
      </c>
      <c r="AQ447" t="str">
        <f>IF(Tabela1[[#This Row],[18]]&lt;&gt;"",IF(ISNUMBER(FIND(",",Tabela1[[#This Row],[18]])),LEN(Tabela1[[#This Row],[18]])-LEN(SUBSTITUTE(Tabela1[[#This Row],[18]],",",""))+1,1),"")</f>
        <v/>
      </c>
      <c r="AR447" s="13" t="str">
        <f>IF(Tabela1[[#This Row],[19_LENGTH]]&lt;&gt;"",IF(ISNUMBER(FIND(",",Tabela1[[#This Row],[19_LENGTH]])),LEN(Tabela1[[#This Row],[19_LENGTH]])-LEN(SUBSTITUTE(Tabela1[[#This Row],[19_LENGTH]],",",""))+1,1),"")</f>
        <v/>
      </c>
      <c r="AS447" s="21">
        <f>SUM(Tabela1[[#This Row],[1_]:[19_]])</f>
        <v>3</v>
      </c>
    </row>
    <row r="448" spans="1:45" x14ac:dyDescent="0.25">
      <c r="A448" s="27" t="s">
        <v>1325</v>
      </c>
      <c r="B448" s="19" t="s">
        <v>526</v>
      </c>
      <c r="C448" s="19">
        <v>202</v>
      </c>
      <c r="D448" s="19" t="s">
        <v>1304</v>
      </c>
      <c r="E448" s="20">
        <v>43531</v>
      </c>
      <c r="F448" s="19"/>
      <c r="G448" s="19"/>
      <c r="H448" s="19">
        <v>79</v>
      </c>
      <c r="I448" s="19">
        <v>151</v>
      </c>
      <c r="J448" s="19"/>
      <c r="K448" s="19"/>
      <c r="L448" s="19"/>
      <c r="M448" s="19"/>
      <c r="N448" s="19"/>
      <c r="O448" s="19"/>
      <c r="P448" s="19"/>
      <c r="Q448" s="19"/>
      <c r="R448" s="19"/>
      <c r="S448" s="19"/>
      <c r="T448" s="19"/>
      <c r="U448" s="19"/>
      <c r="V448" s="19"/>
      <c r="W448" s="19"/>
      <c r="X448" s="19"/>
      <c r="Y448" s="19"/>
      <c r="Z448" t="str">
        <f>IF(Tabela1[[#This Row],[1]]&lt;&gt;"",IF(ISNUMBER(FIND(",",Tabela1[[#This Row],[1]])),LEN(Tabela1[[#This Row],[1]])-LEN(SUBSTITUTE(Tabela1[[#This Row],[1]],",",""))+1,1),"")</f>
        <v/>
      </c>
      <c r="AA448" t="str">
        <f>IF(Tabela1[[#This Row],[2]]&lt;&gt;"",IF(ISNUMBER(FIND(",",Tabela1[[#This Row],[2]])),LEN(Tabela1[[#This Row],[2]])-LEN(SUBSTITUTE(Tabela1[[#This Row],[2]],",",""))+1,1),"")</f>
        <v/>
      </c>
      <c r="AB448">
        <f>IF(Tabela1[[#This Row],[3]]&lt;&gt;"",IF(ISNUMBER(FIND(",",Tabela1[[#This Row],[3]])),LEN(Tabela1[[#This Row],[3]])-LEN(SUBSTITUTE(Tabela1[[#This Row],[3]],",",""))+1,1),"")</f>
        <v>1</v>
      </c>
      <c r="AC448">
        <f>IF(Tabela1[[#This Row],[4]]&lt;&gt;"",IF(ISNUMBER(FIND(",",Tabela1[[#This Row],[4]])),LEN(Tabela1[[#This Row],[4]])-LEN(SUBSTITUTE(Tabela1[[#This Row],[4]],",",""))+1,1),"")</f>
        <v>1</v>
      </c>
      <c r="AD448" t="str">
        <f>IF(Tabela1[[#This Row],[5]]&lt;&gt;"",IF(ISNUMBER(FIND(",",Tabela1[[#This Row],[5]])),LEN(Tabela1[[#This Row],[5]])-LEN(SUBSTITUTE(Tabela1[[#This Row],[5]],",",""))+1,1),"")</f>
        <v/>
      </c>
      <c r="AE448" t="str">
        <f>IF(Tabela1[[#This Row],[6]]&lt;&gt;"",IF(ISNUMBER(FIND(",",Tabela1[[#This Row],[6]])),LEN(Tabela1[[#This Row],[6]])-LEN(SUBSTITUTE(Tabela1[[#This Row],[6]],",",""))+1,1),"")</f>
        <v/>
      </c>
      <c r="AF448" t="str">
        <f>IF(Tabela1[[#This Row],[7]]&lt;&gt;"",IF(ISNUMBER(FIND(",",Tabela1[[#This Row],[7]])),LEN(Tabela1[[#This Row],[7]])-LEN(SUBSTITUTE(Tabela1[[#This Row],[7]],",",""))+1,1),"")</f>
        <v/>
      </c>
      <c r="AG448" t="str">
        <f>IF(Tabela1[[#This Row],[8]]&lt;&gt;"",IF(ISNUMBER(FIND(",",Tabela1[[#This Row],[8]])),LEN(Tabela1[[#This Row],[8]])-LEN(SUBSTITUTE(Tabela1[[#This Row],[8]],",",""))+1,1),"")</f>
        <v/>
      </c>
      <c r="AH448" t="str">
        <f>IF(Tabela1[[#This Row],[9]]&lt;&gt;"",IF(ISNUMBER(FIND(",",Tabela1[[#This Row],[9]])),LEN(Tabela1[[#This Row],[9]])-LEN(SUBSTITUTE(Tabela1[[#This Row],[9]],",",""))+1,1),"")</f>
        <v/>
      </c>
      <c r="AI448" t="str">
        <f>IF(Tabela1[[#This Row],[10]]&lt;&gt;"",IF(ISNUMBER(FIND(",",Tabela1[[#This Row],[10]])),LEN(Tabela1[[#This Row],[10]])-LEN(SUBSTITUTE(Tabela1[[#This Row],[10]],",",""))+1,1),"")</f>
        <v/>
      </c>
      <c r="AJ448" t="str">
        <f>IF(Tabela1[[#This Row],[11]]&lt;&gt;"",IF(ISNUMBER(FIND(",",Tabela1[[#This Row],[11]])),LEN(Tabela1[[#This Row],[11]])-LEN(SUBSTITUTE(Tabela1[[#This Row],[11]],",",""))+1,1),"")</f>
        <v/>
      </c>
      <c r="AK448" t="str">
        <f>IF(Tabela1[[#This Row],[12]]&lt;&gt;"",IF(ISNUMBER(FIND(",",Tabela1[[#This Row],[12]])),LEN(Tabela1[[#This Row],[12]])-LEN(SUBSTITUTE(Tabela1[[#This Row],[12]],",",""))+1,1),"")</f>
        <v/>
      </c>
      <c r="AL448" t="str">
        <f>IF(Tabela1[[#This Row],[13]]&lt;&gt;"",IF(ISNUMBER(FIND(",",Tabela1[[#This Row],[13]])),LEN(Tabela1[[#This Row],[13]])-LEN(SUBSTITUTE(Tabela1[[#This Row],[13]],",",""))+1,1),"")</f>
        <v/>
      </c>
      <c r="AM448" t="str">
        <f>IF(Tabela1[[#This Row],[14]]&lt;&gt;"",IF(ISNUMBER(FIND(",",Tabela1[[#This Row],[14]])),LEN(Tabela1[[#This Row],[14]])-LEN(SUBSTITUTE(Tabela1[[#This Row],[14]],",",""))+1,1),"")</f>
        <v/>
      </c>
      <c r="AN448" t="str">
        <f>IF(Tabela1[[#This Row],[15]]&lt;&gt;"",IF(ISNUMBER(FIND(",",Tabela1[[#This Row],[15]])),LEN(Tabela1[[#This Row],[15]])-LEN(SUBSTITUTE(Tabela1[[#This Row],[15]],",",""))+1,1),"")</f>
        <v/>
      </c>
      <c r="AO448" t="str">
        <f>IF(Tabela1[[#This Row],[16]]&lt;&gt;"",IF(ISNUMBER(FIND(",",Tabela1[[#This Row],[16]])),LEN(Tabela1[[#This Row],[16]])-LEN(SUBSTITUTE(Tabela1[[#This Row],[16]],",",""))+1,1),"")</f>
        <v/>
      </c>
      <c r="AP448" t="str">
        <f>IF(Tabela1[[#This Row],[17]]&lt;&gt;"",IF(ISNUMBER(FIND(",",Tabela1[[#This Row],[17]])),LEN(Tabela1[[#This Row],[17]])-LEN(SUBSTITUTE(Tabela1[[#This Row],[17]],",",""))+1,1),"")</f>
        <v/>
      </c>
      <c r="AQ448" t="str">
        <f>IF(Tabela1[[#This Row],[18]]&lt;&gt;"",IF(ISNUMBER(FIND(",",Tabela1[[#This Row],[18]])),LEN(Tabela1[[#This Row],[18]])-LEN(SUBSTITUTE(Tabela1[[#This Row],[18]],",",""))+1,1),"")</f>
        <v/>
      </c>
      <c r="AR448" s="13" t="str">
        <f>IF(Tabela1[[#This Row],[19_LENGTH]]&lt;&gt;"",IF(ISNUMBER(FIND(",",Tabela1[[#This Row],[19_LENGTH]])),LEN(Tabela1[[#This Row],[19_LENGTH]])-LEN(SUBSTITUTE(Tabela1[[#This Row],[19_LENGTH]],",",""))+1,1),"")</f>
        <v/>
      </c>
      <c r="AS448" s="21">
        <f>SUM(Tabela1[[#This Row],[1_]:[19_]])</f>
        <v>2</v>
      </c>
    </row>
    <row r="449" spans="1:45" x14ac:dyDescent="0.25">
      <c r="A449" s="27" t="s">
        <v>1325</v>
      </c>
      <c r="B449" s="19" t="s">
        <v>527</v>
      </c>
      <c r="C449" s="19">
        <v>202</v>
      </c>
      <c r="D449" s="19" t="s">
        <v>1304</v>
      </c>
      <c r="E449" s="20">
        <v>43503</v>
      </c>
      <c r="F449" s="19"/>
      <c r="G449" s="19">
        <v>27</v>
      </c>
      <c r="H449" s="19"/>
      <c r="I449" s="19"/>
      <c r="J449" s="19"/>
      <c r="K449" s="19"/>
      <c r="L449" s="19"/>
      <c r="M449" s="19"/>
      <c r="N449" s="19"/>
      <c r="O449" s="19"/>
      <c r="P449" s="19"/>
      <c r="Q449" s="19"/>
      <c r="R449" s="19"/>
      <c r="S449" s="19"/>
      <c r="T449" s="19"/>
      <c r="U449" s="19"/>
      <c r="V449" s="19"/>
      <c r="W449" s="19"/>
      <c r="X449" s="19"/>
      <c r="Y449" s="19"/>
      <c r="Z449" t="str">
        <f>IF(Tabela1[[#This Row],[1]]&lt;&gt;"",IF(ISNUMBER(FIND(",",Tabela1[[#This Row],[1]])),LEN(Tabela1[[#This Row],[1]])-LEN(SUBSTITUTE(Tabela1[[#This Row],[1]],",",""))+1,1),"")</f>
        <v/>
      </c>
      <c r="AA449">
        <f>IF(Tabela1[[#This Row],[2]]&lt;&gt;"",IF(ISNUMBER(FIND(",",Tabela1[[#This Row],[2]])),LEN(Tabela1[[#This Row],[2]])-LEN(SUBSTITUTE(Tabela1[[#This Row],[2]],",",""))+1,1),"")</f>
        <v>1</v>
      </c>
      <c r="AB449" t="str">
        <f>IF(Tabela1[[#This Row],[3]]&lt;&gt;"",IF(ISNUMBER(FIND(",",Tabela1[[#This Row],[3]])),LEN(Tabela1[[#This Row],[3]])-LEN(SUBSTITUTE(Tabela1[[#This Row],[3]],",",""))+1,1),"")</f>
        <v/>
      </c>
      <c r="AC449" t="str">
        <f>IF(Tabela1[[#This Row],[4]]&lt;&gt;"",IF(ISNUMBER(FIND(",",Tabela1[[#This Row],[4]])),LEN(Tabela1[[#This Row],[4]])-LEN(SUBSTITUTE(Tabela1[[#This Row],[4]],",",""))+1,1),"")</f>
        <v/>
      </c>
      <c r="AD449" t="str">
        <f>IF(Tabela1[[#This Row],[5]]&lt;&gt;"",IF(ISNUMBER(FIND(",",Tabela1[[#This Row],[5]])),LEN(Tabela1[[#This Row],[5]])-LEN(SUBSTITUTE(Tabela1[[#This Row],[5]],",",""))+1,1),"")</f>
        <v/>
      </c>
      <c r="AE449" t="str">
        <f>IF(Tabela1[[#This Row],[6]]&lt;&gt;"",IF(ISNUMBER(FIND(",",Tabela1[[#This Row],[6]])),LEN(Tabela1[[#This Row],[6]])-LEN(SUBSTITUTE(Tabela1[[#This Row],[6]],",",""))+1,1),"")</f>
        <v/>
      </c>
      <c r="AF449" t="str">
        <f>IF(Tabela1[[#This Row],[7]]&lt;&gt;"",IF(ISNUMBER(FIND(",",Tabela1[[#This Row],[7]])),LEN(Tabela1[[#This Row],[7]])-LEN(SUBSTITUTE(Tabela1[[#This Row],[7]],",",""))+1,1),"")</f>
        <v/>
      </c>
      <c r="AG449" t="str">
        <f>IF(Tabela1[[#This Row],[8]]&lt;&gt;"",IF(ISNUMBER(FIND(",",Tabela1[[#This Row],[8]])),LEN(Tabela1[[#This Row],[8]])-LEN(SUBSTITUTE(Tabela1[[#This Row],[8]],",",""))+1,1),"")</f>
        <v/>
      </c>
      <c r="AH449" t="str">
        <f>IF(Tabela1[[#This Row],[9]]&lt;&gt;"",IF(ISNUMBER(FIND(",",Tabela1[[#This Row],[9]])),LEN(Tabela1[[#This Row],[9]])-LEN(SUBSTITUTE(Tabela1[[#This Row],[9]],",",""))+1,1),"")</f>
        <v/>
      </c>
      <c r="AI449" t="str">
        <f>IF(Tabela1[[#This Row],[10]]&lt;&gt;"",IF(ISNUMBER(FIND(",",Tabela1[[#This Row],[10]])),LEN(Tabela1[[#This Row],[10]])-LEN(SUBSTITUTE(Tabela1[[#This Row],[10]],",",""))+1,1),"")</f>
        <v/>
      </c>
      <c r="AJ449" t="str">
        <f>IF(Tabela1[[#This Row],[11]]&lt;&gt;"",IF(ISNUMBER(FIND(",",Tabela1[[#This Row],[11]])),LEN(Tabela1[[#This Row],[11]])-LEN(SUBSTITUTE(Tabela1[[#This Row],[11]],",",""))+1,1),"")</f>
        <v/>
      </c>
      <c r="AK449" t="str">
        <f>IF(Tabela1[[#This Row],[12]]&lt;&gt;"",IF(ISNUMBER(FIND(",",Tabela1[[#This Row],[12]])),LEN(Tabela1[[#This Row],[12]])-LEN(SUBSTITUTE(Tabela1[[#This Row],[12]],",",""))+1,1),"")</f>
        <v/>
      </c>
      <c r="AL449" t="str">
        <f>IF(Tabela1[[#This Row],[13]]&lt;&gt;"",IF(ISNUMBER(FIND(",",Tabela1[[#This Row],[13]])),LEN(Tabela1[[#This Row],[13]])-LEN(SUBSTITUTE(Tabela1[[#This Row],[13]],",",""))+1,1),"")</f>
        <v/>
      </c>
      <c r="AM449" t="str">
        <f>IF(Tabela1[[#This Row],[14]]&lt;&gt;"",IF(ISNUMBER(FIND(",",Tabela1[[#This Row],[14]])),LEN(Tabela1[[#This Row],[14]])-LEN(SUBSTITUTE(Tabela1[[#This Row],[14]],",",""))+1,1),"")</f>
        <v/>
      </c>
      <c r="AN449" t="str">
        <f>IF(Tabela1[[#This Row],[15]]&lt;&gt;"",IF(ISNUMBER(FIND(",",Tabela1[[#This Row],[15]])),LEN(Tabela1[[#This Row],[15]])-LEN(SUBSTITUTE(Tabela1[[#This Row],[15]],",",""))+1,1),"")</f>
        <v/>
      </c>
      <c r="AO449" t="str">
        <f>IF(Tabela1[[#This Row],[16]]&lt;&gt;"",IF(ISNUMBER(FIND(",",Tabela1[[#This Row],[16]])),LEN(Tabela1[[#This Row],[16]])-LEN(SUBSTITUTE(Tabela1[[#This Row],[16]],",",""))+1,1),"")</f>
        <v/>
      </c>
      <c r="AP449" t="str">
        <f>IF(Tabela1[[#This Row],[17]]&lt;&gt;"",IF(ISNUMBER(FIND(",",Tabela1[[#This Row],[17]])),LEN(Tabela1[[#This Row],[17]])-LEN(SUBSTITUTE(Tabela1[[#This Row],[17]],",",""))+1,1),"")</f>
        <v/>
      </c>
      <c r="AQ449" t="str">
        <f>IF(Tabela1[[#This Row],[18]]&lt;&gt;"",IF(ISNUMBER(FIND(",",Tabela1[[#This Row],[18]])),LEN(Tabela1[[#This Row],[18]])-LEN(SUBSTITUTE(Tabela1[[#This Row],[18]],",",""))+1,1),"")</f>
        <v/>
      </c>
      <c r="AR449" s="13" t="str">
        <f>IF(Tabela1[[#This Row],[19_LENGTH]]&lt;&gt;"",IF(ISNUMBER(FIND(",",Tabela1[[#This Row],[19_LENGTH]])),LEN(Tabela1[[#This Row],[19_LENGTH]])-LEN(SUBSTITUTE(Tabela1[[#This Row],[19_LENGTH]],",",""))+1,1),"")</f>
        <v/>
      </c>
      <c r="AS449" s="21">
        <f>SUM(Tabela1[[#This Row],[1_]:[19_]])</f>
        <v>1</v>
      </c>
    </row>
    <row r="450" spans="1:45" x14ac:dyDescent="0.25">
      <c r="A450" s="27" t="s">
        <v>1325</v>
      </c>
      <c r="B450" s="19" t="s">
        <v>528</v>
      </c>
      <c r="C450" s="19">
        <v>202</v>
      </c>
      <c r="D450" s="19" t="s">
        <v>1315</v>
      </c>
      <c r="E450" s="20">
        <v>43531</v>
      </c>
      <c r="F450" s="19"/>
      <c r="G450" s="19"/>
      <c r="H450" s="19">
        <v>12</v>
      </c>
      <c r="I450" s="19">
        <v>149</v>
      </c>
      <c r="J450" s="19">
        <v>141</v>
      </c>
      <c r="K450" s="19"/>
      <c r="L450" s="19"/>
      <c r="M450" s="19"/>
      <c r="N450" s="19"/>
      <c r="O450" s="19"/>
      <c r="P450" s="19"/>
      <c r="Q450" s="19"/>
      <c r="R450" s="19"/>
      <c r="S450" s="19"/>
      <c r="T450" s="19"/>
      <c r="U450" s="19">
        <v>13</v>
      </c>
      <c r="V450" s="19"/>
      <c r="W450" s="19"/>
      <c r="X450" s="19"/>
      <c r="Y450" s="19"/>
      <c r="Z450" t="str">
        <f>IF(Tabela1[[#This Row],[1]]&lt;&gt;"",IF(ISNUMBER(FIND(",",Tabela1[[#This Row],[1]])),LEN(Tabela1[[#This Row],[1]])-LEN(SUBSTITUTE(Tabela1[[#This Row],[1]],",",""))+1,1),"")</f>
        <v/>
      </c>
      <c r="AA450" t="str">
        <f>IF(Tabela1[[#This Row],[2]]&lt;&gt;"",IF(ISNUMBER(FIND(",",Tabela1[[#This Row],[2]])),LEN(Tabela1[[#This Row],[2]])-LEN(SUBSTITUTE(Tabela1[[#This Row],[2]],",",""))+1,1),"")</f>
        <v/>
      </c>
      <c r="AB450">
        <f>IF(Tabela1[[#This Row],[3]]&lt;&gt;"",IF(ISNUMBER(FIND(",",Tabela1[[#This Row],[3]])),LEN(Tabela1[[#This Row],[3]])-LEN(SUBSTITUTE(Tabela1[[#This Row],[3]],",",""))+1,1),"")</f>
        <v>1</v>
      </c>
      <c r="AC450">
        <f>IF(Tabela1[[#This Row],[4]]&lt;&gt;"",IF(ISNUMBER(FIND(",",Tabela1[[#This Row],[4]])),LEN(Tabela1[[#This Row],[4]])-LEN(SUBSTITUTE(Tabela1[[#This Row],[4]],",",""))+1,1),"")</f>
        <v>1</v>
      </c>
      <c r="AD450">
        <f>IF(Tabela1[[#This Row],[5]]&lt;&gt;"",IF(ISNUMBER(FIND(",",Tabela1[[#This Row],[5]])),LEN(Tabela1[[#This Row],[5]])-LEN(SUBSTITUTE(Tabela1[[#This Row],[5]],",",""))+1,1),"")</f>
        <v>1</v>
      </c>
      <c r="AE450" t="str">
        <f>IF(Tabela1[[#This Row],[6]]&lt;&gt;"",IF(ISNUMBER(FIND(",",Tabela1[[#This Row],[6]])),LEN(Tabela1[[#This Row],[6]])-LEN(SUBSTITUTE(Tabela1[[#This Row],[6]],",",""))+1,1),"")</f>
        <v/>
      </c>
      <c r="AF450" t="str">
        <f>IF(Tabela1[[#This Row],[7]]&lt;&gt;"",IF(ISNUMBER(FIND(",",Tabela1[[#This Row],[7]])),LEN(Tabela1[[#This Row],[7]])-LEN(SUBSTITUTE(Tabela1[[#This Row],[7]],",",""))+1,1),"")</f>
        <v/>
      </c>
      <c r="AG450" t="str">
        <f>IF(Tabela1[[#This Row],[8]]&lt;&gt;"",IF(ISNUMBER(FIND(",",Tabela1[[#This Row],[8]])),LEN(Tabela1[[#This Row],[8]])-LEN(SUBSTITUTE(Tabela1[[#This Row],[8]],",",""))+1,1),"")</f>
        <v/>
      </c>
      <c r="AH450" t="str">
        <f>IF(Tabela1[[#This Row],[9]]&lt;&gt;"",IF(ISNUMBER(FIND(",",Tabela1[[#This Row],[9]])),LEN(Tabela1[[#This Row],[9]])-LEN(SUBSTITUTE(Tabela1[[#This Row],[9]],",",""))+1,1),"")</f>
        <v/>
      </c>
      <c r="AI450" t="str">
        <f>IF(Tabela1[[#This Row],[10]]&lt;&gt;"",IF(ISNUMBER(FIND(",",Tabela1[[#This Row],[10]])),LEN(Tabela1[[#This Row],[10]])-LEN(SUBSTITUTE(Tabela1[[#This Row],[10]],",",""))+1,1),"")</f>
        <v/>
      </c>
      <c r="AJ450" t="str">
        <f>IF(Tabela1[[#This Row],[11]]&lt;&gt;"",IF(ISNUMBER(FIND(",",Tabela1[[#This Row],[11]])),LEN(Tabela1[[#This Row],[11]])-LEN(SUBSTITUTE(Tabela1[[#This Row],[11]],",",""))+1,1),"")</f>
        <v/>
      </c>
      <c r="AK450" t="str">
        <f>IF(Tabela1[[#This Row],[12]]&lt;&gt;"",IF(ISNUMBER(FIND(",",Tabela1[[#This Row],[12]])),LEN(Tabela1[[#This Row],[12]])-LEN(SUBSTITUTE(Tabela1[[#This Row],[12]],",",""))+1,1),"")</f>
        <v/>
      </c>
      <c r="AL450" t="str">
        <f>IF(Tabela1[[#This Row],[13]]&lt;&gt;"",IF(ISNUMBER(FIND(",",Tabela1[[#This Row],[13]])),LEN(Tabela1[[#This Row],[13]])-LEN(SUBSTITUTE(Tabela1[[#This Row],[13]],",",""))+1,1),"")</f>
        <v/>
      </c>
      <c r="AM450" t="str">
        <f>IF(Tabela1[[#This Row],[14]]&lt;&gt;"",IF(ISNUMBER(FIND(",",Tabela1[[#This Row],[14]])),LEN(Tabela1[[#This Row],[14]])-LEN(SUBSTITUTE(Tabela1[[#This Row],[14]],",",""))+1,1),"")</f>
        <v/>
      </c>
      <c r="AN450" t="str">
        <f>IF(Tabela1[[#This Row],[15]]&lt;&gt;"",IF(ISNUMBER(FIND(",",Tabela1[[#This Row],[15]])),LEN(Tabela1[[#This Row],[15]])-LEN(SUBSTITUTE(Tabela1[[#This Row],[15]],",",""))+1,1),"")</f>
        <v/>
      </c>
      <c r="AO450">
        <f>IF(Tabela1[[#This Row],[16]]&lt;&gt;"",IF(ISNUMBER(FIND(",",Tabela1[[#This Row],[16]])),LEN(Tabela1[[#This Row],[16]])-LEN(SUBSTITUTE(Tabela1[[#This Row],[16]],",",""))+1,1),"")</f>
        <v>1</v>
      </c>
      <c r="AP450" t="str">
        <f>IF(Tabela1[[#This Row],[17]]&lt;&gt;"",IF(ISNUMBER(FIND(",",Tabela1[[#This Row],[17]])),LEN(Tabela1[[#This Row],[17]])-LEN(SUBSTITUTE(Tabela1[[#This Row],[17]],",",""))+1,1),"")</f>
        <v/>
      </c>
      <c r="AQ450" t="str">
        <f>IF(Tabela1[[#This Row],[18]]&lt;&gt;"",IF(ISNUMBER(FIND(",",Tabela1[[#This Row],[18]])),LEN(Tabela1[[#This Row],[18]])-LEN(SUBSTITUTE(Tabela1[[#This Row],[18]],",",""))+1,1),"")</f>
        <v/>
      </c>
      <c r="AR450" s="13" t="str">
        <f>IF(Tabela1[[#This Row],[19_LENGTH]]&lt;&gt;"",IF(ISNUMBER(FIND(",",Tabela1[[#This Row],[19_LENGTH]])),LEN(Tabela1[[#This Row],[19_LENGTH]])-LEN(SUBSTITUTE(Tabela1[[#This Row],[19_LENGTH]],",",""))+1,1),"")</f>
        <v/>
      </c>
      <c r="AS450" s="21">
        <f>SUM(Tabela1[[#This Row],[1_]:[19_]])</f>
        <v>4</v>
      </c>
    </row>
    <row r="451" spans="1:45" x14ac:dyDescent="0.25">
      <c r="A451" s="27" t="s">
        <v>1325</v>
      </c>
      <c r="B451" s="19" t="s">
        <v>529</v>
      </c>
      <c r="C451" s="19">
        <v>202</v>
      </c>
      <c r="D451" s="19" t="s">
        <v>1315</v>
      </c>
      <c r="E451" s="20">
        <v>43531</v>
      </c>
      <c r="F451" s="19"/>
      <c r="G451" s="19">
        <v>191</v>
      </c>
      <c r="H451" s="19"/>
      <c r="I451" s="19"/>
      <c r="J451" s="19"/>
      <c r="K451" s="19"/>
      <c r="L451" s="19"/>
      <c r="M451" s="19"/>
      <c r="N451" s="19"/>
      <c r="O451" s="19"/>
      <c r="P451" s="19"/>
      <c r="Q451" s="19"/>
      <c r="R451" s="19"/>
      <c r="S451" s="19"/>
      <c r="T451" s="19"/>
      <c r="U451" s="19"/>
      <c r="V451" s="19"/>
      <c r="W451" s="19"/>
      <c r="X451" s="19"/>
      <c r="Y451" s="19"/>
      <c r="Z451" t="str">
        <f>IF(Tabela1[[#This Row],[1]]&lt;&gt;"",IF(ISNUMBER(FIND(",",Tabela1[[#This Row],[1]])),LEN(Tabela1[[#This Row],[1]])-LEN(SUBSTITUTE(Tabela1[[#This Row],[1]],",",""))+1,1),"")</f>
        <v/>
      </c>
      <c r="AA451">
        <f>IF(Tabela1[[#This Row],[2]]&lt;&gt;"",IF(ISNUMBER(FIND(",",Tabela1[[#This Row],[2]])),LEN(Tabela1[[#This Row],[2]])-LEN(SUBSTITUTE(Tabela1[[#This Row],[2]],",",""))+1,1),"")</f>
        <v>1</v>
      </c>
      <c r="AB451" t="str">
        <f>IF(Tabela1[[#This Row],[3]]&lt;&gt;"",IF(ISNUMBER(FIND(",",Tabela1[[#This Row],[3]])),LEN(Tabela1[[#This Row],[3]])-LEN(SUBSTITUTE(Tabela1[[#This Row],[3]],",",""))+1,1),"")</f>
        <v/>
      </c>
      <c r="AC451" t="str">
        <f>IF(Tabela1[[#This Row],[4]]&lt;&gt;"",IF(ISNUMBER(FIND(",",Tabela1[[#This Row],[4]])),LEN(Tabela1[[#This Row],[4]])-LEN(SUBSTITUTE(Tabela1[[#This Row],[4]],",",""))+1,1),"")</f>
        <v/>
      </c>
      <c r="AD451" t="str">
        <f>IF(Tabela1[[#This Row],[5]]&lt;&gt;"",IF(ISNUMBER(FIND(",",Tabela1[[#This Row],[5]])),LEN(Tabela1[[#This Row],[5]])-LEN(SUBSTITUTE(Tabela1[[#This Row],[5]],",",""))+1,1),"")</f>
        <v/>
      </c>
      <c r="AE451" t="str">
        <f>IF(Tabela1[[#This Row],[6]]&lt;&gt;"",IF(ISNUMBER(FIND(",",Tabela1[[#This Row],[6]])),LEN(Tabela1[[#This Row],[6]])-LEN(SUBSTITUTE(Tabela1[[#This Row],[6]],",",""))+1,1),"")</f>
        <v/>
      </c>
      <c r="AF451" t="str">
        <f>IF(Tabela1[[#This Row],[7]]&lt;&gt;"",IF(ISNUMBER(FIND(",",Tabela1[[#This Row],[7]])),LEN(Tabela1[[#This Row],[7]])-LEN(SUBSTITUTE(Tabela1[[#This Row],[7]],",",""))+1,1),"")</f>
        <v/>
      </c>
      <c r="AG451" t="str">
        <f>IF(Tabela1[[#This Row],[8]]&lt;&gt;"",IF(ISNUMBER(FIND(",",Tabela1[[#This Row],[8]])),LEN(Tabela1[[#This Row],[8]])-LEN(SUBSTITUTE(Tabela1[[#This Row],[8]],",",""))+1,1),"")</f>
        <v/>
      </c>
      <c r="AH451" t="str">
        <f>IF(Tabela1[[#This Row],[9]]&lt;&gt;"",IF(ISNUMBER(FIND(",",Tabela1[[#This Row],[9]])),LEN(Tabela1[[#This Row],[9]])-LEN(SUBSTITUTE(Tabela1[[#This Row],[9]],",",""))+1,1),"")</f>
        <v/>
      </c>
      <c r="AI451" t="str">
        <f>IF(Tabela1[[#This Row],[10]]&lt;&gt;"",IF(ISNUMBER(FIND(",",Tabela1[[#This Row],[10]])),LEN(Tabela1[[#This Row],[10]])-LEN(SUBSTITUTE(Tabela1[[#This Row],[10]],",",""))+1,1),"")</f>
        <v/>
      </c>
      <c r="AJ451" t="str">
        <f>IF(Tabela1[[#This Row],[11]]&lt;&gt;"",IF(ISNUMBER(FIND(",",Tabela1[[#This Row],[11]])),LEN(Tabela1[[#This Row],[11]])-LEN(SUBSTITUTE(Tabela1[[#This Row],[11]],",",""))+1,1),"")</f>
        <v/>
      </c>
      <c r="AK451" t="str">
        <f>IF(Tabela1[[#This Row],[12]]&lt;&gt;"",IF(ISNUMBER(FIND(",",Tabela1[[#This Row],[12]])),LEN(Tabela1[[#This Row],[12]])-LEN(SUBSTITUTE(Tabela1[[#This Row],[12]],",",""))+1,1),"")</f>
        <v/>
      </c>
      <c r="AL451" t="str">
        <f>IF(Tabela1[[#This Row],[13]]&lt;&gt;"",IF(ISNUMBER(FIND(",",Tabela1[[#This Row],[13]])),LEN(Tabela1[[#This Row],[13]])-LEN(SUBSTITUTE(Tabela1[[#This Row],[13]],",",""))+1,1),"")</f>
        <v/>
      </c>
      <c r="AM451" t="str">
        <f>IF(Tabela1[[#This Row],[14]]&lt;&gt;"",IF(ISNUMBER(FIND(",",Tabela1[[#This Row],[14]])),LEN(Tabela1[[#This Row],[14]])-LEN(SUBSTITUTE(Tabela1[[#This Row],[14]],",",""))+1,1),"")</f>
        <v/>
      </c>
      <c r="AN451" t="str">
        <f>IF(Tabela1[[#This Row],[15]]&lt;&gt;"",IF(ISNUMBER(FIND(",",Tabela1[[#This Row],[15]])),LEN(Tabela1[[#This Row],[15]])-LEN(SUBSTITUTE(Tabela1[[#This Row],[15]],",",""))+1,1),"")</f>
        <v/>
      </c>
      <c r="AO451" t="str">
        <f>IF(Tabela1[[#This Row],[16]]&lt;&gt;"",IF(ISNUMBER(FIND(",",Tabela1[[#This Row],[16]])),LEN(Tabela1[[#This Row],[16]])-LEN(SUBSTITUTE(Tabela1[[#This Row],[16]],",",""))+1,1),"")</f>
        <v/>
      </c>
      <c r="AP451" t="str">
        <f>IF(Tabela1[[#This Row],[17]]&lt;&gt;"",IF(ISNUMBER(FIND(",",Tabela1[[#This Row],[17]])),LEN(Tabela1[[#This Row],[17]])-LEN(SUBSTITUTE(Tabela1[[#This Row],[17]],",",""))+1,1),"")</f>
        <v/>
      </c>
      <c r="AQ451" t="str">
        <f>IF(Tabela1[[#This Row],[18]]&lt;&gt;"",IF(ISNUMBER(FIND(",",Tabela1[[#This Row],[18]])),LEN(Tabela1[[#This Row],[18]])-LEN(SUBSTITUTE(Tabela1[[#This Row],[18]],",",""))+1,1),"")</f>
        <v/>
      </c>
      <c r="AR451" s="13" t="str">
        <f>IF(Tabela1[[#This Row],[19_LENGTH]]&lt;&gt;"",IF(ISNUMBER(FIND(",",Tabela1[[#This Row],[19_LENGTH]])),LEN(Tabela1[[#This Row],[19_LENGTH]])-LEN(SUBSTITUTE(Tabela1[[#This Row],[19_LENGTH]],",",""))+1,1),"")</f>
        <v/>
      </c>
      <c r="AS451" s="21">
        <f>SUM(Tabela1[[#This Row],[1_]:[19_]])</f>
        <v>1</v>
      </c>
    </row>
    <row r="452" spans="1:45" x14ac:dyDescent="0.25">
      <c r="A452" s="27" t="s">
        <v>1325</v>
      </c>
      <c r="B452" s="19" t="s">
        <v>530</v>
      </c>
      <c r="C452" s="19">
        <v>202</v>
      </c>
      <c r="D452" s="19" t="s">
        <v>1315</v>
      </c>
      <c r="E452" s="20">
        <v>43531</v>
      </c>
      <c r="F452" s="19"/>
      <c r="G452" s="19"/>
      <c r="H452" s="19">
        <v>7</v>
      </c>
      <c r="I452" s="19">
        <v>139</v>
      </c>
      <c r="J452" s="19"/>
      <c r="K452" s="19"/>
      <c r="L452" s="19"/>
      <c r="M452" s="19"/>
      <c r="N452" s="19"/>
      <c r="O452" s="19"/>
      <c r="P452" s="19"/>
      <c r="Q452" s="19"/>
      <c r="R452" s="19"/>
      <c r="S452" s="19"/>
      <c r="T452" s="19"/>
      <c r="U452" s="19"/>
      <c r="V452" s="19"/>
      <c r="W452" s="19"/>
      <c r="X452" s="19"/>
      <c r="Y452" s="19"/>
      <c r="Z452" t="str">
        <f>IF(Tabela1[[#This Row],[1]]&lt;&gt;"",IF(ISNUMBER(FIND(",",Tabela1[[#This Row],[1]])),LEN(Tabela1[[#This Row],[1]])-LEN(SUBSTITUTE(Tabela1[[#This Row],[1]],",",""))+1,1),"")</f>
        <v/>
      </c>
      <c r="AA452" t="str">
        <f>IF(Tabela1[[#This Row],[2]]&lt;&gt;"",IF(ISNUMBER(FIND(",",Tabela1[[#This Row],[2]])),LEN(Tabela1[[#This Row],[2]])-LEN(SUBSTITUTE(Tabela1[[#This Row],[2]],",",""))+1,1),"")</f>
        <v/>
      </c>
      <c r="AB452">
        <f>IF(Tabela1[[#This Row],[3]]&lt;&gt;"",IF(ISNUMBER(FIND(",",Tabela1[[#This Row],[3]])),LEN(Tabela1[[#This Row],[3]])-LEN(SUBSTITUTE(Tabela1[[#This Row],[3]],",",""))+1,1),"")</f>
        <v>1</v>
      </c>
      <c r="AC452">
        <f>IF(Tabela1[[#This Row],[4]]&lt;&gt;"",IF(ISNUMBER(FIND(",",Tabela1[[#This Row],[4]])),LEN(Tabela1[[#This Row],[4]])-LEN(SUBSTITUTE(Tabela1[[#This Row],[4]],",",""))+1,1),"")</f>
        <v>1</v>
      </c>
      <c r="AD452" t="str">
        <f>IF(Tabela1[[#This Row],[5]]&lt;&gt;"",IF(ISNUMBER(FIND(",",Tabela1[[#This Row],[5]])),LEN(Tabela1[[#This Row],[5]])-LEN(SUBSTITUTE(Tabela1[[#This Row],[5]],",",""))+1,1),"")</f>
        <v/>
      </c>
      <c r="AE452" t="str">
        <f>IF(Tabela1[[#This Row],[6]]&lt;&gt;"",IF(ISNUMBER(FIND(",",Tabela1[[#This Row],[6]])),LEN(Tabela1[[#This Row],[6]])-LEN(SUBSTITUTE(Tabela1[[#This Row],[6]],",",""))+1,1),"")</f>
        <v/>
      </c>
      <c r="AF452" t="str">
        <f>IF(Tabela1[[#This Row],[7]]&lt;&gt;"",IF(ISNUMBER(FIND(",",Tabela1[[#This Row],[7]])),LEN(Tabela1[[#This Row],[7]])-LEN(SUBSTITUTE(Tabela1[[#This Row],[7]],",",""))+1,1),"")</f>
        <v/>
      </c>
      <c r="AG452" t="str">
        <f>IF(Tabela1[[#This Row],[8]]&lt;&gt;"",IF(ISNUMBER(FIND(",",Tabela1[[#This Row],[8]])),LEN(Tabela1[[#This Row],[8]])-LEN(SUBSTITUTE(Tabela1[[#This Row],[8]],",",""))+1,1),"")</f>
        <v/>
      </c>
      <c r="AH452" t="str">
        <f>IF(Tabela1[[#This Row],[9]]&lt;&gt;"",IF(ISNUMBER(FIND(",",Tabela1[[#This Row],[9]])),LEN(Tabela1[[#This Row],[9]])-LEN(SUBSTITUTE(Tabela1[[#This Row],[9]],",",""))+1,1),"")</f>
        <v/>
      </c>
      <c r="AI452" t="str">
        <f>IF(Tabela1[[#This Row],[10]]&lt;&gt;"",IF(ISNUMBER(FIND(",",Tabela1[[#This Row],[10]])),LEN(Tabela1[[#This Row],[10]])-LEN(SUBSTITUTE(Tabela1[[#This Row],[10]],",",""))+1,1),"")</f>
        <v/>
      </c>
      <c r="AJ452" t="str">
        <f>IF(Tabela1[[#This Row],[11]]&lt;&gt;"",IF(ISNUMBER(FIND(",",Tabela1[[#This Row],[11]])),LEN(Tabela1[[#This Row],[11]])-LEN(SUBSTITUTE(Tabela1[[#This Row],[11]],",",""))+1,1),"")</f>
        <v/>
      </c>
      <c r="AK452" t="str">
        <f>IF(Tabela1[[#This Row],[12]]&lt;&gt;"",IF(ISNUMBER(FIND(",",Tabela1[[#This Row],[12]])),LEN(Tabela1[[#This Row],[12]])-LEN(SUBSTITUTE(Tabela1[[#This Row],[12]],",",""))+1,1),"")</f>
        <v/>
      </c>
      <c r="AL452" t="str">
        <f>IF(Tabela1[[#This Row],[13]]&lt;&gt;"",IF(ISNUMBER(FIND(",",Tabela1[[#This Row],[13]])),LEN(Tabela1[[#This Row],[13]])-LEN(SUBSTITUTE(Tabela1[[#This Row],[13]],",",""))+1,1),"")</f>
        <v/>
      </c>
      <c r="AM452" t="str">
        <f>IF(Tabela1[[#This Row],[14]]&lt;&gt;"",IF(ISNUMBER(FIND(",",Tabela1[[#This Row],[14]])),LEN(Tabela1[[#This Row],[14]])-LEN(SUBSTITUTE(Tabela1[[#This Row],[14]],",",""))+1,1),"")</f>
        <v/>
      </c>
      <c r="AN452" t="str">
        <f>IF(Tabela1[[#This Row],[15]]&lt;&gt;"",IF(ISNUMBER(FIND(",",Tabela1[[#This Row],[15]])),LEN(Tabela1[[#This Row],[15]])-LEN(SUBSTITUTE(Tabela1[[#This Row],[15]],",",""))+1,1),"")</f>
        <v/>
      </c>
      <c r="AO452" t="str">
        <f>IF(Tabela1[[#This Row],[16]]&lt;&gt;"",IF(ISNUMBER(FIND(",",Tabela1[[#This Row],[16]])),LEN(Tabela1[[#This Row],[16]])-LEN(SUBSTITUTE(Tabela1[[#This Row],[16]],",",""))+1,1),"")</f>
        <v/>
      </c>
      <c r="AP452" t="str">
        <f>IF(Tabela1[[#This Row],[17]]&lt;&gt;"",IF(ISNUMBER(FIND(",",Tabela1[[#This Row],[17]])),LEN(Tabela1[[#This Row],[17]])-LEN(SUBSTITUTE(Tabela1[[#This Row],[17]],",",""))+1,1),"")</f>
        <v/>
      </c>
      <c r="AQ452" t="str">
        <f>IF(Tabela1[[#This Row],[18]]&lt;&gt;"",IF(ISNUMBER(FIND(",",Tabela1[[#This Row],[18]])),LEN(Tabela1[[#This Row],[18]])-LEN(SUBSTITUTE(Tabela1[[#This Row],[18]],",",""))+1,1),"")</f>
        <v/>
      </c>
      <c r="AR452" s="13" t="str">
        <f>IF(Tabela1[[#This Row],[19_LENGTH]]&lt;&gt;"",IF(ISNUMBER(FIND(",",Tabela1[[#This Row],[19_LENGTH]])),LEN(Tabela1[[#This Row],[19_LENGTH]])-LEN(SUBSTITUTE(Tabela1[[#This Row],[19_LENGTH]],",",""))+1,1),"")</f>
        <v/>
      </c>
      <c r="AS452" s="21">
        <f>SUM(Tabela1[[#This Row],[1_]:[19_]])</f>
        <v>2</v>
      </c>
    </row>
    <row r="453" spans="1:45" x14ac:dyDescent="0.25">
      <c r="A453" s="27" t="s">
        <v>1325</v>
      </c>
      <c r="B453" s="19" t="s">
        <v>531</v>
      </c>
      <c r="C453" s="19">
        <v>202</v>
      </c>
      <c r="D453" s="19" t="s">
        <v>1297</v>
      </c>
      <c r="E453" s="20">
        <v>43531</v>
      </c>
      <c r="F453" s="19"/>
      <c r="G453" s="19"/>
      <c r="H453" s="19"/>
      <c r="I453" s="19">
        <v>23</v>
      </c>
      <c r="J453" s="19"/>
      <c r="K453" s="19"/>
      <c r="L453" s="19"/>
      <c r="M453" s="19"/>
      <c r="N453" s="19"/>
      <c r="O453" s="19"/>
      <c r="P453" s="19"/>
      <c r="Q453" s="19"/>
      <c r="R453" s="19"/>
      <c r="S453" s="19"/>
      <c r="T453" s="19"/>
      <c r="U453" s="19"/>
      <c r="V453" s="19"/>
      <c r="W453" s="19"/>
      <c r="X453" s="19"/>
      <c r="Y453" s="19"/>
      <c r="Z453" t="str">
        <f>IF(Tabela1[[#This Row],[1]]&lt;&gt;"",IF(ISNUMBER(FIND(",",Tabela1[[#This Row],[1]])),LEN(Tabela1[[#This Row],[1]])-LEN(SUBSTITUTE(Tabela1[[#This Row],[1]],",",""))+1,1),"")</f>
        <v/>
      </c>
      <c r="AA453" t="str">
        <f>IF(Tabela1[[#This Row],[2]]&lt;&gt;"",IF(ISNUMBER(FIND(",",Tabela1[[#This Row],[2]])),LEN(Tabela1[[#This Row],[2]])-LEN(SUBSTITUTE(Tabela1[[#This Row],[2]],",",""))+1,1),"")</f>
        <v/>
      </c>
      <c r="AB453" t="str">
        <f>IF(Tabela1[[#This Row],[3]]&lt;&gt;"",IF(ISNUMBER(FIND(",",Tabela1[[#This Row],[3]])),LEN(Tabela1[[#This Row],[3]])-LEN(SUBSTITUTE(Tabela1[[#This Row],[3]],",",""))+1,1),"")</f>
        <v/>
      </c>
      <c r="AC453">
        <f>IF(Tabela1[[#This Row],[4]]&lt;&gt;"",IF(ISNUMBER(FIND(",",Tabela1[[#This Row],[4]])),LEN(Tabela1[[#This Row],[4]])-LEN(SUBSTITUTE(Tabela1[[#This Row],[4]],",",""))+1,1),"")</f>
        <v>1</v>
      </c>
      <c r="AD453" t="str">
        <f>IF(Tabela1[[#This Row],[5]]&lt;&gt;"",IF(ISNUMBER(FIND(",",Tabela1[[#This Row],[5]])),LEN(Tabela1[[#This Row],[5]])-LEN(SUBSTITUTE(Tabela1[[#This Row],[5]],",",""))+1,1),"")</f>
        <v/>
      </c>
      <c r="AE453" t="str">
        <f>IF(Tabela1[[#This Row],[6]]&lt;&gt;"",IF(ISNUMBER(FIND(",",Tabela1[[#This Row],[6]])),LEN(Tabela1[[#This Row],[6]])-LEN(SUBSTITUTE(Tabela1[[#This Row],[6]],",",""))+1,1),"")</f>
        <v/>
      </c>
      <c r="AF453" t="str">
        <f>IF(Tabela1[[#This Row],[7]]&lt;&gt;"",IF(ISNUMBER(FIND(",",Tabela1[[#This Row],[7]])),LEN(Tabela1[[#This Row],[7]])-LEN(SUBSTITUTE(Tabela1[[#This Row],[7]],",",""))+1,1),"")</f>
        <v/>
      </c>
      <c r="AG453" t="str">
        <f>IF(Tabela1[[#This Row],[8]]&lt;&gt;"",IF(ISNUMBER(FIND(",",Tabela1[[#This Row],[8]])),LEN(Tabela1[[#This Row],[8]])-LEN(SUBSTITUTE(Tabela1[[#This Row],[8]],",",""))+1,1),"")</f>
        <v/>
      </c>
      <c r="AH453" t="str">
        <f>IF(Tabela1[[#This Row],[9]]&lt;&gt;"",IF(ISNUMBER(FIND(",",Tabela1[[#This Row],[9]])),LEN(Tabela1[[#This Row],[9]])-LEN(SUBSTITUTE(Tabela1[[#This Row],[9]],",",""))+1,1),"")</f>
        <v/>
      </c>
      <c r="AI453" t="str">
        <f>IF(Tabela1[[#This Row],[10]]&lt;&gt;"",IF(ISNUMBER(FIND(",",Tabela1[[#This Row],[10]])),LEN(Tabela1[[#This Row],[10]])-LEN(SUBSTITUTE(Tabela1[[#This Row],[10]],",",""))+1,1),"")</f>
        <v/>
      </c>
      <c r="AJ453" t="str">
        <f>IF(Tabela1[[#This Row],[11]]&lt;&gt;"",IF(ISNUMBER(FIND(",",Tabela1[[#This Row],[11]])),LEN(Tabela1[[#This Row],[11]])-LEN(SUBSTITUTE(Tabela1[[#This Row],[11]],",",""))+1,1),"")</f>
        <v/>
      </c>
      <c r="AK453" t="str">
        <f>IF(Tabela1[[#This Row],[12]]&lt;&gt;"",IF(ISNUMBER(FIND(",",Tabela1[[#This Row],[12]])),LEN(Tabela1[[#This Row],[12]])-LEN(SUBSTITUTE(Tabela1[[#This Row],[12]],",",""))+1,1),"")</f>
        <v/>
      </c>
      <c r="AL453" t="str">
        <f>IF(Tabela1[[#This Row],[13]]&lt;&gt;"",IF(ISNUMBER(FIND(",",Tabela1[[#This Row],[13]])),LEN(Tabela1[[#This Row],[13]])-LEN(SUBSTITUTE(Tabela1[[#This Row],[13]],",",""))+1,1),"")</f>
        <v/>
      </c>
      <c r="AM453" t="str">
        <f>IF(Tabela1[[#This Row],[14]]&lt;&gt;"",IF(ISNUMBER(FIND(",",Tabela1[[#This Row],[14]])),LEN(Tabela1[[#This Row],[14]])-LEN(SUBSTITUTE(Tabela1[[#This Row],[14]],",",""))+1,1),"")</f>
        <v/>
      </c>
      <c r="AN453" t="str">
        <f>IF(Tabela1[[#This Row],[15]]&lt;&gt;"",IF(ISNUMBER(FIND(",",Tabela1[[#This Row],[15]])),LEN(Tabela1[[#This Row],[15]])-LEN(SUBSTITUTE(Tabela1[[#This Row],[15]],",",""))+1,1),"")</f>
        <v/>
      </c>
      <c r="AO453" t="str">
        <f>IF(Tabela1[[#This Row],[16]]&lt;&gt;"",IF(ISNUMBER(FIND(",",Tabela1[[#This Row],[16]])),LEN(Tabela1[[#This Row],[16]])-LEN(SUBSTITUTE(Tabela1[[#This Row],[16]],",",""))+1,1),"")</f>
        <v/>
      </c>
      <c r="AP453" t="str">
        <f>IF(Tabela1[[#This Row],[17]]&lt;&gt;"",IF(ISNUMBER(FIND(",",Tabela1[[#This Row],[17]])),LEN(Tabela1[[#This Row],[17]])-LEN(SUBSTITUTE(Tabela1[[#This Row],[17]],",",""))+1,1),"")</f>
        <v/>
      </c>
      <c r="AQ453" t="str">
        <f>IF(Tabela1[[#This Row],[18]]&lt;&gt;"",IF(ISNUMBER(FIND(",",Tabela1[[#This Row],[18]])),LEN(Tabela1[[#This Row],[18]])-LEN(SUBSTITUTE(Tabela1[[#This Row],[18]],",",""))+1,1),"")</f>
        <v/>
      </c>
      <c r="AR453" s="13" t="str">
        <f>IF(Tabela1[[#This Row],[19_LENGTH]]&lt;&gt;"",IF(ISNUMBER(FIND(",",Tabela1[[#This Row],[19_LENGTH]])),LEN(Tabela1[[#This Row],[19_LENGTH]])-LEN(SUBSTITUTE(Tabela1[[#This Row],[19_LENGTH]],",",""))+1,1),"")</f>
        <v/>
      </c>
      <c r="AS453" s="21">
        <f>SUM(Tabela1[[#This Row],[1_]:[19_]])</f>
        <v>1</v>
      </c>
    </row>
    <row r="454" spans="1:45" x14ac:dyDescent="0.25">
      <c r="A454" s="27" t="s">
        <v>1325</v>
      </c>
      <c r="B454" s="19" t="s">
        <v>532</v>
      </c>
      <c r="C454" s="19">
        <v>202</v>
      </c>
      <c r="D454" s="19" t="s">
        <v>1297</v>
      </c>
      <c r="E454" s="20">
        <v>43531</v>
      </c>
      <c r="F454" s="19"/>
      <c r="G454" s="19"/>
      <c r="H454" s="19"/>
      <c r="I454" s="19">
        <v>168</v>
      </c>
      <c r="J454" s="19"/>
      <c r="K454" s="19"/>
      <c r="L454" s="19"/>
      <c r="M454" s="19"/>
      <c r="N454" s="19"/>
      <c r="O454" s="19"/>
      <c r="P454" s="19"/>
      <c r="Q454" s="19"/>
      <c r="R454" s="19"/>
      <c r="S454" s="19"/>
      <c r="T454" s="19"/>
      <c r="U454" s="19">
        <v>131</v>
      </c>
      <c r="V454" s="19"/>
      <c r="W454" s="19"/>
      <c r="X454" s="19"/>
      <c r="Y454" s="19"/>
      <c r="Z454" t="str">
        <f>IF(Tabela1[[#This Row],[1]]&lt;&gt;"",IF(ISNUMBER(FIND(",",Tabela1[[#This Row],[1]])),LEN(Tabela1[[#This Row],[1]])-LEN(SUBSTITUTE(Tabela1[[#This Row],[1]],",",""))+1,1),"")</f>
        <v/>
      </c>
      <c r="AA454" t="str">
        <f>IF(Tabela1[[#This Row],[2]]&lt;&gt;"",IF(ISNUMBER(FIND(",",Tabela1[[#This Row],[2]])),LEN(Tabela1[[#This Row],[2]])-LEN(SUBSTITUTE(Tabela1[[#This Row],[2]],",",""))+1,1),"")</f>
        <v/>
      </c>
      <c r="AB454" t="str">
        <f>IF(Tabela1[[#This Row],[3]]&lt;&gt;"",IF(ISNUMBER(FIND(",",Tabela1[[#This Row],[3]])),LEN(Tabela1[[#This Row],[3]])-LEN(SUBSTITUTE(Tabela1[[#This Row],[3]],",",""))+1,1),"")</f>
        <v/>
      </c>
      <c r="AC454">
        <f>IF(Tabela1[[#This Row],[4]]&lt;&gt;"",IF(ISNUMBER(FIND(",",Tabela1[[#This Row],[4]])),LEN(Tabela1[[#This Row],[4]])-LEN(SUBSTITUTE(Tabela1[[#This Row],[4]],",",""))+1,1),"")</f>
        <v>1</v>
      </c>
      <c r="AD454" t="str">
        <f>IF(Tabela1[[#This Row],[5]]&lt;&gt;"",IF(ISNUMBER(FIND(",",Tabela1[[#This Row],[5]])),LEN(Tabela1[[#This Row],[5]])-LEN(SUBSTITUTE(Tabela1[[#This Row],[5]],",",""))+1,1),"")</f>
        <v/>
      </c>
      <c r="AE454" t="str">
        <f>IF(Tabela1[[#This Row],[6]]&lt;&gt;"",IF(ISNUMBER(FIND(",",Tabela1[[#This Row],[6]])),LEN(Tabela1[[#This Row],[6]])-LEN(SUBSTITUTE(Tabela1[[#This Row],[6]],",",""))+1,1),"")</f>
        <v/>
      </c>
      <c r="AF454" t="str">
        <f>IF(Tabela1[[#This Row],[7]]&lt;&gt;"",IF(ISNUMBER(FIND(",",Tabela1[[#This Row],[7]])),LEN(Tabela1[[#This Row],[7]])-LEN(SUBSTITUTE(Tabela1[[#This Row],[7]],",",""))+1,1),"")</f>
        <v/>
      </c>
      <c r="AG454" t="str">
        <f>IF(Tabela1[[#This Row],[8]]&lt;&gt;"",IF(ISNUMBER(FIND(",",Tabela1[[#This Row],[8]])),LEN(Tabela1[[#This Row],[8]])-LEN(SUBSTITUTE(Tabela1[[#This Row],[8]],",",""))+1,1),"")</f>
        <v/>
      </c>
      <c r="AH454" t="str">
        <f>IF(Tabela1[[#This Row],[9]]&lt;&gt;"",IF(ISNUMBER(FIND(",",Tabela1[[#This Row],[9]])),LEN(Tabela1[[#This Row],[9]])-LEN(SUBSTITUTE(Tabela1[[#This Row],[9]],",",""))+1,1),"")</f>
        <v/>
      </c>
      <c r="AI454" t="str">
        <f>IF(Tabela1[[#This Row],[10]]&lt;&gt;"",IF(ISNUMBER(FIND(",",Tabela1[[#This Row],[10]])),LEN(Tabela1[[#This Row],[10]])-LEN(SUBSTITUTE(Tabela1[[#This Row],[10]],",",""))+1,1),"")</f>
        <v/>
      </c>
      <c r="AJ454" t="str">
        <f>IF(Tabela1[[#This Row],[11]]&lt;&gt;"",IF(ISNUMBER(FIND(",",Tabela1[[#This Row],[11]])),LEN(Tabela1[[#This Row],[11]])-LEN(SUBSTITUTE(Tabela1[[#This Row],[11]],",",""))+1,1),"")</f>
        <v/>
      </c>
      <c r="AK454" t="str">
        <f>IF(Tabela1[[#This Row],[12]]&lt;&gt;"",IF(ISNUMBER(FIND(",",Tabela1[[#This Row],[12]])),LEN(Tabela1[[#This Row],[12]])-LEN(SUBSTITUTE(Tabela1[[#This Row],[12]],",",""))+1,1),"")</f>
        <v/>
      </c>
      <c r="AL454" t="str">
        <f>IF(Tabela1[[#This Row],[13]]&lt;&gt;"",IF(ISNUMBER(FIND(",",Tabela1[[#This Row],[13]])),LEN(Tabela1[[#This Row],[13]])-LEN(SUBSTITUTE(Tabela1[[#This Row],[13]],",",""))+1,1),"")</f>
        <v/>
      </c>
      <c r="AM454" t="str">
        <f>IF(Tabela1[[#This Row],[14]]&lt;&gt;"",IF(ISNUMBER(FIND(",",Tabela1[[#This Row],[14]])),LEN(Tabela1[[#This Row],[14]])-LEN(SUBSTITUTE(Tabela1[[#This Row],[14]],",",""))+1,1),"")</f>
        <v/>
      </c>
      <c r="AN454" t="str">
        <f>IF(Tabela1[[#This Row],[15]]&lt;&gt;"",IF(ISNUMBER(FIND(",",Tabela1[[#This Row],[15]])),LEN(Tabela1[[#This Row],[15]])-LEN(SUBSTITUTE(Tabela1[[#This Row],[15]],",",""))+1,1),"")</f>
        <v/>
      </c>
      <c r="AO454">
        <f>IF(Tabela1[[#This Row],[16]]&lt;&gt;"",IF(ISNUMBER(FIND(",",Tabela1[[#This Row],[16]])),LEN(Tabela1[[#This Row],[16]])-LEN(SUBSTITUTE(Tabela1[[#This Row],[16]],",",""))+1,1),"")</f>
        <v>1</v>
      </c>
      <c r="AP454" t="str">
        <f>IF(Tabela1[[#This Row],[17]]&lt;&gt;"",IF(ISNUMBER(FIND(",",Tabela1[[#This Row],[17]])),LEN(Tabela1[[#This Row],[17]])-LEN(SUBSTITUTE(Tabela1[[#This Row],[17]],",",""))+1,1),"")</f>
        <v/>
      </c>
      <c r="AQ454" t="str">
        <f>IF(Tabela1[[#This Row],[18]]&lt;&gt;"",IF(ISNUMBER(FIND(",",Tabela1[[#This Row],[18]])),LEN(Tabela1[[#This Row],[18]])-LEN(SUBSTITUTE(Tabela1[[#This Row],[18]],",",""))+1,1),"")</f>
        <v/>
      </c>
      <c r="AR454" s="13" t="str">
        <f>IF(Tabela1[[#This Row],[19_LENGTH]]&lt;&gt;"",IF(ISNUMBER(FIND(",",Tabela1[[#This Row],[19_LENGTH]])),LEN(Tabela1[[#This Row],[19_LENGTH]])-LEN(SUBSTITUTE(Tabela1[[#This Row],[19_LENGTH]],",",""))+1,1),"")</f>
        <v/>
      </c>
      <c r="AS454" s="21">
        <f>SUM(Tabela1[[#This Row],[1_]:[19_]])</f>
        <v>2</v>
      </c>
    </row>
    <row r="455" spans="1:45" x14ac:dyDescent="0.25">
      <c r="A455" s="27" t="s">
        <v>1325</v>
      </c>
      <c r="B455" s="19" t="s">
        <v>533</v>
      </c>
      <c r="C455" s="19">
        <v>202</v>
      </c>
      <c r="D455" s="19" t="s">
        <v>1297</v>
      </c>
      <c r="E455" s="20">
        <v>43531</v>
      </c>
      <c r="F455" s="19"/>
      <c r="G455" s="19"/>
      <c r="H455" s="19"/>
      <c r="I455" s="19"/>
      <c r="J455" s="19"/>
      <c r="K455" s="19"/>
      <c r="L455" s="19"/>
      <c r="M455" s="19"/>
      <c r="N455" s="19"/>
      <c r="O455" s="19"/>
      <c r="P455" s="19"/>
      <c r="Q455" s="19"/>
      <c r="R455" s="19"/>
      <c r="S455" s="19"/>
      <c r="T455" s="19"/>
      <c r="U455" s="19">
        <v>10</v>
      </c>
      <c r="V455" s="19"/>
      <c r="W455" s="19"/>
      <c r="X455" s="19"/>
      <c r="Y455" s="19"/>
      <c r="Z455" t="str">
        <f>IF(Tabela1[[#This Row],[1]]&lt;&gt;"",IF(ISNUMBER(FIND(",",Tabela1[[#This Row],[1]])),LEN(Tabela1[[#This Row],[1]])-LEN(SUBSTITUTE(Tabela1[[#This Row],[1]],",",""))+1,1),"")</f>
        <v/>
      </c>
      <c r="AA455" t="str">
        <f>IF(Tabela1[[#This Row],[2]]&lt;&gt;"",IF(ISNUMBER(FIND(",",Tabela1[[#This Row],[2]])),LEN(Tabela1[[#This Row],[2]])-LEN(SUBSTITUTE(Tabela1[[#This Row],[2]],",",""))+1,1),"")</f>
        <v/>
      </c>
      <c r="AB455" t="str">
        <f>IF(Tabela1[[#This Row],[3]]&lt;&gt;"",IF(ISNUMBER(FIND(",",Tabela1[[#This Row],[3]])),LEN(Tabela1[[#This Row],[3]])-LEN(SUBSTITUTE(Tabela1[[#This Row],[3]],",",""))+1,1),"")</f>
        <v/>
      </c>
      <c r="AC455" t="str">
        <f>IF(Tabela1[[#This Row],[4]]&lt;&gt;"",IF(ISNUMBER(FIND(",",Tabela1[[#This Row],[4]])),LEN(Tabela1[[#This Row],[4]])-LEN(SUBSTITUTE(Tabela1[[#This Row],[4]],",",""))+1,1),"")</f>
        <v/>
      </c>
      <c r="AD455" t="str">
        <f>IF(Tabela1[[#This Row],[5]]&lt;&gt;"",IF(ISNUMBER(FIND(",",Tabela1[[#This Row],[5]])),LEN(Tabela1[[#This Row],[5]])-LEN(SUBSTITUTE(Tabela1[[#This Row],[5]],",",""))+1,1),"")</f>
        <v/>
      </c>
      <c r="AE455" t="str">
        <f>IF(Tabela1[[#This Row],[6]]&lt;&gt;"",IF(ISNUMBER(FIND(",",Tabela1[[#This Row],[6]])),LEN(Tabela1[[#This Row],[6]])-LEN(SUBSTITUTE(Tabela1[[#This Row],[6]],",",""))+1,1),"")</f>
        <v/>
      </c>
      <c r="AF455" t="str">
        <f>IF(Tabela1[[#This Row],[7]]&lt;&gt;"",IF(ISNUMBER(FIND(",",Tabela1[[#This Row],[7]])),LEN(Tabela1[[#This Row],[7]])-LEN(SUBSTITUTE(Tabela1[[#This Row],[7]],",",""))+1,1),"")</f>
        <v/>
      </c>
      <c r="AG455" t="str">
        <f>IF(Tabela1[[#This Row],[8]]&lt;&gt;"",IF(ISNUMBER(FIND(",",Tabela1[[#This Row],[8]])),LEN(Tabela1[[#This Row],[8]])-LEN(SUBSTITUTE(Tabela1[[#This Row],[8]],",",""))+1,1),"")</f>
        <v/>
      </c>
      <c r="AH455" t="str">
        <f>IF(Tabela1[[#This Row],[9]]&lt;&gt;"",IF(ISNUMBER(FIND(",",Tabela1[[#This Row],[9]])),LEN(Tabela1[[#This Row],[9]])-LEN(SUBSTITUTE(Tabela1[[#This Row],[9]],",",""))+1,1),"")</f>
        <v/>
      </c>
      <c r="AI455" t="str">
        <f>IF(Tabela1[[#This Row],[10]]&lt;&gt;"",IF(ISNUMBER(FIND(",",Tabela1[[#This Row],[10]])),LEN(Tabela1[[#This Row],[10]])-LEN(SUBSTITUTE(Tabela1[[#This Row],[10]],",",""))+1,1),"")</f>
        <v/>
      </c>
      <c r="AJ455" t="str">
        <f>IF(Tabela1[[#This Row],[11]]&lt;&gt;"",IF(ISNUMBER(FIND(",",Tabela1[[#This Row],[11]])),LEN(Tabela1[[#This Row],[11]])-LEN(SUBSTITUTE(Tabela1[[#This Row],[11]],",",""))+1,1),"")</f>
        <v/>
      </c>
      <c r="AK455" t="str">
        <f>IF(Tabela1[[#This Row],[12]]&lt;&gt;"",IF(ISNUMBER(FIND(",",Tabela1[[#This Row],[12]])),LEN(Tabela1[[#This Row],[12]])-LEN(SUBSTITUTE(Tabela1[[#This Row],[12]],",",""))+1,1),"")</f>
        <v/>
      </c>
      <c r="AL455" t="str">
        <f>IF(Tabela1[[#This Row],[13]]&lt;&gt;"",IF(ISNUMBER(FIND(",",Tabela1[[#This Row],[13]])),LEN(Tabela1[[#This Row],[13]])-LEN(SUBSTITUTE(Tabela1[[#This Row],[13]],",",""))+1,1),"")</f>
        <v/>
      </c>
      <c r="AM455" t="str">
        <f>IF(Tabela1[[#This Row],[14]]&lt;&gt;"",IF(ISNUMBER(FIND(",",Tabela1[[#This Row],[14]])),LEN(Tabela1[[#This Row],[14]])-LEN(SUBSTITUTE(Tabela1[[#This Row],[14]],",",""))+1,1),"")</f>
        <v/>
      </c>
      <c r="AN455" t="str">
        <f>IF(Tabela1[[#This Row],[15]]&lt;&gt;"",IF(ISNUMBER(FIND(",",Tabela1[[#This Row],[15]])),LEN(Tabela1[[#This Row],[15]])-LEN(SUBSTITUTE(Tabela1[[#This Row],[15]],",",""))+1,1),"")</f>
        <v/>
      </c>
      <c r="AO455">
        <f>IF(Tabela1[[#This Row],[16]]&lt;&gt;"",IF(ISNUMBER(FIND(",",Tabela1[[#This Row],[16]])),LEN(Tabela1[[#This Row],[16]])-LEN(SUBSTITUTE(Tabela1[[#This Row],[16]],",",""))+1,1),"")</f>
        <v>1</v>
      </c>
      <c r="AP455" t="str">
        <f>IF(Tabela1[[#This Row],[17]]&lt;&gt;"",IF(ISNUMBER(FIND(",",Tabela1[[#This Row],[17]])),LEN(Tabela1[[#This Row],[17]])-LEN(SUBSTITUTE(Tabela1[[#This Row],[17]],",",""))+1,1),"")</f>
        <v/>
      </c>
      <c r="AQ455" t="str">
        <f>IF(Tabela1[[#This Row],[18]]&lt;&gt;"",IF(ISNUMBER(FIND(",",Tabela1[[#This Row],[18]])),LEN(Tabela1[[#This Row],[18]])-LEN(SUBSTITUTE(Tabela1[[#This Row],[18]],",",""))+1,1),"")</f>
        <v/>
      </c>
      <c r="AR455" s="13" t="str">
        <f>IF(Tabela1[[#This Row],[19_LENGTH]]&lt;&gt;"",IF(ISNUMBER(FIND(",",Tabela1[[#This Row],[19_LENGTH]])),LEN(Tabela1[[#This Row],[19_LENGTH]])-LEN(SUBSTITUTE(Tabela1[[#This Row],[19_LENGTH]],",",""))+1,1),"")</f>
        <v/>
      </c>
      <c r="AS455" s="21">
        <f>SUM(Tabela1[[#This Row],[1_]:[19_]])</f>
        <v>1</v>
      </c>
    </row>
    <row r="456" spans="1:45" x14ac:dyDescent="0.25">
      <c r="A456" s="27" t="s">
        <v>1327</v>
      </c>
      <c r="B456" s="19" t="s">
        <v>849</v>
      </c>
      <c r="C456" s="19">
        <v>202</v>
      </c>
      <c r="D456" s="19" t="s">
        <v>1304</v>
      </c>
      <c r="E456" s="20">
        <v>43534</v>
      </c>
      <c r="F456" s="19"/>
      <c r="G456" s="19" t="s">
        <v>190</v>
      </c>
      <c r="H456" s="19" t="s">
        <v>137</v>
      </c>
      <c r="I456" s="19">
        <v>152</v>
      </c>
      <c r="J456" s="19"/>
      <c r="K456" s="19"/>
      <c r="L456" s="19"/>
      <c r="M456" s="19"/>
      <c r="N456" s="19"/>
      <c r="O456" s="19"/>
      <c r="P456" s="19"/>
      <c r="Q456" s="19"/>
      <c r="R456" s="19"/>
      <c r="S456" s="19"/>
      <c r="T456" s="19"/>
      <c r="U456" s="19"/>
      <c r="V456" s="19"/>
      <c r="W456" s="19"/>
      <c r="X456" s="19"/>
      <c r="Y456" s="19"/>
      <c r="Z456" t="str">
        <f>IF(Tabela1[[#This Row],[1]]&lt;&gt;"",IF(ISNUMBER(FIND(",",Tabela1[[#This Row],[1]])),LEN(Tabela1[[#This Row],[1]])-LEN(SUBSTITUTE(Tabela1[[#This Row],[1]],",",""))+1,1),"")</f>
        <v/>
      </c>
      <c r="AA456">
        <f>IF(Tabela1[[#This Row],[2]]&lt;&gt;"",IF(ISNUMBER(FIND(",",Tabela1[[#This Row],[2]])),LEN(Tabela1[[#This Row],[2]])-LEN(SUBSTITUTE(Tabela1[[#This Row],[2]],",",""))+1,1),"")</f>
        <v>3</v>
      </c>
      <c r="AB456">
        <f>IF(Tabela1[[#This Row],[3]]&lt;&gt;"",IF(ISNUMBER(FIND(",",Tabela1[[#This Row],[3]])),LEN(Tabela1[[#This Row],[3]])-LEN(SUBSTITUTE(Tabela1[[#This Row],[3]],",",""))+1,1),"")</f>
        <v>2</v>
      </c>
      <c r="AC456">
        <f>IF(Tabela1[[#This Row],[4]]&lt;&gt;"",IF(ISNUMBER(FIND(",",Tabela1[[#This Row],[4]])),LEN(Tabela1[[#This Row],[4]])-LEN(SUBSTITUTE(Tabela1[[#This Row],[4]],",",""))+1,1),"")</f>
        <v>1</v>
      </c>
      <c r="AD456" t="str">
        <f>IF(Tabela1[[#This Row],[5]]&lt;&gt;"",IF(ISNUMBER(FIND(",",Tabela1[[#This Row],[5]])),LEN(Tabela1[[#This Row],[5]])-LEN(SUBSTITUTE(Tabela1[[#This Row],[5]],",",""))+1,1),"")</f>
        <v/>
      </c>
      <c r="AE456" t="str">
        <f>IF(Tabela1[[#This Row],[6]]&lt;&gt;"",IF(ISNUMBER(FIND(",",Tabela1[[#This Row],[6]])),LEN(Tabela1[[#This Row],[6]])-LEN(SUBSTITUTE(Tabela1[[#This Row],[6]],",",""))+1,1),"")</f>
        <v/>
      </c>
      <c r="AF456" t="str">
        <f>IF(Tabela1[[#This Row],[7]]&lt;&gt;"",IF(ISNUMBER(FIND(",",Tabela1[[#This Row],[7]])),LEN(Tabela1[[#This Row],[7]])-LEN(SUBSTITUTE(Tabela1[[#This Row],[7]],",",""))+1,1),"")</f>
        <v/>
      </c>
      <c r="AG456" t="str">
        <f>IF(Tabela1[[#This Row],[8]]&lt;&gt;"",IF(ISNUMBER(FIND(",",Tabela1[[#This Row],[8]])),LEN(Tabela1[[#This Row],[8]])-LEN(SUBSTITUTE(Tabela1[[#This Row],[8]],",",""))+1,1),"")</f>
        <v/>
      </c>
      <c r="AH456" t="str">
        <f>IF(Tabela1[[#This Row],[9]]&lt;&gt;"",IF(ISNUMBER(FIND(",",Tabela1[[#This Row],[9]])),LEN(Tabela1[[#This Row],[9]])-LEN(SUBSTITUTE(Tabela1[[#This Row],[9]],",",""))+1,1),"")</f>
        <v/>
      </c>
      <c r="AI456" t="str">
        <f>IF(Tabela1[[#This Row],[10]]&lt;&gt;"",IF(ISNUMBER(FIND(",",Tabela1[[#This Row],[10]])),LEN(Tabela1[[#This Row],[10]])-LEN(SUBSTITUTE(Tabela1[[#This Row],[10]],",",""))+1,1),"")</f>
        <v/>
      </c>
      <c r="AJ456" t="str">
        <f>IF(Tabela1[[#This Row],[11]]&lt;&gt;"",IF(ISNUMBER(FIND(",",Tabela1[[#This Row],[11]])),LEN(Tabela1[[#This Row],[11]])-LEN(SUBSTITUTE(Tabela1[[#This Row],[11]],",",""))+1,1),"")</f>
        <v/>
      </c>
      <c r="AK456" t="str">
        <f>IF(Tabela1[[#This Row],[12]]&lt;&gt;"",IF(ISNUMBER(FIND(",",Tabela1[[#This Row],[12]])),LEN(Tabela1[[#This Row],[12]])-LEN(SUBSTITUTE(Tabela1[[#This Row],[12]],",",""))+1,1),"")</f>
        <v/>
      </c>
      <c r="AL456" t="str">
        <f>IF(Tabela1[[#This Row],[13]]&lt;&gt;"",IF(ISNUMBER(FIND(",",Tabela1[[#This Row],[13]])),LEN(Tabela1[[#This Row],[13]])-LEN(SUBSTITUTE(Tabela1[[#This Row],[13]],",",""))+1,1),"")</f>
        <v/>
      </c>
      <c r="AM456" t="str">
        <f>IF(Tabela1[[#This Row],[14]]&lt;&gt;"",IF(ISNUMBER(FIND(",",Tabela1[[#This Row],[14]])),LEN(Tabela1[[#This Row],[14]])-LEN(SUBSTITUTE(Tabela1[[#This Row],[14]],",",""))+1,1),"")</f>
        <v/>
      </c>
      <c r="AN456" t="str">
        <f>IF(Tabela1[[#This Row],[15]]&lt;&gt;"",IF(ISNUMBER(FIND(",",Tabela1[[#This Row],[15]])),LEN(Tabela1[[#This Row],[15]])-LEN(SUBSTITUTE(Tabela1[[#This Row],[15]],",",""))+1,1),"")</f>
        <v/>
      </c>
      <c r="AO456" t="str">
        <f>IF(Tabela1[[#This Row],[16]]&lt;&gt;"",IF(ISNUMBER(FIND(",",Tabela1[[#This Row],[16]])),LEN(Tabela1[[#This Row],[16]])-LEN(SUBSTITUTE(Tabela1[[#This Row],[16]],",",""))+1,1),"")</f>
        <v/>
      </c>
      <c r="AP456" t="str">
        <f>IF(Tabela1[[#This Row],[17]]&lt;&gt;"",IF(ISNUMBER(FIND(",",Tabela1[[#This Row],[17]])),LEN(Tabela1[[#This Row],[17]])-LEN(SUBSTITUTE(Tabela1[[#This Row],[17]],",",""))+1,1),"")</f>
        <v/>
      </c>
      <c r="AQ456" t="str">
        <f>IF(Tabela1[[#This Row],[18]]&lt;&gt;"",IF(ISNUMBER(FIND(",",Tabela1[[#This Row],[18]])),LEN(Tabela1[[#This Row],[18]])-LEN(SUBSTITUTE(Tabela1[[#This Row],[18]],",",""))+1,1),"")</f>
        <v/>
      </c>
      <c r="AR456" s="13" t="str">
        <f>IF(Tabela1[[#This Row],[19_LENGTH]]&lt;&gt;"",IF(ISNUMBER(FIND(",",Tabela1[[#This Row],[19_LENGTH]])),LEN(Tabela1[[#This Row],[19_LENGTH]])-LEN(SUBSTITUTE(Tabela1[[#This Row],[19_LENGTH]],",",""))+1,1),"")</f>
        <v/>
      </c>
      <c r="AS456" s="21">
        <f>SUM(Tabela1[[#This Row],[1_]:[19_]])</f>
        <v>6</v>
      </c>
    </row>
    <row r="457" spans="1:45" x14ac:dyDescent="0.25">
      <c r="A457" s="27" t="s">
        <v>1327</v>
      </c>
      <c r="B457" s="19" t="s">
        <v>850</v>
      </c>
      <c r="C457" s="19">
        <v>222</v>
      </c>
      <c r="D457" s="19" t="s">
        <v>1304</v>
      </c>
      <c r="E457" s="20">
        <v>43535</v>
      </c>
      <c r="F457" s="19"/>
      <c r="G457" s="19">
        <v>38</v>
      </c>
      <c r="H457" s="19"/>
      <c r="I457" s="19"/>
      <c r="J457" s="19"/>
      <c r="K457" s="19"/>
      <c r="L457" s="19"/>
      <c r="M457" s="19"/>
      <c r="N457" s="19"/>
      <c r="O457" s="19"/>
      <c r="P457" s="19"/>
      <c r="Q457" s="19"/>
      <c r="R457" s="19"/>
      <c r="S457" s="19"/>
      <c r="T457" s="19"/>
      <c r="U457" s="19"/>
      <c r="V457" s="19"/>
      <c r="W457" s="19"/>
      <c r="X457" s="19"/>
      <c r="Y457" s="19"/>
      <c r="Z457" t="str">
        <f>IF(Tabela1[[#This Row],[1]]&lt;&gt;"",IF(ISNUMBER(FIND(",",Tabela1[[#This Row],[1]])),LEN(Tabela1[[#This Row],[1]])-LEN(SUBSTITUTE(Tabela1[[#This Row],[1]],",",""))+1,1),"")</f>
        <v/>
      </c>
      <c r="AA457">
        <f>IF(Tabela1[[#This Row],[2]]&lt;&gt;"",IF(ISNUMBER(FIND(",",Tabela1[[#This Row],[2]])),LEN(Tabela1[[#This Row],[2]])-LEN(SUBSTITUTE(Tabela1[[#This Row],[2]],",",""))+1,1),"")</f>
        <v>1</v>
      </c>
      <c r="AB457" t="str">
        <f>IF(Tabela1[[#This Row],[3]]&lt;&gt;"",IF(ISNUMBER(FIND(",",Tabela1[[#This Row],[3]])),LEN(Tabela1[[#This Row],[3]])-LEN(SUBSTITUTE(Tabela1[[#This Row],[3]],",",""))+1,1),"")</f>
        <v/>
      </c>
      <c r="AC457" t="str">
        <f>IF(Tabela1[[#This Row],[4]]&lt;&gt;"",IF(ISNUMBER(FIND(",",Tabela1[[#This Row],[4]])),LEN(Tabela1[[#This Row],[4]])-LEN(SUBSTITUTE(Tabela1[[#This Row],[4]],",",""))+1,1),"")</f>
        <v/>
      </c>
      <c r="AD457" t="str">
        <f>IF(Tabela1[[#This Row],[5]]&lt;&gt;"",IF(ISNUMBER(FIND(",",Tabela1[[#This Row],[5]])),LEN(Tabela1[[#This Row],[5]])-LEN(SUBSTITUTE(Tabela1[[#This Row],[5]],",",""))+1,1),"")</f>
        <v/>
      </c>
      <c r="AE457" t="str">
        <f>IF(Tabela1[[#This Row],[6]]&lt;&gt;"",IF(ISNUMBER(FIND(",",Tabela1[[#This Row],[6]])),LEN(Tabela1[[#This Row],[6]])-LEN(SUBSTITUTE(Tabela1[[#This Row],[6]],",",""))+1,1),"")</f>
        <v/>
      </c>
      <c r="AF457" t="str">
        <f>IF(Tabela1[[#This Row],[7]]&lt;&gt;"",IF(ISNUMBER(FIND(",",Tabela1[[#This Row],[7]])),LEN(Tabela1[[#This Row],[7]])-LEN(SUBSTITUTE(Tabela1[[#This Row],[7]],",",""))+1,1),"")</f>
        <v/>
      </c>
      <c r="AG457" t="str">
        <f>IF(Tabela1[[#This Row],[8]]&lt;&gt;"",IF(ISNUMBER(FIND(",",Tabela1[[#This Row],[8]])),LEN(Tabela1[[#This Row],[8]])-LEN(SUBSTITUTE(Tabela1[[#This Row],[8]],",",""))+1,1),"")</f>
        <v/>
      </c>
      <c r="AH457" t="str">
        <f>IF(Tabela1[[#This Row],[9]]&lt;&gt;"",IF(ISNUMBER(FIND(",",Tabela1[[#This Row],[9]])),LEN(Tabela1[[#This Row],[9]])-LEN(SUBSTITUTE(Tabela1[[#This Row],[9]],",",""))+1,1),"")</f>
        <v/>
      </c>
      <c r="AI457" t="str">
        <f>IF(Tabela1[[#This Row],[10]]&lt;&gt;"",IF(ISNUMBER(FIND(",",Tabela1[[#This Row],[10]])),LEN(Tabela1[[#This Row],[10]])-LEN(SUBSTITUTE(Tabela1[[#This Row],[10]],",",""))+1,1),"")</f>
        <v/>
      </c>
      <c r="AJ457" t="str">
        <f>IF(Tabela1[[#This Row],[11]]&lt;&gt;"",IF(ISNUMBER(FIND(",",Tabela1[[#This Row],[11]])),LEN(Tabela1[[#This Row],[11]])-LEN(SUBSTITUTE(Tabela1[[#This Row],[11]],",",""))+1,1),"")</f>
        <v/>
      </c>
      <c r="AK457" t="str">
        <f>IF(Tabela1[[#This Row],[12]]&lt;&gt;"",IF(ISNUMBER(FIND(",",Tabela1[[#This Row],[12]])),LEN(Tabela1[[#This Row],[12]])-LEN(SUBSTITUTE(Tabela1[[#This Row],[12]],",",""))+1,1),"")</f>
        <v/>
      </c>
      <c r="AL457" t="str">
        <f>IF(Tabela1[[#This Row],[13]]&lt;&gt;"",IF(ISNUMBER(FIND(",",Tabela1[[#This Row],[13]])),LEN(Tabela1[[#This Row],[13]])-LEN(SUBSTITUTE(Tabela1[[#This Row],[13]],",",""))+1,1),"")</f>
        <v/>
      </c>
      <c r="AM457" t="str">
        <f>IF(Tabela1[[#This Row],[14]]&lt;&gt;"",IF(ISNUMBER(FIND(",",Tabela1[[#This Row],[14]])),LEN(Tabela1[[#This Row],[14]])-LEN(SUBSTITUTE(Tabela1[[#This Row],[14]],",",""))+1,1),"")</f>
        <v/>
      </c>
      <c r="AN457" t="str">
        <f>IF(Tabela1[[#This Row],[15]]&lt;&gt;"",IF(ISNUMBER(FIND(",",Tabela1[[#This Row],[15]])),LEN(Tabela1[[#This Row],[15]])-LEN(SUBSTITUTE(Tabela1[[#This Row],[15]],",",""))+1,1),"")</f>
        <v/>
      </c>
      <c r="AO457" t="str">
        <f>IF(Tabela1[[#This Row],[16]]&lt;&gt;"",IF(ISNUMBER(FIND(",",Tabela1[[#This Row],[16]])),LEN(Tabela1[[#This Row],[16]])-LEN(SUBSTITUTE(Tabela1[[#This Row],[16]],",",""))+1,1),"")</f>
        <v/>
      </c>
      <c r="AP457" t="str">
        <f>IF(Tabela1[[#This Row],[17]]&lt;&gt;"",IF(ISNUMBER(FIND(",",Tabela1[[#This Row],[17]])),LEN(Tabela1[[#This Row],[17]])-LEN(SUBSTITUTE(Tabela1[[#This Row],[17]],",",""))+1,1),"")</f>
        <v/>
      </c>
      <c r="AQ457" t="str">
        <f>IF(Tabela1[[#This Row],[18]]&lt;&gt;"",IF(ISNUMBER(FIND(",",Tabela1[[#This Row],[18]])),LEN(Tabela1[[#This Row],[18]])-LEN(SUBSTITUTE(Tabela1[[#This Row],[18]],",",""))+1,1),"")</f>
        <v/>
      </c>
      <c r="AR457" s="13" t="str">
        <f>IF(Tabela1[[#This Row],[19_LENGTH]]&lt;&gt;"",IF(ISNUMBER(FIND(",",Tabela1[[#This Row],[19_LENGTH]])),LEN(Tabela1[[#This Row],[19_LENGTH]])-LEN(SUBSTITUTE(Tabela1[[#This Row],[19_LENGTH]],",",""))+1,1),"")</f>
        <v/>
      </c>
      <c r="AS457" s="21">
        <f>SUM(Tabela1[[#This Row],[1_]:[19_]])</f>
        <v>1</v>
      </c>
    </row>
    <row r="458" spans="1:45" x14ac:dyDescent="0.25">
      <c r="A458" s="27" t="s">
        <v>1327</v>
      </c>
      <c r="B458" s="19" t="s">
        <v>851</v>
      </c>
      <c r="C458" s="19">
        <v>202</v>
      </c>
      <c r="D458" s="19" t="s">
        <v>1304</v>
      </c>
      <c r="E458" s="20">
        <v>43534</v>
      </c>
      <c r="F458" s="19"/>
      <c r="G458" s="19"/>
      <c r="H458" s="19">
        <v>8</v>
      </c>
      <c r="I458" s="19"/>
      <c r="J458" s="19"/>
      <c r="K458" s="19"/>
      <c r="L458" s="19"/>
      <c r="M458" s="19"/>
      <c r="N458" s="19"/>
      <c r="O458" s="19"/>
      <c r="P458" s="19"/>
      <c r="Q458" s="19"/>
      <c r="R458" s="19"/>
      <c r="S458" s="19"/>
      <c r="T458" s="19"/>
      <c r="U458" s="19"/>
      <c r="V458" s="19"/>
      <c r="W458" s="19"/>
      <c r="X458" s="19"/>
      <c r="Y458" s="19"/>
      <c r="Z458" t="str">
        <f>IF(Tabela1[[#This Row],[1]]&lt;&gt;"",IF(ISNUMBER(FIND(",",Tabela1[[#This Row],[1]])),LEN(Tabela1[[#This Row],[1]])-LEN(SUBSTITUTE(Tabela1[[#This Row],[1]],",",""))+1,1),"")</f>
        <v/>
      </c>
      <c r="AA458" t="str">
        <f>IF(Tabela1[[#This Row],[2]]&lt;&gt;"",IF(ISNUMBER(FIND(",",Tabela1[[#This Row],[2]])),LEN(Tabela1[[#This Row],[2]])-LEN(SUBSTITUTE(Tabela1[[#This Row],[2]],",",""))+1,1),"")</f>
        <v/>
      </c>
      <c r="AB458">
        <f>IF(Tabela1[[#This Row],[3]]&lt;&gt;"",IF(ISNUMBER(FIND(",",Tabela1[[#This Row],[3]])),LEN(Tabela1[[#This Row],[3]])-LEN(SUBSTITUTE(Tabela1[[#This Row],[3]],",",""))+1,1),"")</f>
        <v>1</v>
      </c>
      <c r="AC458" t="str">
        <f>IF(Tabela1[[#This Row],[4]]&lt;&gt;"",IF(ISNUMBER(FIND(",",Tabela1[[#This Row],[4]])),LEN(Tabela1[[#This Row],[4]])-LEN(SUBSTITUTE(Tabela1[[#This Row],[4]],",",""))+1,1),"")</f>
        <v/>
      </c>
      <c r="AD458" t="str">
        <f>IF(Tabela1[[#This Row],[5]]&lt;&gt;"",IF(ISNUMBER(FIND(",",Tabela1[[#This Row],[5]])),LEN(Tabela1[[#This Row],[5]])-LEN(SUBSTITUTE(Tabela1[[#This Row],[5]],",",""))+1,1),"")</f>
        <v/>
      </c>
      <c r="AE458" t="str">
        <f>IF(Tabela1[[#This Row],[6]]&lt;&gt;"",IF(ISNUMBER(FIND(",",Tabela1[[#This Row],[6]])),LEN(Tabela1[[#This Row],[6]])-LEN(SUBSTITUTE(Tabela1[[#This Row],[6]],",",""))+1,1),"")</f>
        <v/>
      </c>
      <c r="AF458" t="str">
        <f>IF(Tabela1[[#This Row],[7]]&lt;&gt;"",IF(ISNUMBER(FIND(",",Tabela1[[#This Row],[7]])),LEN(Tabela1[[#This Row],[7]])-LEN(SUBSTITUTE(Tabela1[[#This Row],[7]],",",""))+1,1),"")</f>
        <v/>
      </c>
      <c r="AG458" t="str">
        <f>IF(Tabela1[[#This Row],[8]]&lt;&gt;"",IF(ISNUMBER(FIND(",",Tabela1[[#This Row],[8]])),LEN(Tabela1[[#This Row],[8]])-LEN(SUBSTITUTE(Tabela1[[#This Row],[8]],",",""))+1,1),"")</f>
        <v/>
      </c>
      <c r="AH458" t="str">
        <f>IF(Tabela1[[#This Row],[9]]&lt;&gt;"",IF(ISNUMBER(FIND(",",Tabela1[[#This Row],[9]])),LEN(Tabela1[[#This Row],[9]])-LEN(SUBSTITUTE(Tabela1[[#This Row],[9]],",",""))+1,1),"")</f>
        <v/>
      </c>
      <c r="AI458" t="str">
        <f>IF(Tabela1[[#This Row],[10]]&lt;&gt;"",IF(ISNUMBER(FIND(",",Tabela1[[#This Row],[10]])),LEN(Tabela1[[#This Row],[10]])-LEN(SUBSTITUTE(Tabela1[[#This Row],[10]],",",""))+1,1),"")</f>
        <v/>
      </c>
      <c r="AJ458" t="str">
        <f>IF(Tabela1[[#This Row],[11]]&lt;&gt;"",IF(ISNUMBER(FIND(",",Tabela1[[#This Row],[11]])),LEN(Tabela1[[#This Row],[11]])-LEN(SUBSTITUTE(Tabela1[[#This Row],[11]],",",""))+1,1),"")</f>
        <v/>
      </c>
      <c r="AK458" t="str">
        <f>IF(Tabela1[[#This Row],[12]]&lt;&gt;"",IF(ISNUMBER(FIND(",",Tabela1[[#This Row],[12]])),LEN(Tabela1[[#This Row],[12]])-LEN(SUBSTITUTE(Tabela1[[#This Row],[12]],",",""))+1,1),"")</f>
        <v/>
      </c>
      <c r="AL458" t="str">
        <f>IF(Tabela1[[#This Row],[13]]&lt;&gt;"",IF(ISNUMBER(FIND(",",Tabela1[[#This Row],[13]])),LEN(Tabela1[[#This Row],[13]])-LEN(SUBSTITUTE(Tabela1[[#This Row],[13]],",",""))+1,1),"")</f>
        <v/>
      </c>
      <c r="AM458" t="str">
        <f>IF(Tabela1[[#This Row],[14]]&lt;&gt;"",IF(ISNUMBER(FIND(",",Tabela1[[#This Row],[14]])),LEN(Tabela1[[#This Row],[14]])-LEN(SUBSTITUTE(Tabela1[[#This Row],[14]],",",""))+1,1),"")</f>
        <v/>
      </c>
      <c r="AN458" t="str">
        <f>IF(Tabela1[[#This Row],[15]]&lt;&gt;"",IF(ISNUMBER(FIND(",",Tabela1[[#This Row],[15]])),LEN(Tabela1[[#This Row],[15]])-LEN(SUBSTITUTE(Tabela1[[#This Row],[15]],",",""))+1,1),"")</f>
        <v/>
      </c>
      <c r="AO458" t="str">
        <f>IF(Tabela1[[#This Row],[16]]&lt;&gt;"",IF(ISNUMBER(FIND(",",Tabela1[[#This Row],[16]])),LEN(Tabela1[[#This Row],[16]])-LEN(SUBSTITUTE(Tabela1[[#This Row],[16]],",",""))+1,1),"")</f>
        <v/>
      </c>
      <c r="AP458" t="str">
        <f>IF(Tabela1[[#This Row],[17]]&lt;&gt;"",IF(ISNUMBER(FIND(",",Tabela1[[#This Row],[17]])),LEN(Tabela1[[#This Row],[17]])-LEN(SUBSTITUTE(Tabela1[[#This Row],[17]],",",""))+1,1),"")</f>
        <v/>
      </c>
      <c r="AQ458" t="str">
        <f>IF(Tabela1[[#This Row],[18]]&lt;&gt;"",IF(ISNUMBER(FIND(",",Tabela1[[#This Row],[18]])),LEN(Tabela1[[#This Row],[18]])-LEN(SUBSTITUTE(Tabela1[[#This Row],[18]],",",""))+1,1),"")</f>
        <v/>
      </c>
      <c r="AR458" s="13" t="str">
        <f>IF(Tabela1[[#This Row],[19_LENGTH]]&lt;&gt;"",IF(ISNUMBER(FIND(",",Tabela1[[#This Row],[19_LENGTH]])),LEN(Tabela1[[#This Row],[19_LENGTH]])-LEN(SUBSTITUTE(Tabela1[[#This Row],[19_LENGTH]],",",""))+1,1),"")</f>
        <v/>
      </c>
      <c r="AS458" s="21">
        <f>SUM(Tabela1[[#This Row],[1_]:[19_]])</f>
        <v>1</v>
      </c>
    </row>
    <row r="459" spans="1:45" x14ac:dyDescent="0.25">
      <c r="A459" s="27" t="s">
        <v>1325</v>
      </c>
      <c r="B459" s="19" t="s">
        <v>852</v>
      </c>
      <c r="C459" s="19">
        <v>202</v>
      </c>
      <c r="D459" s="19" t="s">
        <v>1304</v>
      </c>
      <c r="E459" s="20">
        <v>43533</v>
      </c>
      <c r="F459" s="19"/>
      <c r="G459" s="19"/>
      <c r="H459" s="19"/>
      <c r="I459" s="19"/>
      <c r="J459" s="19"/>
      <c r="K459" s="19"/>
      <c r="L459" s="19">
        <v>88</v>
      </c>
      <c r="M459" s="19"/>
      <c r="N459" s="19"/>
      <c r="O459" s="19"/>
      <c r="P459" s="19"/>
      <c r="Q459" s="19"/>
      <c r="R459" s="19"/>
      <c r="S459" s="19"/>
      <c r="T459" s="19"/>
      <c r="U459" s="19"/>
      <c r="V459" s="19"/>
      <c r="W459" s="19"/>
      <c r="X459" s="19" t="s">
        <v>95</v>
      </c>
      <c r="Y459" s="19" t="s">
        <v>191</v>
      </c>
      <c r="Z459" t="str">
        <f>IF(Tabela1[[#This Row],[1]]&lt;&gt;"",IF(ISNUMBER(FIND(",",Tabela1[[#This Row],[1]])),LEN(Tabela1[[#This Row],[1]])-LEN(SUBSTITUTE(Tabela1[[#This Row],[1]],",",""))+1,1),"")</f>
        <v/>
      </c>
      <c r="AA459" t="str">
        <f>IF(Tabela1[[#This Row],[2]]&lt;&gt;"",IF(ISNUMBER(FIND(",",Tabela1[[#This Row],[2]])),LEN(Tabela1[[#This Row],[2]])-LEN(SUBSTITUTE(Tabela1[[#This Row],[2]],",",""))+1,1),"")</f>
        <v/>
      </c>
      <c r="AB459" t="str">
        <f>IF(Tabela1[[#This Row],[3]]&lt;&gt;"",IF(ISNUMBER(FIND(",",Tabela1[[#This Row],[3]])),LEN(Tabela1[[#This Row],[3]])-LEN(SUBSTITUTE(Tabela1[[#This Row],[3]],",",""))+1,1),"")</f>
        <v/>
      </c>
      <c r="AC459" t="str">
        <f>IF(Tabela1[[#This Row],[4]]&lt;&gt;"",IF(ISNUMBER(FIND(",",Tabela1[[#This Row],[4]])),LEN(Tabela1[[#This Row],[4]])-LEN(SUBSTITUTE(Tabela1[[#This Row],[4]],",",""))+1,1),"")</f>
        <v/>
      </c>
      <c r="AD459" t="str">
        <f>IF(Tabela1[[#This Row],[5]]&lt;&gt;"",IF(ISNUMBER(FIND(",",Tabela1[[#This Row],[5]])),LEN(Tabela1[[#This Row],[5]])-LEN(SUBSTITUTE(Tabela1[[#This Row],[5]],",",""))+1,1),"")</f>
        <v/>
      </c>
      <c r="AE459" t="str">
        <f>IF(Tabela1[[#This Row],[6]]&lt;&gt;"",IF(ISNUMBER(FIND(",",Tabela1[[#This Row],[6]])),LEN(Tabela1[[#This Row],[6]])-LEN(SUBSTITUTE(Tabela1[[#This Row],[6]],",",""))+1,1),"")</f>
        <v/>
      </c>
      <c r="AF459">
        <f>IF(Tabela1[[#This Row],[7]]&lt;&gt;"",IF(ISNUMBER(FIND(",",Tabela1[[#This Row],[7]])),LEN(Tabela1[[#This Row],[7]])-LEN(SUBSTITUTE(Tabela1[[#This Row],[7]],",",""))+1,1),"")</f>
        <v>1</v>
      </c>
      <c r="AG459" t="str">
        <f>IF(Tabela1[[#This Row],[8]]&lt;&gt;"",IF(ISNUMBER(FIND(",",Tabela1[[#This Row],[8]])),LEN(Tabela1[[#This Row],[8]])-LEN(SUBSTITUTE(Tabela1[[#This Row],[8]],",",""))+1,1),"")</f>
        <v/>
      </c>
      <c r="AH459" t="str">
        <f>IF(Tabela1[[#This Row],[9]]&lt;&gt;"",IF(ISNUMBER(FIND(",",Tabela1[[#This Row],[9]])),LEN(Tabela1[[#This Row],[9]])-LEN(SUBSTITUTE(Tabela1[[#This Row],[9]],",",""))+1,1),"")</f>
        <v/>
      </c>
      <c r="AI459" t="str">
        <f>IF(Tabela1[[#This Row],[10]]&lt;&gt;"",IF(ISNUMBER(FIND(",",Tabela1[[#This Row],[10]])),LEN(Tabela1[[#This Row],[10]])-LEN(SUBSTITUTE(Tabela1[[#This Row],[10]],",",""))+1,1),"")</f>
        <v/>
      </c>
      <c r="AJ459" t="str">
        <f>IF(Tabela1[[#This Row],[11]]&lt;&gt;"",IF(ISNUMBER(FIND(",",Tabela1[[#This Row],[11]])),LEN(Tabela1[[#This Row],[11]])-LEN(SUBSTITUTE(Tabela1[[#This Row],[11]],",",""))+1,1),"")</f>
        <v/>
      </c>
      <c r="AK459" t="str">
        <f>IF(Tabela1[[#This Row],[12]]&lt;&gt;"",IF(ISNUMBER(FIND(",",Tabela1[[#This Row],[12]])),LEN(Tabela1[[#This Row],[12]])-LEN(SUBSTITUTE(Tabela1[[#This Row],[12]],",",""))+1,1),"")</f>
        <v/>
      </c>
      <c r="AL459" t="str">
        <f>IF(Tabela1[[#This Row],[13]]&lt;&gt;"",IF(ISNUMBER(FIND(",",Tabela1[[#This Row],[13]])),LEN(Tabela1[[#This Row],[13]])-LEN(SUBSTITUTE(Tabela1[[#This Row],[13]],",",""))+1,1),"")</f>
        <v/>
      </c>
      <c r="AM459" t="str">
        <f>IF(Tabela1[[#This Row],[14]]&lt;&gt;"",IF(ISNUMBER(FIND(",",Tabela1[[#This Row],[14]])),LEN(Tabela1[[#This Row],[14]])-LEN(SUBSTITUTE(Tabela1[[#This Row],[14]],",",""))+1,1),"")</f>
        <v/>
      </c>
      <c r="AN459" t="str">
        <f>IF(Tabela1[[#This Row],[15]]&lt;&gt;"",IF(ISNUMBER(FIND(",",Tabela1[[#This Row],[15]])),LEN(Tabela1[[#This Row],[15]])-LEN(SUBSTITUTE(Tabela1[[#This Row],[15]],",",""))+1,1),"")</f>
        <v/>
      </c>
      <c r="AO459" t="str">
        <f>IF(Tabela1[[#This Row],[16]]&lt;&gt;"",IF(ISNUMBER(FIND(",",Tabela1[[#This Row],[16]])),LEN(Tabela1[[#This Row],[16]])-LEN(SUBSTITUTE(Tabela1[[#This Row],[16]],",",""))+1,1),"")</f>
        <v/>
      </c>
      <c r="AP459" t="str">
        <f>IF(Tabela1[[#This Row],[17]]&lt;&gt;"",IF(ISNUMBER(FIND(",",Tabela1[[#This Row],[17]])),LEN(Tabela1[[#This Row],[17]])-LEN(SUBSTITUTE(Tabela1[[#This Row],[17]],",",""))+1,1),"")</f>
        <v/>
      </c>
      <c r="AQ459" t="str">
        <f>IF(Tabela1[[#This Row],[18]]&lt;&gt;"",IF(ISNUMBER(FIND(",",Tabela1[[#This Row],[18]])),LEN(Tabela1[[#This Row],[18]])-LEN(SUBSTITUTE(Tabela1[[#This Row],[18]],",",""))+1,1),"")</f>
        <v/>
      </c>
      <c r="AR459" s="13">
        <f>IF(Tabela1[[#This Row],[19_LENGTH]]&lt;&gt;"",IF(ISNUMBER(FIND(",",Tabela1[[#This Row],[19_LENGTH]])),LEN(Tabela1[[#This Row],[19_LENGTH]])-LEN(SUBSTITUTE(Tabela1[[#This Row],[19_LENGTH]],",",""))+1,1),"")</f>
        <v>1</v>
      </c>
      <c r="AS459" s="21">
        <f>SUM(Tabela1[[#This Row],[1_]:[19_]])</f>
        <v>2</v>
      </c>
    </row>
    <row r="460" spans="1:45" x14ac:dyDescent="0.25">
      <c r="A460" s="27" t="s">
        <v>1325</v>
      </c>
      <c r="B460" s="19" t="s">
        <v>853</v>
      </c>
      <c r="C460" s="19">
        <v>228</v>
      </c>
      <c r="D460" s="19" t="s">
        <v>1296</v>
      </c>
      <c r="E460" s="20">
        <v>43533</v>
      </c>
      <c r="F460" s="19"/>
      <c r="G460" s="19">
        <v>61</v>
      </c>
      <c r="H460" s="19"/>
      <c r="I460" s="19"/>
      <c r="J460" s="19"/>
      <c r="K460" s="19"/>
      <c r="L460" s="19"/>
      <c r="M460" s="19"/>
      <c r="N460" s="19"/>
      <c r="O460" s="19"/>
      <c r="P460" s="19"/>
      <c r="Q460" s="19"/>
      <c r="R460" s="19"/>
      <c r="S460" s="19"/>
      <c r="T460" s="19"/>
      <c r="U460" s="19">
        <v>203</v>
      </c>
      <c r="V460" s="19"/>
      <c r="W460" s="19"/>
      <c r="X460" s="19"/>
      <c r="Y460" s="19"/>
      <c r="Z460" t="str">
        <f>IF(Tabela1[[#This Row],[1]]&lt;&gt;"",IF(ISNUMBER(FIND(",",Tabela1[[#This Row],[1]])),LEN(Tabela1[[#This Row],[1]])-LEN(SUBSTITUTE(Tabela1[[#This Row],[1]],",",""))+1,1),"")</f>
        <v/>
      </c>
      <c r="AA460">
        <f>IF(Tabela1[[#This Row],[2]]&lt;&gt;"",IF(ISNUMBER(FIND(",",Tabela1[[#This Row],[2]])),LEN(Tabela1[[#This Row],[2]])-LEN(SUBSTITUTE(Tabela1[[#This Row],[2]],",",""))+1,1),"")</f>
        <v>1</v>
      </c>
      <c r="AB460" t="str">
        <f>IF(Tabela1[[#This Row],[3]]&lt;&gt;"",IF(ISNUMBER(FIND(",",Tabela1[[#This Row],[3]])),LEN(Tabela1[[#This Row],[3]])-LEN(SUBSTITUTE(Tabela1[[#This Row],[3]],",",""))+1,1),"")</f>
        <v/>
      </c>
      <c r="AC460" t="str">
        <f>IF(Tabela1[[#This Row],[4]]&lt;&gt;"",IF(ISNUMBER(FIND(",",Tabela1[[#This Row],[4]])),LEN(Tabela1[[#This Row],[4]])-LEN(SUBSTITUTE(Tabela1[[#This Row],[4]],",",""))+1,1),"")</f>
        <v/>
      </c>
      <c r="AD460" t="str">
        <f>IF(Tabela1[[#This Row],[5]]&lt;&gt;"",IF(ISNUMBER(FIND(",",Tabela1[[#This Row],[5]])),LEN(Tabela1[[#This Row],[5]])-LEN(SUBSTITUTE(Tabela1[[#This Row],[5]],",",""))+1,1),"")</f>
        <v/>
      </c>
      <c r="AE460" t="str">
        <f>IF(Tabela1[[#This Row],[6]]&lt;&gt;"",IF(ISNUMBER(FIND(",",Tabela1[[#This Row],[6]])),LEN(Tabela1[[#This Row],[6]])-LEN(SUBSTITUTE(Tabela1[[#This Row],[6]],",",""))+1,1),"")</f>
        <v/>
      </c>
      <c r="AF460" t="str">
        <f>IF(Tabela1[[#This Row],[7]]&lt;&gt;"",IF(ISNUMBER(FIND(",",Tabela1[[#This Row],[7]])),LEN(Tabela1[[#This Row],[7]])-LEN(SUBSTITUTE(Tabela1[[#This Row],[7]],",",""))+1,1),"")</f>
        <v/>
      </c>
      <c r="AG460" t="str">
        <f>IF(Tabela1[[#This Row],[8]]&lt;&gt;"",IF(ISNUMBER(FIND(",",Tabela1[[#This Row],[8]])),LEN(Tabela1[[#This Row],[8]])-LEN(SUBSTITUTE(Tabela1[[#This Row],[8]],",",""))+1,1),"")</f>
        <v/>
      </c>
      <c r="AH460" t="str">
        <f>IF(Tabela1[[#This Row],[9]]&lt;&gt;"",IF(ISNUMBER(FIND(",",Tabela1[[#This Row],[9]])),LEN(Tabela1[[#This Row],[9]])-LEN(SUBSTITUTE(Tabela1[[#This Row],[9]],",",""))+1,1),"")</f>
        <v/>
      </c>
      <c r="AI460" t="str">
        <f>IF(Tabela1[[#This Row],[10]]&lt;&gt;"",IF(ISNUMBER(FIND(",",Tabela1[[#This Row],[10]])),LEN(Tabela1[[#This Row],[10]])-LEN(SUBSTITUTE(Tabela1[[#This Row],[10]],",",""))+1,1),"")</f>
        <v/>
      </c>
      <c r="AJ460" t="str">
        <f>IF(Tabela1[[#This Row],[11]]&lt;&gt;"",IF(ISNUMBER(FIND(",",Tabela1[[#This Row],[11]])),LEN(Tabela1[[#This Row],[11]])-LEN(SUBSTITUTE(Tabela1[[#This Row],[11]],",",""))+1,1),"")</f>
        <v/>
      </c>
      <c r="AK460" t="str">
        <f>IF(Tabela1[[#This Row],[12]]&lt;&gt;"",IF(ISNUMBER(FIND(",",Tabela1[[#This Row],[12]])),LEN(Tabela1[[#This Row],[12]])-LEN(SUBSTITUTE(Tabela1[[#This Row],[12]],",",""))+1,1),"")</f>
        <v/>
      </c>
      <c r="AL460" t="str">
        <f>IF(Tabela1[[#This Row],[13]]&lt;&gt;"",IF(ISNUMBER(FIND(",",Tabela1[[#This Row],[13]])),LEN(Tabela1[[#This Row],[13]])-LEN(SUBSTITUTE(Tabela1[[#This Row],[13]],",",""))+1,1),"")</f>
        <v/>
      </c>
      <c r="AM460" t="str">
        <f>IF(Tabela1[[#This Row],[14]]&lt;&gt;"",IF(ISNUMBER(FIND(",",Tabela1[[#This Row],[14]])),LEN(Tabela1[[#This Row],[14]])-LEN(SUBSTITUTE(Tabela1[[#This Row],[14]],",",""))+1,1),"")</f>
        <v/>
      </c>
      <c r="AN460" t="str">
        <f>IF(Tabela1[[#This Row],[15]]&lt;&gt;"",IF(ISNUMBER(FIND(",",Tabela1[[#This Row],[15]])),LEN(Tabela1[[#This Row],[15]])-LEN(SUBSTITUTE(Tabela1[[#This Row],[15]],",",""))+1,1),"")</f>
        <v/>
      </c>
      <c r="AO460">
        <f>IF(Tabela1[[#This Row],[16]]&lt;&gt;"",IF(ISNUMBER(FIND(",",Tabela1[[#This Row],[16]])),LEN(Tabela1[[#This Row],[16]])-LEN(SUBSTITUTE(Tabela1[[#This Row],[16]],",",""))+1,1),"")</f>
        <v>1</v>
      </c>
      <c r="AP460" t="str">
        <f>IF(Tabela1[[#This Row],[17]]&lt;&gt;"",IF(ISNUMBER(FIND(",",Tabela1[[#This Row],[17]])),LEN(Tabela1[[#This Row],[17]])-LEN(SUBSTITUTE(Tabela1[[#This Row],[17]],",",""))+1,1),"")</f>
        <v/>
      </c>
      <c r="AQ460" t="str">
        <f>IF(Tabela1[[#This Row],[18]]&lt;&gt;"",IF(ISNUMBER(FIND(",",Tabela1[[#This Row],[18]])),LEN(Tabela1[[#This Row],[18]])-LEN(SUBSTITUTE(Tabela1[[#This Row],[18]],",",""))+1,1),"")</f>
        <v/>
      </c>
      <c r="AR460" s="13" t="str">
        <f>IF(Tabela1[[#This Row],[19_LENGTH]]&lt;&gt;"",IF(ISNUMBER(FIND(",",Tabela1[[#This Row],[19_LENGTH]])),LEN(Tabela1[[#This Row],[19_LENGTH]])-LEN(SUBSTITUTE(Tabela1[[#This Row],[19_LENGTH]],",",""))+1,1),"")</f>
        <v/>
      </c>
      <c r="AS460" s="21">
        <f>SUM(Tabela1[[#This Row],[1_]:[19_]])</f>
        <v>2</v>
      </c>
    </row>
    <row r="461" spans="1:45" x14ac:dyDescent="0.25">
      <c r="A461" s="27" t="s">
        <v>1325</v>
      </c>
      <c r="B461" s="19" t="s">
        <v>534</v>
      </c>
      <c r="C461" s="19">
        <v>220</v>
      </c>
      <c r="D461" s="19" t="s">
        <v>1298</v>
      </c>
      <c r="E461" s="20">
        <v>43533</v>
      </c>
      <c r="F461" s="19"/>
      <c r="G461" s="19"/>
      <c r="H461" s="19"/>
      <c r="I461" s="19">
        <v>92</v>
      </c>
      <c r="J461" s="19"/>
      <c r="K461" s="19"/>
      <c r="L461" s="19"/>
      <c r="M461" s="19"/>
      <c r="N461" s="19"/>
      <c r="O461" s="19"/>
      <c r="P461" s="19"/>
      <c r="Q461" s="19"/>
      <c r="R461" s="19"/>
      <c r="S461" s="19"/>
      <c r="T461" s="19"/>
      <c r="U461" s="19"/>
      <c r="V461" s="19"/>
      <c r="W461" s="19"/>
      <c r="X461" s="19"/>
      <c r="Y461" s="19"/>
      <c r="Z461" t="str">
        <f>IF(Tabela1[[#This Row],[1]]&lt;&gt;"",IF(ISNUMBER(FIND(",",Tabela1[[#This Row],[1]])),LEN(Tabela1[[#This Row],[1]])-LEN(SUBSTITUTE(Tabela1[[#This Row],[1]],",",""))+1,1),"")</f>
        <v/>
      </c>
      <c r="AA461" t="str">
        <f>IF(Tabela1[[#This Row],[2]]&lt;&gt;"",IF(ISNUMBER(FIND(",",Tabela1[[#This Row],[2]])),LEN(Tabela1[[#This Row],[2]])-LEN(SUBSTITUTE(Tabela1[[#This Row],[2]],",",""))+1,1),"")</f>
        <v/>
      </c>
      <c r="AB461" t="str">
        <f>IF(Tabela1[[#This Row],[3]]&lt;&gt;"",IF(ISNUMBER(FIND(",",Tabela1[[#This Row],[3]])),LEN(Tabela1[[#This Row],[3]])-LEN(SUBSTITUTE(Tabela1[[#This Row],[3]],",",""))+1,1),"")</f>
        <v/>
      </c>
      <c r="AC461">
        <f>IF(Tabela1[[#This Row],[4]]&lt;&gt;"",IF(ISNUMBER(FIND(",",Tabela1[[#This Row],[4]])),LEN(Tabela1[[#This Row],[4]])-LEN(SUBSTITUTE(Tabela1[[#This Row],[4]],",",""))+1,1),"")</f>
        <v>1</v>
      </c>
      <c r="AD461" t="str">
        <f>IF(Tabela1[[#This Row],[5]]&lt;&gt;"",IF(ISNUMBER(FIND(",",Tabela1[[#This Row],[5]])),LEN(Tabela1[[#This Row],[5]])-LEN(SUBSTITUTE(Tabela1[[#This Row],[5]],",",""))+1,1),"")</f>
        <v/>
      </c>
      <c r="AE461" t="str">
        <f>IF(Tabela1[[#This Row],[6]]&lt;&gt;"",IF(ISNUMBER(FIND(",",Tabela1[[#This Row],[6]])),LEN(Tabela1[[#This Row],[6]])-LEN(SUBSTITUTE(Tabela1[[#This Row],[6]],",",""))+1,1),"")</f>
        <v/>
      </c>
      <c r="AF461" t="str">
        <f>IF(Tabela1[[#This Row],[7]]&lt;&gt;"",IF(ISNUMBER(FIND(",",Tabela1[[#This Row],[7]])),LEN(Tabela1[[#This Row],[7]])-LEN(SUBSTITUTE(Tabela1[[#This Row],[7]],",",""))+1,1),"")</f>
        <v/>
      </c>
      <c r="AG461" t="str">
        <f>IF(Tabela1[[#This Row],[8]]&lt;&gt;"",IF(ISNUMBER(FIND(",",Tabela1[[#This Row],[8]])),LEN(Tabela1[[#This Row],[8]])-LEN(SUBSTITUTE(Tabela1[[#This Row],[8]],",",""))+1,1),"")</f>
        <v/>
      </c>
      <c r="AH461" t="str">
        <f>IF(Tabela1[[#This Row],[9]]&lt;&gt;"",IF(ISNUMBER(FIND(",",Tabela1[[#This Row],[9]])),LEN(Tabela1[[#This Row],[9]])-LEN(SUBSTITUTE(Tabela1[[#This Row],[9]],",",""))+1,1),"")</f>
        <v/>
      </c>
      <c r="AI461" t="str">
        <f>IF(Tabela1[[#This Row],[10]]&lt;&gt;"",IF(ISNUMBER(FIND(",",Tabela1[[#This Row],[10]])),LEN(Tabela1[[#This Row],[10]])-LEN(SUBSTITUTE(Tabela1[[#This Row],[10]],",",""))+1,1),"")</f>
        <v/>
      </c>
      <c r="AJ461" t="str">
        <f>IF(Tabela1[[#This Row],[11]]&lt;&gt;"",IF(ISNUMBER(FIND(",",Tabela1[[#This Row],[11]])),LEN(Tabela1[[#This Row],[11]])-LEN(SUBSTITUTE(Tabela1[[#This Row],[11]],",",""))+1,1),"")</f>
        <v/>
      </c>
      <c r="AK461" t="str">
        <f>IF(Tabela1[[#This Row],[12]]&lt;&gt;"",IF(ISNUMBER(FIND(",",Tabela1[[#This Row],[12]])),LEN(Tabela1[[#This Row],[12]])-LEN(SUBSTITUTE(Tabela1[[#This Row],[12]],",",""))+1,1),"")</f>
        <v/>
      </c>
      <c r="AL461" t="str">
        <f>IF(Tabela1[[#This Row],[13]]&lt;&gt;"",IF(ISNUMBER(FIND(",",Tabela1[[#This Row],[13]])),LEN(Tabela1[[#This Row],[13]])-LEN(SUBSTITUTE(Tabela1[[#This Row],[13]],",",""))+1,1),"")</f>
        <v/>
      </c>
      <c r="AM461" t="str">
        <f>IF(Tabela1[[#This Row],[14]]&lt;&gt;"",IF(ISNUMBER(FIND(",",Tabela1[[#This Row],[14]])),LEN(Tabela1[[#This Row],[14]])-LEN(SUBSTITUTE(Tabela1[[#This Row],[14]],",",""))+1,1),"")</f>
        <v/>
      </c>
      <c r="AN461" t="str">
        <f>IF(Tabela1[[#This Row],[15]]&lt;&gt;"",IF(ISNUMBER(FIND(",",Tabela1[[#This Row],[15]])),LEN(Tabela1[[#This Row],[15]])-LEN(SUBSTITUTE(Tabela1[[#This Row],[15]],",",""))+1,1),"")</f>
        <v/>
      </c>
      <c r="AO461" t="str">
        <f>IF(Tabela1[[#This Row],[16]]&lt;&gt;"",IF(ISNUMBER(FIND(",",Tabela1[[#This Row],[16]])),LEN(Tabela1[[#This Row],[16]])-LEN(SUBSTITUTE(Tabela1[[#This Row],[16]],",",""))+1,1),"")</f>
        <v/>
      </c>
      <c r="AP461" t="str">
        <f>IF(Tabela1[[#This Row],[17]]&lt;&gt;"",IF(ISNUMBER(FIND(",",Tabela1[[#This Row],[17]])),LEN(Tabela1[[#This Row],[17]])-LEN(SUBSTITUTE(Tabela1[[#This Row],[17]],",",""))+1,1),"")</f>
        <v/>
      </c>
      <c r="AQ461" t="str">
        <f>IF(Tabela1[[#This Row],[18]]&lt;&gt;"",IF(ISNUMBER(FIND(",",Tabela1[[#This Row],[18]])),LEN(Tabela1[[#This Row],[18]])-LEN(SUBSTITUTE(Tabela1[[#This Row],[18]],",",""))+1,1),"")</f>
        <v/>
      </c>
      <c r="AR461" s="13" t="str">
        <f>IF(Tabela1[[#This Row],[19_LENGTH]]&lt;&gt;"",IF(ISNUMBER(FIND(",",Tabela1[[#This Row],[19_LENGTH]])),LEN(Tabela1[[#This Row],[19_LENGTH]])-LEN(SUBSTITUTE(Tabela1[[#This Row],[19_LENGTH]],",",""))+1,1),"")</f>
        <v/>
      </c>
      <c r="AS461" s="21">
        <f>SUM(Tabela1[[#This Row],[1_]:[19_]])</f>
        <v>1</v>
      </c>
    </row>
    <row r="462" spans="1:45" x14ac:dyDescent="0.25">
      <c r="A462" s="27" t="s">
        <v>1327</v>
      </c>
      <c r="B462" s="19" t="s">
        <v>535</v>
      </c>
      <c r="C462" s="19">
        <v>202</v>
      </c>
      <c r="D462" s="19" t="s">
        <v>1295</v>
      </c>
      <c r="E462" s="20">
        <v>43533</v>
      </c>
      <c r="F462" s="19"/>
      <c r="G462" s="19">
        <v>195</v>
      </c>
      <c r="H462" s="19"/>
      <c r="I462" s="19"/>
      <c r="J462" s="19"/>
      <c r="K462" s="19"/>
      <c r="L462" s="19"/>
      <c r="M462" s="19"/>
      <c r="N462" s="19"/>
      <c r="O462" s="19"/>
      <c r="P462" s="19"/>
      <c r="Q462" s="19"/>
      <c r="R462" s="19"/>
      <c r="S462" s="19"/>
      <c r="T462" s="19"/>
      <c r="U462" s="19"/>
      <c r="V462" s="19"/>
      <c r="W462" s="19"/>
      <c r="X462" s="19"/>
      <c r="Y462" s="19"/>
      <c r="Z462" t="str">
        <f>IF(Tabela1[[#This Row],[1]]&lt;&gt;"",IF(ISNUMBER(FIND(",",Tabela1[[#This Row],[1]])),LEN(Tabela1[[#This Row],[1]])-LEN(SUBSTITUTE(Tabela1[[#This Row],[1]],",",""))+1,1),"")</f>
        <v/>
      </c>
      <c r="AA462">
        <f>IF(Tabela1[[#This Row],[2]]&lt;&gt;"",IF(ISNUMBER(FIND(",",Tabela1[[#This Row],[2]])),LEN(Tabela1[[#This Row],[2]])-LEN(SUBSTITUTE(Tabela1[[#This Row],[2]],",",""))+1,1),"")</f>
        <v>1</v>
      </c>
      <c r="AB462" t="str">
        <f>IF(Tabela1[[#This Row],[3]]&lt;&gt;"",IF(ISNUMBER(FIND(",",Tabela1[[#This Row],[3]])),LEN(Tabela1[[#This Row],[3]])-LEN(SUBSTITUTE(Tabela1[[#This Row],[3]],",",""))+1,1),"")</f>
        <v/>
      </c>
      <c r="AC462" t="str">
        <f>IF(Tabela1[[#This Row],[4]]&lt;&gt;"",IF(ISNUMBER(FIND(",",Tabela1[[#This Row],[4]])),LEN(Tabela1[[#This Row],[4]])-LEN(SUBSTITUTE(Tabela1[[#This Row],[4]],",",""))+1,1),"")</f>
        <v/>
      </c>
      <c r="AD462" t="str">
        <f>IF(Tabela1[[#This Row],[5]]&lt;&gt;"",IF(ISNUMBER(FIND(",",Tabela1[[#This Row],[5]])),LEN(Tabela1[[#This Row],[5]])-LEN(SUBSTITUTE(Tabela1[[#This Row],[5]],",",""))+1,1),"")</f>
        <v/>
      </c>
      <c r="AE462" t="str">
        <f>IF(Tabela1[[#This Row],[6]]&lt;&gt;"",IF(ISNUMBER(FIND(",",Tabela1[[#This Row],[6]])),LEN(Tabela1[[#This Row],[6]])-LEN(SUBSTITUTE(Tabela1[[#This Row],[6]],",",""))+1,1),"")</f>
        <v/>
      </c>
      <c r="AF462" t="str">
        <f>IF(Tabela1[[#This Row],[7]]&lt;&gt;"",IF(ISNUMBER(FIND(",",Tabela1[[#This Row],[7]])),LEN(Tabela1[[#This Row],[7]])-LEN(SUBSTITUTE(Tabela1[[#This Row],[7]],",",""))+1,1),"")</f>
        <v/>
      </c>
      <c r="AG462" t="str">
        <f>IF(Tabela1[[#This Row],[8]]&lt;&gt;"",IF(ISNUMBER(FIND(",",Tabela1[[#This Row],[8]])),LEN(Tabela1[[#This Row],[8]])-LEN(SUBSTITUTE(Tabela1[[#This Row],[8]],",",""))+1,1),"")</f>
        <v/>
      </c>
      <c r="AH462" t="str">
        <f>IF(Tabela1[[#This Row],[9]]&lt;&gt;"",IF(ISNUMBER(FIND(",",Tabela1[[#This Row],[9]])),LEN(Tabela1[[#This Row],[9]])-LEN(SUBSTITUTE(Tabela1[[#This Row],[9]],",",""))+1,1),"")</f>
        <v/>
      </c>
      <c r="AI462" t="str">
        <f>IF(Tabela1[[#This Row],[10]]&lt;&gt;"",IF(ISNUMBER(FIND(",",Tabela1[[#This Row],[10]])),LEN(Tabela1[[#This Row],[10]])-LEN(SUBSTITUTE(Tabela1[[#This Row],[10]],",",""))+1,1),"")</f>
        <v/>
      </c>
      <c r="AJ462" t="str">
        <f>IF(Tabela1[[#This Row],[11]]&lt;&gt;"",IF(ISNUMBER(FIND(",",Tabela1[[#This Row],[11]])),LEN(Tabela1[[#This Row],[11]])-LEN(SUBSTITUTE(Tabela1[[#This Row],[11]],",",""))+1,1),"")</f>
        <v/>
      </c>
      <c r="AK462" t="str">
        <f>IF(Tabela1[[#This Row],[12]]&lt;&gt;"",IF(ISNUMBER(FIND(",",Tabela1[[#This Row],[12]])),LEN(Tabela1[[#This Row],[12]])-LEN(SUBSTITUTE(Tabela1[[#This Row],[12]],",",""))+1,1),"")</f>
        <v/>
      </c>
      <c r="AL462" t="str">
        <f>IF(Tabela1[[#This Row],[13]]&lt;&gt;"",IF(ISNUMBER(FIND(",",Tabela1[[#This Row],[13]])),LEN(Tabela1[[#This Row],[13]])-LEN(SUBSTITUTE(Tabela1[[#This Row],[13]],",",""))+1,1),"")</f>
        <v/>
      </c>
      <c r="AM462" t="str">
        <f>IF(Tabela1[[#This Row],[14]]&lt;&gt;"",IF(ISNUMBER(FIND(",",Tabela1[[#This Row],[14]])),LEN(Tabela1[[#This Row],[14]])-LEN(SUBSTITUTE(Tabela1[[#This Row],[14]],",",""))+1,1),"")</f>
        <v/>
      </c>
      <c r="AN462" t="str">
        <f>IF(Tabela1[[#This Row],[15]]&lt;&gt;"",IF(ISNUMBER(FIND(",",Tabela1[[#This Row],[15]])),LEN(Tabela1[[#This Row],[15]])-LEN(SUBSTITUTE(Tabela1[[#This Row],[15]],",",""))+1,1),"")</f>
        <v/>
      </c>
      <c r="AO462" t="str">
        <f>IF(Tabela1[[#This Row],[16]]&lt;&gt;"",IF(ISNUMBER(FIND(",",Tabela1[[#This Row],[16]])),LEN(Tabela1[[#This Row],[16]])-LEN(SUBSTITUTE(Tabela1[[#This Row],[16]],",",""))+1,1),"")</f>
        <v/>
      </c>
      <c r="AP462" t="str">
        <f>IF(Tabela1[[#This Row],[17]]&lt;&gt;"",IF(ISNUMBER(FIND(",",Tabela1[[#This Row],[17]])),LEN(Tabela1[[#This Row],[17]])-LEN(SUBSTITUTE(Tabela1[[#This Row],[17]],",",""))+1,1),"")</f>
        <v/>
      </c>
      <c r="AQ462" t="str">
        <f>IF(Tabela1[[#This Row],[18]]&lt;&gt;"",IF(ISNUMBER(FIND(",",Tabela1[[#This Row],[18]])),LEN(Tabela1[[#This Row],[18]])-LEN(SUBSTITUTE(Tabela1[[#This Row],[18]],",",""))+1,1),"")</f>
        <v/>
      </c>
      <c r="AR462" s="13" t="str">
        <f>IF(Tabela1[[#This Row],[19_LENGTH]]&lt;&gt;"",IF(ISNUMBER(FIND(",",Tabela1[[#This Row],[19_LENGTH]])),LEN(Tabela1[[#This Row],[19_LENGTH]])-LEN(SUBSTITUTE(Tabela1[[#This Row],[19_LENGTH]],",",""))+1,1),"")</f>
        <v/>
      </c>
      <c r="AS462" s="21">
        <f>SUM(Tabela1[[#This Row],[1_]:[19_]])</f>
        <v>1</v>
      </c>
    </row>
    <row r="463" spans="1:45" x14ac:dyDescent="0.25">
      <c r="A463" s="27" t="s">
        <v>1327</v>
      </c>
      <c r="B463" s="19" t="s">
        <v>536</v>
      </c>
      <c r="C463" s="19">
        <v>202</v>
      </c>
      <c r="D463" s="19" t="s">
        <v>1295</v>
      </c>
      <c r="E463" s="20">
        <v>43532</v>
      </c>
      <c r="F463" s="19"/>
      <c r="G463" s="19"/>
      <c r="H463" s="19">
        <v>7</v>
      </c>
      <c r="I463" s="19"/>
      <c r="J463" s="19"/>
      <c r="K463" s="19"/>
      <c r="L463" s="19"/>
      <c r="M463" s="19"/>
      <c r="N463" s="19"/>
      <c r="O463" s="19"/>
      <c r="P463" s="19"/>
      <c r="Q463" s="19"/>
      <c r="R463" s="19"/>
      <c r="S463" s="19"/>
      <c r="T463" s="19"/>
      <c r="U463" s="19"/>
      <c r="V463" s="19"/>
      <c r="W463" s="19"/>
      <c r="X463" s="19"/>
      <c r="Y463" s="19"/>
      <c r="Z463" t="str">
        <f>IF(Tabela1[[#This Row],[1]]&lt;&gt;"",IF(ISNUMBER(FIND(",",Tabela1[[#This Row],[1]])),LEN(Tabela1[[#This Row],[1]])-LEN(SUBSTITUTE(Tabela1[[#This Row],[1]],",",""))+1,1),"")</f>
        <v/>
      </c>
      <c r="AA463" t="str">
        <f>IF(Tabela1[[#This Row],[2]]&lt;&gt;"",IF(ISNUMBER(FIND(",",Tabela1[[#This Row],[2]])),LEN(Tabela1[[#This Row],[2]])-LEN(SUBSTITUTE(Tabela1[[#This Row],[2]],",",""))+1,1),"")</f>
        <v/>
      </c>
      <c r="AB463">
        <f>IF(Tabela1[[#This Row],[3]]&lt;&gt;"",IF(ISNUMBER(FIND(",",Tabela1[[#This Row],[3]])),LEN(Tabela1[[#This Row],[3]])-LEN(SUBSTITUTE(Tabela1[[#This Row],[3]],",",""))+1,1),"")</f>
        <v>1</v>
      </c>
      <c r="AC463" t="str">
        <f>IF(Tabela1[[#This Row],[4]]&lt;&gt;"",IF(ISNUMBER(FIND(",",Tabela1[[#This Row],[4]])),LEN(Tabela1[[#This Row],[4]])-LEN(SUBSTITUTE(Tabela1[[#This Row],[4]],",",""))+1,1),"")</f>
        <v/>
      </c>
      <c r="AD463" t="str">
        <f>IF(Tabela1[[#This Row],[5]]&lt;&gt;"",IF(ISNUMBER(FIND(",",Tabela1[[#This Row],[5]])),LEN(Tabela1[[#This Row],[5]])-LEN(SUBSTITUTE(Tabela1[[#This Row],[5]],",",""))+1,1),"")</f>
        <v/>
      </c>
      <c r="AE463" t="str">
        <f>IF(Tabela1[[#This Row],[6]]&lt;&gt;"",IF(ISNUMBER(FIND(",",Tabela1[[#This Row],[6]])),LEN(Tabela1[[#This Row],[6]])-LEN(SUBSTITUTE(Tabela1[[#This Row],[6]],",",""))+1,1),"")</f>
        <v/>
      </c>
      <c r="AF463" t="str">
        <f>IF(Tabela1[[#This Row],[7]]&lt;&gt;"",IF(ISNUMBER(FIND(",",Tabela1[[#This Row],[7]])),LEN(Tabela1[[#This Row],[7]])-LEN(SUBSTITUTE(Tabela1[[#This Row],[7]],",",""))+1,1),"")</f>
        <v/>
      </c>
      <c r="AG463" t="str">
        <f>IF(Tabela1[[#This Row],[8]]&lt;&gt;"",IF(ISNUMBER(FIND(",",Tabela1[[#This Row],[8]])),LEN(Tabela1[[#This Row],[8]])-LEN(SUBSTITUTE(Tabela1[[#This Row],[8]],",",""))+1,1),"")</f>
        <v/>
      </c>
      <c r="AH463" t="str">
        <f>IF(Tabela1[[#This Row],[9]]&lt;&gt;"",IF(ISNUMBER(FIND(",",Tabela1[[#This Row],[9]])),LEN(Tabela1[[#This Row],[9]])-LEN(SUBSTITUTE(Tabela1[[#This Row],[9]],",",""))+1,1),"")</f>
        <v/>
      </c>
      <c r="AI463" t="str">
        <f>IF(Tabela1[[#This Row],[10]]&lt;&gt;"",IF(ISNUMBER(FIND(",",Tabela1[[#This Row],[10]])),LEN(Tabela1[[#This Row],[10]])-LEN(SUBSTITUTE(Tabela1[[#This Row],[10]],",",""))+1,1),"")</f>
        <v/>
      </c>
      <c r="AJ463" t="str">
        <f>IF(Tabela1[[#This Row],[11]]&lt;&gt;"",IF(ISNUMBER(FIND(",",Tabela1[[#This Row],[11]])),LEN(Tabela1[[#This Row],[11]])-LEN(SUBSTITUTE(Tabela1[[#This Row],[11]],",",""))+1,1),"")</f>
        <v/>
      </c>
      <c r="AK463" t="str">
        <f>IF(Tabela1[[#This Row],[12]]&lt;&gt;"",IF(ISNUMBER(FIND(",",Tabela1[[#This Row],[12]])),LEN(Tabela1[[#This Row],[12]])-LEN(SUBSTITUTE(Tabela1[[#This Row],[12]],",",""))+1,1),"")</f>
        <v/>
      </c>
      <c r="AL463" t="str">
        <f>IF(Tabela1[[#This Row],[13]]&lt;&gt;"",IF(ISNUMBER(FIND(",",Tabela1[[#This Row],[13]])),LEN(Tabela1[[#This Row],[13]])-LEN(SUBSTITUTE(Tabela1[[#This Row],[13]],",",""))+1,1),"")</f>
        <v/>
      </c>
      <c r="AM463" t="str">
        <f>IF(Tabela1[[#This Row],[14]]&lt;&gt;"",IF(ISNUMBER(FIND(",",Tabela1[[#This Row],[14]])),LEN(Tabela1[[#This Row],[14]])-LEN(SUBSTITUTE(Tabela1[[#This Row],[14]],",",""))+1,1),"")</f>
        <v/>
      </c>
      <c r="AN463" t="str">
        <f>IF(Tabela1[[#This Row],[15]]&lt;&gt;"",IF(ISNUMBER(FIND(",",Tabela1[[#This Row],[15]])),LEN(Tabela1[[#This Row],[15]])-LEN(SUBSTITUTE(Tabela1[[#This Row],[15]],",",""))+1,1),"")</f>
        <v/>
      </c>
      <c r="AO463" t="str">
        <f>IF(Tabela1[[#This Row],[16]]&lt;&gt;"",IF(ISNUMBER(FIND(",",Tabela1[[#This Row],[16]])),LEN(Tabela1[[#This Row],[16]])-LEN(SUBSTITUTE(Tabela1[[#This Row],[16]],",",""))+1,1),"")</f>
        <v/>
      </c>
      <c r="AP463" t="str">
        <f>IF(Tabela1[[#This Row],[17]]&lt;&gt;"",IF(ISNUMBER(FIND(",",Tabela1[[#This Row],[17]])),LEN(Tabela1[[#This Row],[17]])-LEN(SUBSTITUTE(Tabela1[[#This Row],[17]],",",""))+1,1),"")</f>
        <v/>
      </c>
      <c r="AQ463" t="str">
        <f>IF(Tabela1[[#This Row],[18]]&lt;&gt;"",IF(ISNUMBER(FIND(",",Tabela1[[#This Row],[18]])),LEN(Tabela1[[#This Row],[18]])-LEN(SUBSTITUTE(Tabela1[[#This Row],[18]],",",""))+1,1),"")</f>
        <v/>
      </c>
      <c r="AR463" s="13" t="str">
        <f>IF(Tabela1[[#This Row],[19_LENGTH]]&lt;&gt;"",IF(ISNUMBER(FIND(",",Tabela1[[#This Row],[19_LENGTH]])),LEN(Tabela1[[#This Row],[19_LENGTH]])-LEN(SUBSTITUTE(Tabela1[[#This Row],[19_LENGTH]],",",""))+1,1),"")</f>
        <v/>
      </c>
      <c r="AS463" s="21">
        <f>SUM(Tabela1[[#This Row],[1_]:[19_]])</f>
        <v>1</v>
      </c>
    </row>
    <row r="464" spans="1:45" x14ac:dyDescent="0.25">
      <c r="A464" s="27" t="s">
        <v>1325</v>
      </c>
      <c r="B464" s="19" t="s">
        <v>537</v>
      </c>
      <c r="C464" s="19">
        <v>202</v>
      </c>
      <c r="D464" s="19" t="s">
        <v>1295</v>
      </c>
      <c r="E464" s="20">
        <v>43532</v>
      </c>
      <c r="F464" s="19"/>
      <c r="G464" s="19"/>
      <c r="H464" s="19"/>
      <c r="I464" s="19"/>
      <c r="J464" s="19"/>
      <c r="K464" s="19"/>
      <c r="L464" s="19"/>
      <c r="M464" s="19"/>
      <c r="N464" s="19"/>
      <c r="O464" s="19"/>
      <c r="P464" s="19"/>
      <c r="Q464" s="19"/>
      <c r="R464" s="19"/>
      <c r="S464" s="19"/>
      <c r="T464" s="19"/>
      <c r="U464" s="19">
        <v>162</v>
      </c>
      <c r="V464" s="19"/>
      <c r="W464" s="19"/>
      <c r="X464" s="19"/>
      <c r="Y464" s="19"/>
      <c r="Z464" t="str">
        <f>IF(Tabela1[[#This Row],[1]]&lt;&gt;"",IF(ISNUMBER(FIND(",",Tabela1[[#This Row],[1]])),LEN(Tabela1[[#This Row],[1]])-LEN(SUBSTITUTE(Tabela1[[#This Row],[1]],",",""))+1,1),"")</f>
        <v/>
      </c>
      <c r="AA464" t="str">
        <f>IF(Tabela1[[#This Row],[2]]&lt;&gt;"",IF(ISNUMBER(FIND(",",Tabela1[[#This Row],[2]])),LEN(Tabela1[[#This Row],[2]])-LEN(SUBSTITUTE(Tabela1[[#This Row],[2]],",",""))+1,1),"")</f>
        <v/>
      </c>
      <c r="AB464" t="str">
        <f>IF(Tabela1[[#This Row],[3]]&lt;&gt;"",IF(ISNUMBER(FIND(",",Tabela1[[#This Row],[3]])),LEN(Tabela1[[#This Row],[3]])-LEN(SUBSTITUTE(Tabela1[[#This Row],[3]],",",""))+1,1),"")</f>
        <v/>
      </c>
      <c r="AC464" t="str">
        <f>IF(Tabela1[[#This Row],[4]]&lt;&gt;"",IF(ISNUMBER(FIND(",",Tabela1[[#This Row],[4]])),LEN(Tabela1[[#This Row],[4]])-LEN(SUBSTITUTE(Tabela1[[#This Row],[4]],",",""))+1,1),"")</f>
        <v/>
      </c>
      <c r="AD464" t="str">
        <f>IF(Tabela1[[#This Row],[5]]&lt;&gt;"",IF(ISNUMBER(FIND(",",Tabela1[[#This Row],[5]])),LEN(Tabela1[[#This Row],[5]])-LEN(SUBSTITUTE(Tabela1[[#This Row],[5]],",",""))+1,1),"")</f>
        <v/>
      </c>
      <c r="AE464" t="str">
        <f>IF(Tabela1[[#This Row],[6]]&lt;&gt;"",IF(ISNUMBER(FIND(",",Tabela1[[#This Row],[6]])),LEN(Tabela1[[#This Row],[6]])-LEN(SUBSTITUTE(Tabela1[[#This Row],[6]],",",""))+1,1),"")</f>
        <v/>
      </c>
      <c r="AF464" t="str">
        <f>IF(Tabela1[[#This Row],[7]]&lt;&gt;"",IF(ISNUMBER(FIND(",",Tabela1[[#This Row],[7]])),LEN(Tabela1[[#This Row],[7]])-LEN(SUBSTITUTE(Tabela1[[#This Row],[7]],",",""))+1,1),"")</f>
        <v/>
      </c>
      <c r="AG464" t="str">
        <f>IF(Tabela1[[#This Row],[8]]&lt;&gt;"",IF(ISNUMBER(FIND(",",Tabela1[[#This Row],[8]])),LEN(Tabela1[[#This Row],[8]])-LEN(SUBSTITUTE(Tabela1[[#This Row],[8]],",",""))+1,1),"")</f>
        <v/>
      </c>
      <c r="AH464" t="str">
        <f>IF(Tabela1[[#This Row],[9]]&lt;&gt;"",IF(ISNUMBER(FIND(",",Tabela1[[#This Row],[9]])),LEN(Tabela1[[#This Row],[9]])-LEN(SUBSTITUTE(Tabela1[[#This Row],[9]],",",""))+1,1),"")</f>
        <v/>
      </c>
      <c r="AI464" t="str">
        <f>IF(Tabela1[[#This Row],[10]]&lt;&gt;"",IF(ISNUMBER(FIND(",",Tabela1[[#This Row],[10]])),LEN(Tabela1[[#This Row],[10]])-LEN(SUBSTITUTE(Tabela1[[#This Row],[10]],",",""))+1,1),"")</f>
        <v/>
      </c>
      <c r="AJ464" t="str">
        <f>IF(Tabela1[[#This Row],[11]]&lt;&gt;"",IF(ISNUMBER(FIND(",",Tabela1[[#This Row],[11]])),LEN(Tabela1[[#This Row],[11]])-LEN(SUBSTITUTE(Tabela1[[#This Row],[11]],",",""))+1,1),"")</f>
        <v/>
      </c>
      <c r="AK464" t="str">
        <f>IF(Tabela1[[#This Row],[12]]&lt;&gt;"",IF(ISNUMBER(FIND(",",Tabela1[[#This Row],[12]])),LEN(Tabela1[[#This Row],[12]])-LEN(SUBSTITUTE(Tabela1[[#This Row],[12]],",",""))+1,1),"")</f>
        <v/>
      </c>
      <c r="AL464" t="str">
        <f>IF(Tabela1[[#This Row],[13]]&lt;&gt;"",IF(ISNUMBER(FIND(",",Tabela1[[#This Row],[13]])),LEN(Tabela1[[#This Row],[13]])-LEN(SUBSTITUTE(Tabela1[[#This Row],[13]],",",""))+1,1),"")</f>
        <v/>
      </c>
      <c r="AM464" t="str">
        <f>IF(Tabela1[[#This Row],[14]]&lt;&gt;"",IF(ISNUMBER(FIND(",",Tabela1[[#This Row],[14]])),LEN(Tabela1[[#This Row],[14]])-LEN(SUBSTITUTE(Tabela1[[#This Row],[14]],",",""))+1,1),"")</f>
        <v/>
      </c>
      <c r="AN464" t="str">
        <f>IF(Tabela1[[#This Row],[15]]&lt;&gt;"",IF(ISNUMBER(FIND(",",Tabela1[[#This Row],[15]])),LEN(Tabela1[[#This Row],[15]])-LEN(SUBSTITUTE(Tabela1[[#This Row],[15]],",",""))+1,1),"")</f>
        <v/>
      </c>
      <c r="AO464">
        <f>IF(Tabela1[[#This Row],[16]]&lt;&gt;"",IF(ISNUMBER(FIND(",",Tabela1[[#This Row],[16]])),LEN(Tabela1[[#This Row],[16]])-LEN(SUBSTITUTE(Tabela1[[#This Row],[16]],",",""))+1,1),"")</f>
        <v>1</v>
      </c>
      <c r="AP464" t="str">
        <f>IF(Tabela1[[#This Row],[17]]&lt;&gt;"",IF(ISNUMBER(FIND(",",Tabela1[[#This Row],[17]])),LEN(Tabela1[[#This Row],[17]])-LEN(SUBSTITUTE(Tabela1[[#This Row],[17]],",",""))+1,1),"")</f>
        <v/>
      </c>
      <c r="AQ464" t="str">
        <f>IF(Tabela1[[#This Row],[18]]&lt;&gt;"",IF(ISNUMBER(FIND(",",Tabela1[[#This Row],[18]])),LEN(Tabela1[[#This Row],[18]])-LEN(SUBSTITUTE(Tabela1[[#This Row],[18]],",",""))+1,1),"")</f>
        <v/>
      </c>
      <c r="AR464" s="13" t="str">
        <f>IF(Tabela1[[#This Row],[19_LENGTH]]&lt;&gt;"",IF(ISNUMBER(FIND(",",Tabela1[[#This Row],[19_LENGTH]])),LEN(Tabela1[[#This Row],[19_LENGTH]])-LEN(SUBSTITUTE(Tabela1[[#This Row],[19_LENGTH]],",",""))+1,1),"")</f>
        <v/>
      </c>
      <c r="AS464" s="21">
        <f>SUM(Tabela1[[#This Row],[1_]:[19_]])</f>
        <v>1</v>
      </c>
    </row>
    <row r="465" spans="1:45" x14ac:dyDescent="0.25">
      <c r="A465" s="27" t="s">
        <v>1325</v>
      </c>
      <c r="B465" s="19" t="s">
        <v>538</v>
      </c>
      <c r="C465" s="19">
        <v>202</v>
      </c>
      <c r="D465" s="19" t="s">
        <v>1295</v>
      </c>
      <c r="E465" s="20">
        <v>43532</v>
      </c>
      <c r="F465" s="19"/>
      <c r="G465" s="19"/>
      <c r="H465" s="19"/>
      <c r="I465" s="19"/>
      <c r="J465" s="19"/>
      <c r="K465" s="19"/>
      <c r="L465" s="19"/>
      <c r="M465" s="19"/>
      <c r="N465" s="19"/>
      <c r="O465" s="19" t="s">
        <v>192</v>
      </c>
      <c r="P465" s="19"/>
      <c r="Q465" s="19"/>
      <c r="R465" s="19"/>
      <c r="S465" s="19"/>
      <c r="T465" s="19"/>
      <c r="U465" s="19"/>
      <c r="V465" s="19"/>
      <c r="W465" s="19"/>
      <c r="X465" s="19"/>
      <c r="Y465" s="19"/>
      <c r="Z465" t="str">
        <f>IF(Tabela1[[#This Row],[1]]&lt;&gt;"",IF(ISNUMBER(FIND(",",Tabela1[[#This Row],[1]])),LEN(Tabela1[[#This Row],[1]])-LEN(SUBSTITUTE(Tabela1[[#This Row],[1]],",",""))+1,1),"")</f>
        <v/>
      </c>
      <c r="AA465" t="str">
        <f>IF(Tabela1[[#This Row],[2]]&lt;&gt;"",IF(ISNUMBER(FIND(",",Tabela1[[#This Row],[2]])),LEN(Tabela1[[#This Row],[2]])-LEN(SUBSTITUTE(Tabela1[[#This Row],[2]],",",""))+1,1),"")</f>
        <v/>
      </c>
      <c r="AB465" t="str">
        <f>IF(Tabela1[[#This Row],[3]]&lt;&gt;"",IF(ISNUMBER(FIND(",",Tabela1[[#This Row],[3]])),LEN(Tabela1[[#This Row],[3]])-LEN(SUBSTITUTE(Tabela1[[#This Row],[3]],",",""))+1,1),"")</f>
        <v/>
      </c>
      <c r="AC465" t="str">
        <f>IF(Tabela1[[#This Row],[4]]&lt;&gt;"",IF(ISNUMBER(FIND(",",Tabela1[[#This Row],[4]])),LEN(Tabela1[[#This Row],[4]])-LEN(SUBSTITUTE(Tabela1[[#This Row],[4]],",",""))+1,1),"")</f>
        <v/>
      </c>
      <c r="AD465" t="str">
        <f>IF(Tabela1[[#This Row],[5]]&lt;&gt;"",IF(ISNUMBER(FIND(",",Tabela1[[#This Row],[5]])),LEN(Tabela1[[#This Row],[5]])-LEN(SUBSTITUTE(Tabela1[[#This Row],[5]],",",""))+1,1),"")</f>
        <v/>
      </c>
      <c r="AE465" t="str">
        <f>IF(Tabela1[[#This Row],[6]]&lt;&gt;"",IF(ISNUMBER(FIND(",",Tabela1[[#This Row],[6]])),LEN(Tabela1[[#This Row],[6]])-LEN(SUBSTITUTE(Tabela1[[#This Row],[6]],",",""))+1,1),"")</f>
        <v/>
      </c>
      <c r="AF465" t="str">
        <f>IF(Tabela1[[#This Row],[7]]&lt;&gt;"",IF(ISNUMBER(FIND(",",Tabela1[[#This Row],[7]])),LEN(Tabela1[[#This Row],[7]])-LEN(SUBSTITUTE(Tabela1[[#This Row],[7]],",",""))+1,1),"")</f>
        <v/>
      </c>
      <c r="AG465" t="str">
        <f>IF(Tabela1[[#This Row],[8]]&lt;&gt;"",IF(ISNUMBER(FIND(",",Tabela1[[#This Row],[8]])),LEN(Tabela1[[#This Row],[8]])-LEN(SUBSTITUTE(Tabela1[[#This Row],[8]],",",""))+1,1),"")</f>
        <v/>
      </c>
      <c r="AH465" t="str">
        <f>IF(Tabela1[[#This Row],[9]]&lt;&gt;"",IF(ISNUMBER(FIND(",",Tabela1[[#This Row],[9]])),LEN(Tabela1[[#This Row],[9]])-LEN(SUBSTITUTE(Tabela1[[#This Row],[9]],",",""))+1,1),"")</f>
        <v/>
      </c>
      <c r="AI465">
        <f>IF(Tabela1[[#This Row],[10]]&lt;&gt;"",IF(ISNUMBER(FIND(",",Tabela1[[#This Row],[10]])),LEN(Tabela1[[#This Row],[10]])-LEN(SUBSTITUTE(Tabela1[[#This Row],[10]],",",""))+1,1),"")</f>
        <v>1</v>
      </c>
      <c r="AJ465" t="str">
        <f>IF(Tabela1[[#This Row],[11]]&lt;&gt;"",IF(ISNUMBER(FIND(",",Tabela1[[#This Row],[11]])),LEN(Tabela1[[#This Row],[11]])-LEN(SUBSTITUTE(Tabela1[[#This Row],[11]],",",""))+1,1),"")</f>
        <v/>
      </c>
      <c r="AK465" t="str">
        <f>IF(Tabela1[[#This Row],[12]]&lt;&gt;"",IF(ISNUMBER(FIND(",",Tabela1[[#This Row],[12]])),LEN(Tabela1[[#This Row],[12]])-LEN(SUBSTITUTE(Tabela1[[#This Row],[12]],",",""))+1,1),"")</f>
        <v/>
      </c>
      <c r="AL465" t="str">
        <f>IF(Tabela1[[#This Row],[13]]&lt;&gt;"",IF(ISNUMBER(FIND(",",Tabela1[[#This Row],[13]])),LEN(Tabela1[[#This Row],[13]])-LEN(SUBSTITUTE(Tabela1[[#This Row],[13]],",",""))+1,1),"")</f>
        <v/>
      </c>
      <c r="AM465" t="str">
        <f>IF(Tabela1[[#This Row],[14]]&lt;&gt;"",IF(ISNUMBER(FIND(",",Tabela1[[#This Row],[14]])),LEN(Tabela1[[#This Row],[14]])-LEN(SUBSTITUTE(Tabela1[[#This Row],[14]],",",""))+1,1),"")</f>
        <v/>
      </c>
      <c r="AN465" t="str">
        <f>IF(Tabela1[[#This Row],[15]]&lt;&gt;"",IF(ISNUMBER(FIND(",",Tabela1[[#This Row],[15]])),LEN(Tabela1[[#This Row],[15]])-LEN(SUBSTITUTE(Tabela1[[#This Row],[15]],",",""))+1,1),"")</f>
        <v/>
      </c>
      <c r="AO465" t="str">
        <f>IF(Tabela1[[#This Row],[16]]&lt;&gt;"",IF(ISNUMBER(FIND(",",Tabela1[[#This Row],[16]])),LEN(Tabela1[[#This Row],[16]])-LEN(SUBSTITUTE(Tabela1[[#This Row],[16]],",",""))+1,1),"")</f>
        <v/>
      </c>
      <c r="AP465" t="str">
        <f>IF(Tabela1[[#This Row],[17]]&lt;&gt;"",IF(ISNUMBER(FIND(",",Tabela1[[#This Row],[17]])),LEN(Tabela1[[#This Row],[17]])-LEN(SUBSTITUTE(Tabela1[[#This Row],[17]],",",""))+1,1),"")</f>
        <v/>
      </c>
      <c r="AQ465" t="str">
        <f>IF(Tabela1[[#This Row],[18]]&lt;&gt;"",IF(ISNUMBER(FIND(",",Tabela1[[#This Row],[18]])),LEN(Tabela1[[#This Row],[18]])-LEN(SUBSTITUTE(Tabela1[[#This Row],[18]],",",""))+1,1),"")</f>
        <v/>
      </c>
      <c r="AR465" s="13" t="str">
        <f>IF(Tabela1[[#This Row],[19_LENGTH]]&lt;&gt;"",IF(ISNUMBER(FIND(",",Tabela1[[#This Row],[19_LENGTH]])),LEN(Tabela1[[#This Row],[19_LENGTH]])-LEN(SUBSTITUTE(Tabela1[[#This Row],[19_LENGTH]],",",""))+1,1),"")</f>
        <v/>
      </c>
      <c r="AS465" s="21">
        <f>SUM(Tabela1[[#This Row],[1_]:[19_]])</f>
        <v>1</v>
      </c>
    </row>
    <row r="466" spans="1:45" x14ac:dyDescent="0.25">
      <c r="A466" s="27" t="s">
        <v>1325</v>
      </c>
      <c r="B466" s="19" t="s">
        <v>539</v>
      </c>
      <c r="C466" s="19">
        <v>180</v>
      </c>
      <c r="D466" s="19" t="s">
        <v>1296</v>
      </c>
      <c r="E466" s="20">
        <v>43532</v>
      </c>
      <c r="F466" s="19"/>
      <c r="G466" s="19"/>
      <c r="H466" s="19">
        <v>188</v>
      </c>
      <c r="I466" s="19">
        <v>105</v>
      </c>
      <c r="J466" s="19"/>
      <c r="K466" s="19"/>
      <c r="L466" s="19"/>
      <c r="M466" s="19"/>
      <c r="N466" s="19"/>
      <c r="O466" s="19"/>
      <c r="P466" s="19"/>
      <c r="Q466" s="19"/>
      <c r="R466" s="19"/>
      <c r="S466" s="19"/>
      <c r="T466" s="19"/>
      <c r="U466" s="19"/>
      <c r="V466" s="19"/>
      <c r="W466" s="19"/>
      <c r="X466" s="19"/>
      <c r="Y466" s="19"/>
      <c r="Z466" t="str">
        <f>IF(Tabela1[[#This Row],[1]]&lt;&gt;"",IF(ISNUMBER(FIND(",",Tabela1[[#This Row],[1]])),LEN(Tabela1[[#This Row],[1]])-LEN(SUBSTITUTE(Tabela1[[#This Row],[1]],",",""))+1,1),"")</f>
        <v/>
      </c>
      <c r="AA466" t="str">
        <f>IF(Tabela1[[#This Row],[2]]&lt;&gt;"",IF(ISNUMBER(FIND(",",Tabela1[[#This Row],[2]])),LEN(Tabela1[[#This Row],[2]])-LEN(SUBSTITUTE(Tabela1[[#This Row],[2]],",",""))+1,1),"")</f>
        <v/>
      </c>
      <c r="AB466">
        <f>IF(Tabela1[[#This Row],[3]]&lt;&gt;"",IF(ISNUMBER(FIND(",",Tabela1[[#This Row],[3]])),LEN(Tabela1[[#This Row],[3]])-LEN(SUBSTITUTE(Tabela1[[#This Row],[3]],",",""))+1,1),"")</f>
        <v>1</v>
      </c>
      <c r="AC466">
        <f>IF(Tabela1[[#This Row],[4]]&lt;&gt;"",IF(ISNUMBER(FIND(",",Tabela1[[#This Row],[4]])),LEN(Tabela1[[#This Row],[4]])-LEN(SUBSTITUTE(Tabela1[[#This Row],[4]],",",""))+1,1),"")</f>
        <v>1</v>
      </c>
      <c r="AD466" t="str">
        <f>IF(Tabela1[[#This Row],[5]]&lt;&gt;"",IF(ISNUMBER(FIND(",",Tabela1[[#This Row],[5]])),LEN(Tabela1[[#This Row],[5]])-LEN(SUBSTITUTE(Tabela1[[#This Row],[5]],",",""))+1,1),"")</f>
        <v/>
      </c>
      <c r="AE466" t="str">
        <f>IF(Tabela1[[#This Row],[6]]&lt;&gt;"",IF(ISNUMBER(FIND(",",Tabela1[[#This Row],[6]])),LEN(Tabela1[[#This Row],[6]])-LEN(SUBSTITUTE(Tabela1[[#This Row],[6]],",",""))+1,1),"")</f>
        <v/>
      </c>
      <c r="AF466" t="str">
        <f>IF(Tabela1[[#This Row],[7]]&lt;&gt;"",IF(ISNUMBER(FIND(",",Tabela1[[#This Row],[7]])),LEN(Tabela1[[#This Row],[7]])-LEN(SUBSTITUTE(Tabela1[[#This Row],[7]],",",""))+1,1),"")</f>
        <v/>
      </c>
      <c r="AG466" t="str">
        <f>IF(Tabela1[[#This Row],[8]]&lt;&gt;"",IF(ISNUMBER(FIND(",",Tabela1[[#This Row],[8]])),LEN(Tabela1[[#This Row],[8]])-LEN(SUBSTITUTE(Tabela1[[#This Row],[8]],",",""))+1,1),"")</f>
        <v/>
      </c>
      <c r="AH466" t="str">
        <f>IF(Tabela1[[#This Row],[9]]&lt;&gt;"",IF(ISNUMBER(FIND(",",Tabela1[[#This Row],[9]])),LEN(Tabela1[[#This Row],[9]])-LEN(SUBSTITUTE(Tabela1[[#This Row],[9]],",",""))+1,1),"")</f>
        <v/>
      </c>
      <c r="AI466" t="str">
        <f>IF(Tabela1[[#This Row],[10]]&lt;&gt;"",IF(ISNUMBER(FIND(",",Tabela1[[#This Row],[10]])),LEN(Tabela1[[#This Row],[10]])-LEN(SUBSTITUTE(Tabela1[[#This Row],[10]],",",""))+1,1),"")</f>
        <v/>
      </c>
      <c r="AJ466" t="str">
        <f>IF(Tabela1[[#This Row],[11]]&lt;&gt;"",IF(ISNUMBER(FIND(",",Tabela1[[#This Row],[11]])),LEN(Tabela1[[#This Row],[11]])-LEN(SUBSTITUTE(Tabela1[[#This Row],[11]],",",""))+1,1),"")</f>
        <v/>
      </c>
      <c r="AK466" t="str">
        <f>IF(Tabela1[[#This Row],[12]]&lt;&gt;"",IF(ISNUMBER(FIND(",",Tabela1[[#This Row],[12]])),LEN(Tabela1[[#This Row],[12]])-LEN(SUBSTITUTE(Tabela1[[#This Row],[12]],",",""))+1,1),"")</f>
        <v/>
      </c>
      <c r="AL466" t="str">
        <f>IF(Tabela1[[#This Row],[13]]&lt;&gt;"",IF(ISNUMBER(FIND(",",Tabela1[[#This Row],[13]])),LEN(Tabela1[[#This Row],[13]])-LEN(SUBSTITUTE(Tabela1[[#This Row],[13]],",",""))+1,1),"")</f>
        <v/>
      </c>
      <c r="AM466" t="str">
        <f>IF(Tabela1[[#This Row],[14]]&lt;&gt;"",IF(ISNUMBER(FIND(",",Tabela1[[#This Row],[14]])),LEN(Tabela1[[#This Row],[14]])-LEN(SUBSTITUTE(Tabela1[[#This Row],[14]],",",""))+1,1),"")</f>
        <v/>
      </c>
      <c r="AN466" t="str">
        <f>IF(Tabela1[[#This Row],[15]]&lt;&gt;"",IF(ISNUMBER(FIND(",",Tabela1[[#This Row],[15]])),LEN(Tabela1[[#This Row],[15]])-LEN(SUBSTITUTE(Tabela1[[#This Row],[15]],",",""))+1,1),"")</f>
        <v/>
      </c>
      <c r="AO466" t="str">
        <f>IF(Tabela1[[#This Row],[16]]&lt;&gt;"",IF(ISNUMBER(FIND(",",Tabela1[[#This Row],[16]])),LEN(Tabela1[[#This Row],[16]])-LEN(SUBSTITUTE(Tabela1[[#This Row],[16]],",",""))+1,1),"")</f>
        <v/>
      </c>
      <c r="AP466" t="str">
        <f>IF(Tabela1[[#This Row],[17]]&lt;&gt;"",IF(ISNUMBER(FIND(",",Tabela1[[#This Row],[17]])),LEN(Tabela1[[#This Row],[17]])-LEN(SUBSTITUTE(Tabela1[[#This Row],[17]],",",""))+1,1),"")</f>
        <v/>
      </c>
      <c r="AQ466" t="str">
        <f>IF(Tabela1[[#This Row],[18]]&lt;&gt;"",IF(ISNUMBER(FIND(",",Tabela1[[#This Row],[18]])),LEN(Tabela1[[#This Row],[18]])-LEN(SUBSTITUTE(Tabela1[[#This Row],[18]],",",""))+1,1),"")</f>
        <v/>
      </c>
      <c r="AR466" s="13" t="str">
        <f>IF(Tabela1[[#This Row],[19_LENGTH]]&lt;&gt;"",IF(ISNUMBER(FIND(",",Tabela1[[#This Row],[19_LENGTH]])),LEN(Tabela1[[#This Row],[19_LENGTH]])-LEN(SUBSTITUTE(Tabela1[[#This Row],[19_LENGTH]],",",""))+1,1),"")</f>
        <v/>
      </c>
      <c r="AS466" s="21">
        <f>SUM(Tabela1[[#This Row],[1_]:[19_]])</f>
        <v>2</v>
      </c>
    </row>
    <row r="467" spans="1:45" x14ac:dyDescent="0.25">
      <c r="A467" s="27" t="s">
        <v>1325</v>
      </c>
      <c r="B467" s="19" t="s">
        <v>540</v>
      </c>
      <c r="C467" s="19">
        <v>180</v>
      </c>
      <c r="D467" s="19" t="s">
        <v>1296</v>
      </c>
      <c r="E467" s="20">
        <v>43532</v>
      </c>
      <c r="F467" s="19"/>
      <c r="G467" s="19"/>
      <c r="H467" s="19"/>
      <c r="I467" s="19"/>
      <c r="J467" s="19"/>
      <c r="K467" s="19"/>
      <c r="L467" s="19"/>
      <c r="M467" s="19"/>
      <c r="N467" s="19"/>
      <c r="O467" s="19"/>
      <c r="P467" s="19"/>
      <c r="Q467" s="19"/>
      <c r="R467" s="19"/>
      <c r="S467" s="19"/>
      <c r="T467" s="19"/>
      <c r="U467" s="19">
        <v>62</v>
      </c>
      <c r="V467" s="19"/>
      <c r="W467" s="19"/>
      <c r="X467" s="19"/>
      <c r="Y467" s="19"/>
      <c r="Z467" t="str">
        <f>IF(Tabela1[[#This Row],[1]]&lt;&gt;"",IF(ISNUMBER(FIND(",",Tabela1[[#This Row],[1]])),LEN(Tabela1[[#This Row],[1]])-LEN(SUBSTITUTE(Tabela1[[#This Row],[1]],",",""))+1,1),"")</f>
        <v/>
      </c>
      <c r="AA467" t="str">
        <f>IF(Tabela1[[#This Row],[2]]&lt;&gt;"",IF(ISNUMBER(FIND(",",Tabela1[[#This Row],[2]])),LEN(Tabela1[[#This Row],[2]])-LEN(SUBSTITUTE(Tabela1[[#This Row],[2]],",",""))+1,1),"")</f>
        <v/>
      </c>
      <c r="AB467" t="str">
        <f>IF(Tabela1[[#This Row],[3]]&lt;&gt;"",IF(ISNUMBER(FIND(",",Tabela1[[#This Row],[3]])),LEN(Tabela1[[#This Row],[3]])-LEN(SUBSTITUTE(Tabela1[[#This Row],[3]],",",""))+1,1),"")</f>
        <v/>
      </c>
      <c r="AC467" t="str">
        <f>IF(Tabela1[[#This Row],[4]]&lt;&gt;"",IF(ISNUMBER(FIND(",",Tabela1[[#This Row],[4]])),LEN(Tabela1[[#This Row],[4]])-LEN(SUBSTITUTE(Tabela1[[#This Row],[4]],",",""))+1,1),"")</f>
        <v/>
      </c>
      <c r="AD467" t="str">
        <f>IF(Tabela1[[#This Row],[5]]&lt;&gt;"",IF(ISNUMBER(FIND(",",Tabela1[[#This Row],[5]])),LEN(Tabela1[[#This Row],[5]])-LEN(SUBSTITUTE(Tabela1[[#This Row],[5]],",",""))+1,1),"")</f>
        <v/>
      </c>
      <c r="AE467" t="str">
        <f>IF(Tabela1[[#This Row],[6]]&lt;&gt;"",IF(ISNUMBER(FIND(",",Tabela1[[#This Row],[6]])),LEN(Tabela1[[#This Row],[6]])-LEN(SUBSTITUTE(Tabela1[[#This Row],[6]],",",""))+1,1),"")</f>
        <v/>
      </c>
      <c r="AF467" t="str">
        <f>IF(Tabela1[[#This Row],[7]]&lt;&gt;"",IF(ISNUMBER(FIND(",",Tabela1[[#This Row],[7]])),LEN(Tabela1[[#This Row],[7]])-LEN(SUBSTITUTE(Tabela1[[#This Row],[7]],",",""))+1,1),"")</f>
        <v/>
      </c>
      <c r="AG467" t="str">
        <f>IF(Tabela1[[#This Row],[8]]&lt;&gt;"",IF(ISNUMBER(FIND(",",Tabela1[[#This Row],[8]])),LEN(Tabela1[[#This Row],[8]])-LEN(SUBSTITUTE(Tabela1[[#This Row],[8]],",",""))+1,1),"")</f>
        <v/>
      </c>
      <c r="AH467" t="str">
        <f>IF(Tabela1[[#This Row],[9]]&lt;&gt;"",IF(ISNUMBER(FIND(",",Tabela1[[#This Row],[9]])),LEN(Tabela1[[#This Row],[9]])-LEN(SUBSTITUTE(Tabela1[[#This Row],[9]],",",""))+1,1),"")</f>
        <v/>
      </c>
      <c r="AI467" t="str">
        <f>IF(Tabela1[[#This Row],[10]]&lt;&gt;"",IF(ISNUMBER(FIND(",",Tabela1[[#This Row],[10]])),LEN(Tabela1[[#This Row],[10]])-LEN(SUBSTITUTE(Tabela1[[#This Row],[10]],",",""))+1,1),"")</f>
        <v/>
      </c>
      <c r="AJ467" t="str">
        <f>IF(Tabela1[[#This Row],[11]]&lt;&gt;"",IF(ISNUMBER(FIND(",",Tabela1[[#This Row],[11]])),LEN(Tabela1[[#This Row],[11]])-LEN(SUBSTITUTE(Tabela1[[#This Row],[11]],",",""))+1,1),"")</f>
        <v/>
      </c>
      <c r="AK467" t="str">
        <f>IF(Tabela1[[#This Row],[12]]&lt;&gt;"",IF(ISNUMBER(FIND(",",Tabela1[[#This Row],[12]])),LEN(Tabela1[[#This Row],[12]])-LEN(SUBSTITUTE(Tabela1[[#This Row],[12]],",",""))+1,1),"")</f>
        <v/>
      </c>
      <c r="AL467" t="str">
        <f>IF(Tabela1[[#This Row],[13]]&lt;&gt;"",IF(ISNUMBER(FIND(",",Tabela1[[#This Row],[13]])),LEN(Tabela1[[#This Row],[13]])-LEN(SUBSTITUTE(Tabela1[[#This Row],[13]],",",""))+1,1),"")</f>
        <v/>
      </c>
      <c r="AM467" t="str">
        <f>IF(Tabela1[[#This Row],[14]]&lt;&gt;"",IF(ISNUMBER(FIND(",",Tabela1[[#This Row],[14]])),LEN(Tabela1[[#This Row],[14]])-LEN(SUBSTITUTE(Tabela1[[#This Row],[14]],",",""))+1,1),"")</f>
        <v/>
      </c>
      <c r="AN467" t="str">
        <f>IF(Tabela1[[#This Row],[15]]&lt;&gt;"",IF(ISNUMBER(FIND(",",Tabela1[[#This Row],[15]])),LEN(Tabela1[[#This Row],[15]])-LEN(SUBSTITUTE(Tabela1[[#This Row],[15]],",",""))+1,1),"")</f>
        <v/>
      </c>
      <c r="AO467">
        <f>IF(Tabela1[[#This Row],[16]]&lt;&gt;"",IF(ISNUMBER(FIND(",",Tabela1[[#This Row],[16]])),LEN(Tabela1[[#This Row],[16]])-LEN(SUBSTITUTE(Tabela1[[#This Row],[16]],",",""))+1,1),"")</f>
        <v>1</v>
      </c>
      <c r="AP467" t="str">
        <f>IF(Tabela1[[#This Row],[17]]&lt;&gt;"",IF(ISNUMBER(FIND(",",Tabela1[[#This Row],[17]])),LEN(Tabela1[[#This Row],[17]])-LEN(SUBSTITUTE(Tabela1[[#This Row],[17]],",",""))+1,1),"")</f>
        <v/>
      </c>
      <c r="AQ467" t="str">
        <f>IF(Tabela1[[#This Row],[18]]&lt;&gt;"",IF(ISNUMBER(FIND(",",Tabela1[[#This Row],[18]])),LEN(Tabela1[[#This Row],[18]])-LEN(SUBSTITUTE(Tabela1[[#This Row],[18]],",",""))+1,1),"")</f>
        <v/>
      </c>
      <c r="AR467" s="13" t="str">
        <f>IF(Tabela1[[#This Row],[19_LENGTH]]&lt;&gt;"",IF(ISNUMBER(FIND(",",Tabela1[[#This Row],[19_LENGTH]])),LEN(Tabela1[[#This Row],[19_LENGTH]])-LEN(SUBSTITUTE(Tabela1[[#This Row],[19_LENGTH]],",",""))+1,1),"")</f>
        <v/>
      </c>
      <c r="AS467" s="21">
        <f>SUM(Tabela1[[#This Row],[1_]:[19_]])</f>
        <v>1</v>
      </c>
    </row>
    <row r="468" spans="1:45" x14ac:dyDescent="0.25">
      <c r="A468" s="27" t="s">
        <v>1325</v>
      </c>
      <c r="B468" s="19" t="s">
        <v>541</v>
      </c>
      <c r="C468" s="19">
        <v>202</v>
      </c>
      <c r="D468" s="19" t="s">
        <v>1296</v>
      </c>
      <c r="E468" s="20">
        <v>43532</v>
      </c>
      <c r="F468" s="19"/>
      <c r="G468" s="19"/>
      <c r="H468" s="19" t="s">
        <v>193</v>
      </c>
      <c r="I468" s="19" t="s">
        <v>193</v>
      </c>
      <c r="J468" s="19"/>
      <c r="K468" s="19"/>
      <c r="L468" s="19"/>
      <c r="M468" s="19"/>
      <c r="N468" s="19"/>
      <c r="O468" s="19"/>
      <c r="P468" s="19"/>
      <c r="Q468" s="19"/>
      <c r="R468" s="19"/>
      <c r="S468" s="19"/>
      <c r="T468" s="19"/>
      <c r="U468" s="19"/>
      <c r="V468" s="19"/>
      <c r="W468" s="19"/>
      <c r="X468" s="19"/>
      <c r="Y468" s="19"/>
      <c r="Z468" t="str">
        <f>IF(Tabela1[[#This Row],[1]]&lt;&gt;"",IF(ISNUMBER(FIND(",",Tabela1[[#This Row],[1]])),LEN(Tabela1[[#This Row],[1]])-LEN(SUBSTITUTE(Tabela1[[#This Row],[1]],",",""))+1,1),"")</f>
        <v/>
      </c>
      <c r="AA468" t="str">
        <f>IF(Tabela1[[#This Row],[2]]&lt;&gt;"",IF(ISNUMBER(FIND(",",Tabela1[[#This Row],[2]])),LEN(Tabela1[[#This Row],[2]])-LEN(SUBSTITUTE(Tabela1[[#This Row],[2]],",",""))+1,1),"")</f>
        <v/>
      </c>
      <c r="AB468">
        <f>IF(Tabela1[[#This Row],[3]]&lt;&gt;"",IF(ISNUMBER(FIND(",",Tabela1[[#This Row],[3]])),LEN(Tabela1[[#This Row],[3]])-LEN(SUBSTITUTE(Tabela1[[#This Row],[3]],",",""))+1,1),"")</f>
        <v>1</v>
      </c>
      <c r="AC468">
        <f>IF(Tabela1[[#This Row],[4]]&lt;&gt;"",IF(ISNUMBER(FIND(",",Tabela1[[#This Row],[4]])),LEN(Tabela1[[#This Row],[4]])-LEN(SUBSTITUTE(Tabela1[[#This Row],[4]],",",""))+1,1),"")</f>
        <v>1</v>
      </c>
      <c r="AD468" t="str">
        <f>IF(Tabela1[[#This Row],[5]]&lt;&gt;"",IF(ISNUMBER(FIND(",",Tabela1[[#This Row],[5]])),LEN(Tabela1[[#This Row],[5]])-LEN(SUBSTITUTE(Tabela1[[#This Row],[5]],",",""))+1,1),"")</f>
        <v/>
      </c>
      <c r="AE468" t="str">
        <f>IF(Tabela1[[#This Row],[6]]&lt;&gt;"",IF(ISNUMBER(FIND(",",Tabela1[[#This Row],[6]])),LEN(Tabela1[[#This Row],[6]])-LEN(SUBSTITUTE(Tabela1[[#This Row],[6]],",",""))+1,1),"")</f>
        <v/>
      </c>
      <c r="AF468" t="str">
        <f>IF(Tabela1[[#This Row],[7]]&lt;&gt;"",IF(ISNUMBER(FIND(",",Tabela1[[#This Row],[7]])),LEN(Tabela1[[#This Row],[7]])-LEN(SUBSTITUTE(Tabela1[[#This Row],[7]],",",""))+1,1),"")</f>
        <v/>
      </c>
      <c r="AG468" t="str">
        <f>IF(Tabela1[[#This Row],[8]]&lt;&gt;"",IF(ISNUMBER(FIND(",",Tabela1[[#This Row],[8]])),LEN(Tabela1[[#This Row],[8]])-LEN(SUBSTITUTE(Tabela1[[#This Row],[8]],",",""))+1,1),"")</f>
        <v/>
      </c>
      <c r="AH468" t="str">
        <f>IF(Tabela1[[#This Row],[9]]&lt;&gt;"",IF(ISNUMBER(FIND(",",Tabela1[[#This Row],[9]])),LEN(Tabela1[[#This Row],[9]])-LEN(SUBSTITUTE(Tabela1[[#This Row],[9]],",",""))+1,1),"")</f>
        <v/>
      </c>
      <c r="AI468" t="str">
        <f>IF(Tabela1[[#This Row],[10]]&lt;&gt;"",IF(ISNUMBER(FIND(",",Tabela1[[#This Row],[10]])),LEN(Tabela1[[#This Row],[10]])-LEN(SUBSTITUTE(Tabela1[[#This Row],[10]],",",""))+1,1),"")</f>
        <v/>
      </c>
      <c r="AJ468" t="str">
        <f>IF(Tabela1[[#This Row],[11]]&lt;&gt;"",IF(ISNUMBER(FIND(",",Tabela1[[#This Row],[11]])),LEN(Tabela1[[#This Row],[11]])-LEN(SUBSTITUTE(Tabela1[[#This Row],[11]],",",""))+1,1),"")</f>
        <v/>
      </c>
      <c r="AK468" t="str">
        <f>IF(Tabela1[[#This Row],[12]]&lt;&gt;"",IF(ISNUMBER(FIND(",",Tabela1[[#This Row],[12]])),LEN(Tabela1[[#This Row],[12]])-LEN(SUBSTITUTE(Tabela1[[#This Row],[12]],",",""))+1,1),"")</f>
        <v/>
      </c>
      <c r="AL468" t="str">
        <f>IF(Tabela1[[#This Row],[13]]&lt;&gt;"",IF(ISNUMBER(FIND(",",Tabela1[[#This Row],[13]])),LEN(Tabela1[[#This Row],[13]])-LEN(SUBSTITUTE(Tabela1[[#This Row],[13]],",",""))+1,1),"")</f>
        <v/>
      </c>
      <c r="AM468" t="str">
        <f>IF(Tabela1[[#This Row],[14]]&lt;&gt;"",IF(ISNUMBER(FIND(",",Tabela1[[#This Row],[14]])),LEN(Tabela1[[#This Row],[14]])-LEN(SUBSTITUTE(Tabela1[[#This Row],[14]],",",""))+1,1),"")</f>
        <v/>
      </c>
      <c r="AN468" t="str">
        <f>IF(Tabela1[[#This Row],[15]]&lt;&gt;"",IF(ISNUMBER(FIND(",",Tabela1[[#This Row],[15]])),LEN(Tabela1[[#This Row],[15]])-LEN(SUBSTITUTE(Tabela1[[#This Row],[15]],",",""))+1,1),"")</f>
        <v/>
      </c>
      <c r="AO468" t="str">
        <f>IF(Tabela1[[#This Row],[16]]&lt;&gt;"",IF(ISNUMBER(FIND(",",Tabela1[[#This Row],[16]])),LEN(Tabela1[[#This Row],[16]])-LEN(SUBSTITUTE(Tabela1[[#This Row],[16]],",",""))+1,1),"")</f>
        <v/>
      </c>
      <c r="AP468" t="str">
        <f>IF(Tabela1[[#This Row],[17]]&lt;&gt;"",IF(ISNUMBER(FIND(",",Tabela1[[#This Row],[17]])),LEN(Tabela1[[#This Row],[17]])-LEN(SUBSTITUTE(Tabela1[[#This Row],[17]],",",""))+1,1),"")</f>
        <v/>
      </c>
      <c r="AQ468" t="str">
        <f>IF(Tabela1[[#This Row],[18]]&lt;&gt;"",IF(ISNUMBER(FIND(",",Tabela1[[#This Row],[18]])),LEN(Tabela1[[#This Row],[18]])-LEN(SUBSTITUTE(Tabela1[[#This Row],[18]],",",""))+1,1),"")</f>
        <v/>
      </c>
      <c r="AR468" s="13" t="str">
        <f>IF(Tabela1[[#This Row],[19_LENGTH]]&lt;&gt;"",IF(ISNUMBER(FIND(",",Tabela1[[#This Row],[19_LENGTH]])),LEN(Tabela1[[#This Row],[19_LENGTH]])-LEN(SUBSTITUTE(Tabela1[[#This Row],[19_LENGTH]],",",""))+1,1),"")</f>
        <v/>
      </c>
      <c r="AS468" s="21">
        <f>SUM(Tabela1[[#This Row],[1_]:[19_]])</f>
        <v>2</v>
      </c>
    </row>
    <row r="469" spans="1:45" x14ac:dyDescent="0.25">
      <c r="A469" s="27" t="s">
        <v>1325</v>
      </c>
      <c r="B469" s="19" t="s">
        <v>542</v>
      </c>
      <c r="C469" s="19">
        <v>202</v>
      </c>
      <c r="D469" s="19" t="s">
        <v>1296</v>
      </c>
      <c r="E469" s="20">
        <v>43532</v>
      </c>
      <c r="F469" s="19"/>
      <c r="G469" s="19"/>
      <c r="H469" s="19"/>
      <c r="I469" s="19"/>
      <c r="J469" s="19"/>
      <c r="K469" s="19"/>
      <c r="L469" s="19"/>
      <c r="M469" s="19"/>
      <c r="N469" s="19"/>
      <c r="O469" s="19"/>
      <c r="P469" s="19"/>
      <c r="Q469" s="19"/>
      <c r="R469" s="19"/>
      <c r="S469" s="19"/>
      <c r="T469" s="19"/>
      <c r="U469" s="19"/>
      <c r="V469" s="19">
        <v>90</v>
      </c>
      <c r="W469" s="19"/>
      <c r="X469" s="19"/>
      <c r="Y469" s="19"/>
      <c r="Z469" t="str">
        <f>IF(Tabela1[[#This Row],[1]]&lt;&gt;"",IF(ISNUMBER(FIND(",",Tabela1[[#This Row],[1]])),LEN(Tabela1[[#This Row],[1]])-LEN(SUBSTITUTE(Tabela1[[#This Row],[1]],",",""))+1,1),"")</f>
        <v/>
      </c>
      <c r="AA469" t="str">
        <f>IF(Tabela1[[#This Row],[2]]&lt;&gt;"",IF(ISNUMBER(FIND(",",Tabela1[[#This Row],[2]])),LEN(Tabela1[[#This Row],[2]])-LEN(SUBSTITUTE(Tabela1[[#This Row],[2]],",",""))+1,1),"")</f>
        <v/>
      </c>
      <c r="AB469" t="str">
        <f>IF(Tabela1[[#This Row],[3]]&lt;&gt;"",IF(ISNUMBER(FIND(",",Tabela1[[#This Row],[3]])),LEN(Tabela1[[#This Row],[3]])-LEN(SUBSTITUTE(Tabela1[[#This Row],[3]],",",""))+1,1),"")</f>
        <v/>
      </c>
      <c r="AC469" t="str">
        <f>IF(Tabela1[[#This Row],[4]]&lt;&gt;"",IF(ISNUMBER(FIND(",",Tabela1[[#This Row],[4]])),LEN(Tabela1[[#This Row],[4]])-LEN(SUBSTITUTE(Tabela1[[#This Row],[4]],",",""))+1,1),"")</f>
        <v/>
      </c>
      <c r="AD469" t="str">
        <f>IF(Tabela1[[#This Row],[5]]&lt;&gt;"",IF(ISNUMBER(FIND(",",Tabela1[[#This Row],[5]])),LEN(Tabela1[[#This Row],[5]])-LEN(SUBSTITUTE(Tabela1[[#This Row],[5]],",",""))+1,1),"")</f>
        <v/>
      </c>
      <c r="AE469" t="str">
        <f>IF(Tabela1[[#This Row],[6]]&lt;&gt;"",IF(ISNUMBER(FIND(",",Tabela1[[#This Row],[6]])),LEN(Tabela1[[#This Row],[6]])-LEN(SUBSTITUTE(Tabela1[[#This Row],[6]],",",""))+1,1),"")</f>
        <v/>
      </c>
      <c r="AF469" t="str">
        <f>IF(Tabela1[[#This Row],[7]]&lt;&gt;"",IF(ISNUMBER(FIND(",",Tabela1[[#This Row],[7]])),LEN(Tabela1[[#This Row],[7]])-LEN(SUBSTITUTE(Tabela1[[#This Row],[7]],",",""))+1,1),"")</f>
        <v/>
      </c>
      <c r="AG469" t="str">
        <f>IF(Tabela1[[#This Row],[8]]&lt;&gt;"",IF(ISNUMBER(FIND(",",Tabela1[[#This Row],[8]])),LEN(Tabela1[[#This Row],[8]])-LEN(SUBSTITUTE(Tabela1[[#This Row],[8]],",",""))+1,1),"")</f>
        <v/>
      </c>
      <c r="AH469" t="str">
        <f>IF(Tabela1[[#This Row],[9]]&lt;&gt;"",IF(ISNUMBER(FIND(",",Tabela1[[#This Row],[9]])),LEN(Tabela1[[#This Row],[9]])-LEN(SUBSTITUTE(Tabela1[[#This Row],[9]],",",""))+1,1),"")</f>
        <v/>
      </c>
      <c r="AI469" t="str">
        <f>IF(Tabela1[[#This Row],[10]]&lt;&gt;"",IF(ISNUMBER(FIND(",",Tabela1[[#This Row],[10]])),LEN(Tabela1[[#This Row],[10]])-LEN(SUBSTITUTE(Tabela1[[#This Row],[10]],",",""))+1,1),"")</f>
        <v/>
      </c>
      <c r="AJ469" t="str">
        <f>IF(Tabela1[[#This Row],[11]]&lt;&gt;"",IF(ISNUMBER(FIND(",",Tabela1[[#This Row],[11]])),LEN(Tabela1[[#This Row],[11]])-LEN(SUBSTITUTE(Tabela1[[#This Row],[11]],",",""))+1,1),"")</f>
        <v/>
      </c>
      <c r="AK469" t="str">
        <f>IF(Tabela1[[#This Row],[12]]&lt;&gt;"",IF(ISNUMBER(FIND(",",Tabela1[[#This Row],[12]])),LEN(Tabela1[[#This Row],[12]])-LEN(SUBSTITUTE(Tabela1[[#This Row],[12]],",",""))+1,1),"")</f>
        <v/>
      </c>
      <c r="AL469" t="str">
        <f>IF(Tabela1[[#This Row],[13]]&lt;&gt;"",IF(ISNUMBER(FIND(",",Tabela1[[#This Row],[13]])),LEN(Tabela1[[#This Row],[13]])-LEN(SUBSTITUTE(Tabela1[[#This Row],[13]],",",""))+1,1),"")</f>
        <v/>
      </c>
      <c r="AM469" t="str">
        <f>IF(Tabela1[[#This Row],[14]]&lt;&gt;"",IF(ISNUMBER(FIND(",",Tabela1[[#This Row],[14]])),LEN(Tabela1[[#This Row],[14]])-LEN(SUBSTITUTE(Tabela1[[#This Row],[14]],",",""))+1,1),"")</f>
        <v/>
      </c>
      <c r="AN469" t="str">
        <f>IF(Tabela1[[#This Row],[15]]&lt;&gt;"",IF(ISNUMBER(FIND(",",Tabela1[[#This Row],[15]])),LEN(Tabela1[[#This Row],[15]])-LEN(SUBSTITUTE(Tabela1[[#This Row],[15]],",",""))+1,1),"")</f>
        <v/>
      </c>
      <c r="AO469" t="str">
        <f>IF(Tabela1[[#This Row],[16]]&lt;&gt;"",IF(ISNUMBER(FIND(",",Tabela1[[#This Row],[16]])),LEN(Tabela1[[#This Row],[16]])-LEN(SUBSTITUTE(Tabela1[[#This Row],[16]],",",""))+1,1),"")</f>
        <v/>
      </c>
      <c r="AP469">
        <f>IF(Tabela1[[#This Row],[17]]&lt;&gt;"",IF(ISNUMBER(FIND(",",Tabela1[[#This Row],[17]])),LEN(Tabela1[[#This Row],[17]])-LEN(SUBSTITUTE(Tabela1[[#This Row],[17]],",",""))+1,1),"")</f>
        <v>1</v>
      </c>
      <c r="AQ469" t="str">
        <f>IF(Tabela1[[#This Row],[18]]&lt;&gt;"",IF(ISNUMBER(FIND(",",Tabela1[[#This Row],[18]])),LEN(Tabela1[[#This Row],[18]])-LEN(SUBSTITUTE(Tabela1[[#This Row],[18]],",",""))+1,1),"")</f>
        <v/>
      </c>
      <c r="AR469" s="13" t="str">
        <f>IF(Tabela1[[#This Row],[19_LENGTH]]&lt;&gt;"",IF(ISNUMBER(FIND(",",Tabela1[[#This Row],[19_LENGTH]])),LEN(Tabela1[[#This Row],[19_LENGTH]])-LEN(SUBSTITUTE(Tabela1[[#This Row],[19_LENGTH]],",",""))+1,1),"")</f>
        <v/>
      </c>
      <c r="AS469" s="21">
        <f>SUM(Tabela1[[#This Row],[1_]:[19_]])</f>
        <v>1</v>
      </c>
    </row>
    <row r="470" spans="1:45" x14ac:dyDescent="0.25">
      <c r="A470" s="27" t="s">
        <v>1325</v>
      </c>
      <c r="B470" s="19" t="s">
        <v>543</v>
      </c>
      <c r="C470" s="19">
        <v>210</v>
      </c>
      <c r="D470" s="19" t="s">
        <v>1315</v>
      </c>
      <c r="E470" s="20">
        <v>43532</v>
      </c>
      <c r="F470" s="19"/>
      <c r="G470" s="19">
        <v>9</v>
      </c>
      <c r="H470" s="19" t="s">
        <v>194</v>
      </c>
      <c r="I470" s="19">
        <v>161</v>
      </c>
      <c r="J470" s="19"/>
      <c r="K470" s="19"/>
      <c r="L470" s="19"/>
      <c r="M470" s="19"/>
      <c r="N470" s="19"/>
      <c r="O470" s="19"/>
      <c r="P470" s="19"/>
      <c r="Q470" s="19"/>
      <c r="R470" s="19"/>
      <c r="S470" s="19"/>
      <c r="T470" s="19"/>
      <c r="U470" s="19"/>
      <c r="V470" s="19"/>
      <c r="W470" s="19"/>
      <c r="X470" s="19"/>
      <c r="Y470" s="19"/>
      <c r="Z470" t="str">
        <f>IF(Tabela1[[#This Row],[1]]&lt;&gt;"",IF(ISNUMBER(FIND(",",Tabela1[[#This Row],[1]])),LEN(Tabela1[[#This Row],[1]])-LEN(SUBSTITUTE(Tabela1[[#This Row],[1]],",",""))+1,1),"")</f>
        <v/>
      </c>
      <c r="AA470">
        <f>IF(Tabela1[[#This Row],[2]]&lt;&gt;"",IF(ISNUMBER(FIND(",",Tabela1[[#This Row],[2]])),LEN(Tabela1[[#This Row],[2]])-LEN(SUBSTITUTE(Tabela1[[#This Row],[2]],",",""))+1,1),"")</f>
        <v>1</v>
      </c>
      <c r="AB470">
        <f>IF(Tabela1[[#This Row],[3]]&lt;&gt;"",IF(ISNUMBER(FIND(",",Tabela1[[#This Row],[3]])),LEN(Tabela1[[#This Row],[3]])-LEN(SUBSTITUTE(Tabela1[[#This Row],[3]],",",""))+1,1),"")</f>
        <v>1</v>
      </c>
      <c r="AC470">
        <f>IF(Tabela1[[#This Row],[4]]&lt;&gt;"",IF(ISNUMBER(FIND(",",Tabela1[[#This Row],[4]])),LEN(Tabela1[[#This Row],[4]])-LEN(SUBSTITUTE(Tabela1[[#This Row],[4]],",",""))+1,1),"")</f>
        <v>1</v>
      </c>
      <c r="AD470" t="str">
        <f>IF(Tabela1[[#This Row],[5]]&lt;&gt;"",IF(ISNUMBER(FIND(",",Tabela1[[#This Row],[5]])),LEN(Tabela1[[#This Row],[5]])-LEN(SUBSTITUTE(Tabela1[[#This Row],[5]],",",""))+1,1),"")</f>
        <v/>
      </c>
      <c r="AE470" t="str">
        <f>IF(Tabela1[[#This Row],[6]]&lt;&gt;"",IF(ISNUMBER(FIND(",",Tabela1[[#This Row],[6]])),LEN(Tabela1[[#This Row],[6]])-LEN(SUBSTITUTE(Tabela1[[#This Row],[6]],",",""))+1,1),"")</f>
        <v/>
      </c>
      <c r="AF470" t="str">
        <f>IF(Tabela1[[#This Row],[7]]&lt;&gt;"",IF(ISNUMBER(FIND(",",Tabela1[[#This Row],[7]])),LEN(Tabela1[[#This Row],[7]])-LEN(SUBSTITUTE(Tabela1[[#This Row],[7]],",",""))+1,1),"")</f>
        <v/>
      </c>
      <c r="AG470" t="str">
        <f>IF(Tabela1[[#This Row],[8]]&lt;&gt;"",IF(ISNUMBER(FIND(",",Tabela1[[#This Row],[8]])),LEN(Tabela1[[#This Row],[8]])-LEN(SUBSTITUTE(Tabela1[[#This Row],[8]],",",""))+1,1),"")</f>
        <v/>
      </c>
      <c r="AH470" t="str">
        <f>IF(Tabela1[[#This Row],[9]]&lt;&gt;"",IF(ISNUMBER(FIND(",",Tabela1[[#This Row],[9]])),LEN(Tabela1[[#This Row],[9]])-LEN(SUBSTITUTE(Tabela1[[#This Row],[9]],",",""))+1,1),"")</f>
        <v/>
      </c>
      <c r="AI470" t="str">
        <f>IF(Tabela1[[#This Row],[10]]&lt;&gt;"",IF(ISNUMBER(FIND(",",Tabela1[[#This Row],[10]])),LEN(Tabela1[[#This Row],[10]])-LEN(SUBSTITUTE(Tabela1[[#This Row],[10]],",",""))+1,1),"")</f>
        <v/>
      </c>
      <c r="AJ470" t="str">
        <f>IF(Tabela1[[#This Row],[11]]&lt;&gt;"",IF(ISNUMBER(FIND(",",Tabela1[[#This Row],[11]])),LEN(Tabela1[[#This Row],[11]])-LEN(SUBSTITUTE(Tabela1[[#This Row],[11]],",",""))+1,1),"")</f>
        <v/>
      </c>
      <c r="AK470" t="str">
        <f>IF(Tabela1[[#This Row],[12]]&lt;&gt;"",IF(ISNUMBER(FIND(",",Tabela1[[#This Row],[12]])),LEN(Tabela1[[#This Row],[12]])-LEN(SUBSTITUTE(Tabela1[[#This Row],[12]],",",""))+1,1),"")</f>
        <v/>
      </c>
      <c r="AL470" t="str">
        <f>IF(Tabela1[[#This Row],[13]]&lt;&gt;"",IF(ISNUMBER(FIND(",",Tabela1[[#This Row],[13]])),LEN(Tabela1[[#This Row],[13]])-LEN(SUBSTITUTE(Tabela1[[#This Row],[13]],",",""))+1,1),"")</f>
        <v/>
      </c>
      <c r="AM470" t="str">
        <f>IF(Tabela1[[#This Row],[14]]&lt;&gt;"",IF(ISNUMBER(FIND(",",Tabela1[[#This Row],[14]])),LEN(Tabela1[[#This Row],[14]])-LEN(SUBSTITUTE(Tabela1[[#This Row],[14]],",",""))+1,1),"")</f>
        <v/>
      </c>
      <c r="AN470" t="str">
        <f>IF(Tabela1[[#This Row],[15]]&lt;&gt;"",IF(ISNUMBER(FIND(",",Tabela1[[#This Row],[15]])),LEN(Tabela1[[#This Row],[15]])-LEN(SUBSTITUTE(Tabela1[[#This Row],[15]],",",""))+1,1),"")</f>
        <v/>
      </c>
      <c r="AO470" t="str">
        <f>IF(Tabela1[[#This Row],[16]]&lt;&gt;"",IF(ISNUMBER(FIND(",",Tabela1[[#This Row],[16]])),LEN(Tabela1[[#This Row],[16]])-LEN(SUBSTITUTE(Tabela1[[#This Row],[16]],",",""))+1,1),"")</f>
        <v/>
      </c>
      <c r="AP470" t="str">
        <f>IF(Tabela1[[#This Row],[17]]&lt;&gt;"",IF(ISNUMBER(FIND(",",Tabela1[[#This Row],[17]])),LEN(Tabela1[[#This Row],[17]])-LEN(SUBSTITUTE(Tabela1[[#This Row],[17]],",",""))+1,1),"")</f>
        <v/>
      </c>
      <c r="AQ470" t="str">
        <f>IF(Tabela1[[#This Row],[18]]&lt;&gt;"",IF(ISNUMBER(FIND(",",Tabela1[[#This Row],[18]])),LEN(Tabela1[[#This Row],[18]])-LEN(SUBSTITUTE(Tabela1[[#This Row],[18]],",",""))+1,1),"")</f>
        <v/>
      </c>
      <c r="AR470" s="13" t="str">
        <f>IF(Tabela1[[#This Row],[19_LENGTH]]&lt;&gt;"",IF(ISNUMBER(FIND(",",Tabela1[[#This Row],[19_LENGTH]])),LEN(Tabela1[[#This Row],[19_LENGTH]])-LEN(SUBSTITUTE(Tabela1[[#This Row],[19_LENGTH]],",",""))+1,1),"")</f>
        <v/>
      </c>
      <c r="AS470" s="21">
        <f>SUM(Tabela1[[#This Row],[1_]:[19_]])</f>
        <v>3</v>
      </c>
    </row>
    <row r="471" spans="1:45" x14ac:dyDescent="0.25">
      <c r="A471" s="27" t="s">
        <v>1325</v>
      </c>
      <c r="B471" s="19" t="s">
        <v>544</v>
      </c>
      <c r="C471" s="19">
        <v>202</v>
      </c>
      <c r="D471" s="19" t="s">
        <v>1315</v>
      </c>
      <c r="E471" s="20">
        <v>43532</v>
      </c>
      <c r="F471" s="19"/>
      <c r="G471" s="19"/>
      <c r="H471" s="19"/>
      <c r="I471" s="19">
        <v>110</v>
      </c>
      <c r="J471" s="19"/>
      <c r="K471" s="19"/>
      <c r="L471" s="19"/>
      <c r="M471" s="19"/>
      <c r="N471" s="19"/>
      <c r="O471" s="19"/>
      <c r="P471" s="19"/>
      <c r="Q471" s="19"/>
      <c r="R471" s="19"/>
      <c r="S471" s="19"/>
      <c r="T471" s="19"/>
      <c r="U471" s="19"/>
      <c r="V471" s="19"/>
      <c r="W471" s="19"/>
      <c r="X471" s="19"/>
      <c r="Y471" s="19"/>
      <c r="Z471" t="str">
        <f>IF(Tabela1[[#This Row],[1]]&lt;&gt;"",IF(ISNUMBER(FIND(",",Tabela1[[#This Row],[1]])),LEN(Tabela1[[#This Row],[1]])-LEN(SUBSTITUTE(Tabela1[[#This Row],[1]],",",""))+1,1),"")</f>
        <v/>
      </c>
      <c r="AA471" t="str">
        <f>IF(Tabela1[[#This Row],[2]]&lt;&gt;"",IF(ISNUMBER(FIND(",",Tabela1[[#This Row],[2]])),LEN(Tabela1[[#This Row],[2]])-LEN(SUBSTITUTE(Tabela1[[#This Row],[2]],",",""))+1,1),"")</f>
        <v/>
      </c>
      <c r="AB471" t="str">
        <f>IF(Tabela1[[#This Row],[3]]&lt;&gt;"",IF(ISNUMBER(FIND(",",Tabela1[[#This Row],[3]])),LEN(Tabela1[[#This Row],[3]])-LEN(SUBSTITUTE(Tabela1[[#This Row],[3]],",",""))+1,1),"")</f>
        <v/>
      </c>
      <c r="AC471">
        <f>IF(Tabela1[[#This Row],[4]]&lt;&gt;"",IF(ISNUMBER(FIND(",",Tabela1[[#This Row],[4]])),LEN(Tabela1[[#This Row],[4]])-LEN(SUBSTITUTE(Tabela1[[#This Row],[4]],",",""))+1,1),"")</f>
        <v>1</v>
      </c>
      <c r="AD471" t="str">
        <f>IF(Tabela1[[#This Row],[5]]&lt;&gt;"",IF(ISNUMBER(FIND(",",Tabela1[[#This Row],[5]])),LEN(Tabela1[[#This Row],[5]])-LEN(SUBSTITUTE(Tabela1[[#This Row],[5]],",",""))+1,1),"")</f>
        <v/>
      </c>
      <c r="AE471" t="str">
        <f>IF(Tabela1[[#This Row],[6]]&lt;&gt;"",IF(ISNUMBER(FIND(",",Tabela1[[#This Row],[6]])),LEN(Tabela1[[#This Row],[6]])-LEN(SUBSTITUTE(Tabela1[[#This Row],[6]],",",""))+1,1),"")</f>
        <v/>
      </c>
      <c r="AF471" t="str">
        <f>IF(Tabela1[[#This Row],[7]]&lt;&gt;"",IF(ISNUMBER(FIND(",",Tabela1[[#This Row],[7]])),LEN(Tabela1[[#This Row],[7]])-LEN(SUBSTITUTE(Tabela1[[#This Row],[7]],",",""))+1,1),"")</f>
        <v/>
      </c>
      <c r="AG471" t="str">
        <f>IF(Tabela1[[#This Row],[8]]&lt;&gt;"",IF(ISNUMBER(FIND(",",Tabela1[[#This Row],[8]])),LEN(Tabela1[[#This Row],[8]])-LEN(SUBSTITUTE(Tabela1[[#This Row],[8]],",",""))+1,1),"")</f>
        <v/>
      </c>
      <c r="AH471" t="str">
        <f>IF(Tabela1[[#This Row],[9]]&lt;&gt;"",IF(ISNUMBER(FIND(",",Tabela1[[#This Row],[9]])),LEN(Tabela1[[#This Row],[9]])-LEN(SUBSTITUTE(Tabela1[[#This Row],[9]],",",""))+1,1),"")</f>
        <v/>
      </c>
      <c r="AI471" t="str">
        <f>IF(Tabela1[[#This Row],[10]]&lt;&gt;"",IF(ISNUMBER(FIND(",",Tabela1[[#This Row],[10]])),LEN(Tabela1[[#This Row],[10]])-LEN(SUBSTITUTE(Tabela1[[#This Row],[10]],",",""))+1,1),"")</f>
        <v/>
      </c>
      <c r="AJ471" t="str">
        <f>IF(Tabela1[[#This Row],[11]]&lt;&gt;"",IF(ISNUMBER(FIND(",",Tabela1[[#This Row],[11]])),LEN(Tabela1[[#This Row],[11]])-LEN(SUBSTITUTE(Tabela1[[#This Row],[11]],",",""))+1,1),"")</f>
        <v/>
      </c>
      <c r="AK471" t="str">
        <f>IF(Tabela1[[#This Row],[12]]&lt;&gt;"",IF(ISNUMBER(FIND(",",Tabela1[[#This Row],[12]])),LEN(Tabela1[[#This Row],[12]])-LEN(SUBSTITUTE(Tabela1[[#This Row],[12]],",",""))+1,1),"")</f>
        <v/>
      </c>
      <c r="AL471" t="str">
        <f>IF(Tabela1[[#This Row],[13]]&lt;&gt;"",IF(ISNUMBER(FIND(",",Tabela1[[#This Row],[13]])),LEN(Tabela1[[#This Row],[13]])-LEN(SUBSTITUTE(Tabela1[[#This Row],[13]],",",""))+1,1),"")</f>
        <v/>
      </c>
      <c r="AM471" t="str">
        <f>IF(Tabela1[[#This Row],[14]]&lt;&gt;"",IF(ISNUMBER(FIND(",",Tabela1[[#This Row],[14]])),LEN(Tabela1[[#This Row],[14]])-LEN(SUBSTITUTE(Tabela1[[#This Row],[14]],",",""))+1,1),"")</f>
        <v/>
      </c>
      <c r="AN471" t="str">
        <f>IF(Tabela1[[#This Row],[15]]&lt;&gt;"",IF(ISNUMBER(FIND(",",Tabela1[[#This Row],[15]])),LEN(Tabela1[[#This Row],[15]])-LEN(SUBSTITUTE(Tabela1[[#This Row],[15]],",",""))+1,1),"")</f>
        <v/>
      </c>
      <c r="AO471" t="str">
        <f>IF(Tabela1[[#This Row],[16]]&lt;&gt;"",IF(ISNUMBER(FIND(",",Tabela1[[#This Row],[16]])),LEN(Tabela1[[#This Row],[16]])-LEN(SUBSTITUTE(Tabela1[[#This Row],[16]],",",""))+1,1),"")</f>
        <v/>
      </c>
      <c r="AP471" t="str">
        <f>IF(Tabela1[[#This Row],[17]]&lt;&gt;"",IF(ISNUMBER(FIND(",",Tabela1[[#This Row],[17]])),LEN(Tabela1[[#This Row],[17]])-LEN(SUBSTITUTE(Tabela1[[#This Row],[17]],",",""))+1,1),"")</f>
        <v/>
      </c>
      <c r="AQ471" t="str">
        <f>IF(Tabela1[[#This Row],[18]]&lt;&gt;"",IF(ISNUMBER(FIND(",",Tabela1[[#This Row],[18]])),LEN(Tabela1[[#This Row],[18]])-LEN(SUBSTITUTE(Tabela1[[#This Row],[18]],",",""))+1,1),"")</f>
        <v/>
      </c>
      <c r="AR471" s="13" t="str">
        <f>IF(Tabela1[[#This Row],[19_LENGTH]]&lt;&gt;"",IF(ISNUMBER(FIND(",",Tabela1[[#This Row],[19_LENGTH]])),LEN(Tabela1[[#This Row],[19_LENGTH]])-LEN(SUBSTITUTE(Tabela1[[#This Row],[19_LENGTH]],",",""))+1,1),"")</f>
        <v/>
      </c>
      <c r="AS471" s="21">
        <f>SUM(Tabela1[[#This Row],[1_]:[19_]])</f>
        <v>1</v>
      </c>
    </row>
    <row r="472" spans="1:45" x14ac:dyDescent="0.25">
      <c r="A472" s="27" t="s">
        <v>1325</v>
      </c>
      <c r="B472" s="19" t="s">
        <v>545</v>
      </c>
      <c r="C472" s="19">
        <v>202</v>
      </c>
      <c r="D472" s="19" t="s">
        <v>1315</v>
      </c>
      <c r="E472" s="20">
        <v>43532</v>
      </c>
      <c r="F472" s="19"/>
      <c r="G472" s="19"/>
      <c r="H472" s="19"/>
      <c r="I472" s="19">
        <v>134</v>
      </c>
      <c r="J472" s="19"/>
      <c r="K472" s="19"/>
      <c r="L472" s="19"/>
      <c r="M472" s="19"/>
      <c r="N472" s="19"/>
      <c r="O472" s="19"/>
      <c r="P472" s="19"/>
      <c r="Q472" s="19"/>
      <c r="R472" s="19"/>
      <c r="S472" s="19"/>
      <c r="T472" s="19"/>
      <c r="U472" s="19"/>
      <c r="V472" s="19"/>
      <c r="W472" s="19"/>
      <c r="X472" s="19"/>
      <c r="Y472" s="19"/>
      <c r="Z472" t="str">
        <f>IF(Tabela1[[#This Row],[1]]&lt;&gt;"",IF(ISNUMBER(FIND(",",Tabela1[[#This Row],[1]])),LEN(Tabela1[[#This Row],[1]])-LEN(SUBSTITUTE(Tabela1[[#This Row],[1]],",",""))+1,1),"")</f>
        <v/>
      </c>
      <c r="AA472" t="str">
        <f>IF(Tabela1[[#This Row],[2]]&lt;&gt;"",IF(ISNUMBER(FIND(",",Tabela1[[#This Row],[2]])),LEN(Tabela1[[#This Row],[2]])-LEN(SUBSTITUTE(Tabela1[[#This Row],[2]],",",""))+1,1),"")</f>
        <v/>
      </c>
      <c r="AB472" t="str">
        <f>IF(Tabela1[[#This Row],[3]]&lt;&gt;"",IF(ISNUMBER(FIND(",",Tabela1[[#This Row],[3]])),LEN(Tabela1[[#This Row],[3]])-LEN(SUBSTITUTE(Tabela1[[#This Row],[3]],",",""))+1,1),"")</f>
        <v/>
      </c>
      <c r="AC472">
        <f>IF(Tabela1[[#This Row],[4]]&lt;&gt;"",IF(ISNUMBER(FIND(",",Tabela1[[#This Row],[4]])),LEN(Tabela1[[#This Row],[4]])-LEN(SUBSTITUTE(Tabela1[[#This Row],[4]],",",""))+1,1),"")</f>
        <v>1</v>
      </c>
      <c r="AD472" t="str">
        <f>IF(Tabela1[[#This Row],[5]]&lt;&gt;"",IF(ISNUMBER(FIND(",",Tabela1[[#This Row],[5]])),LEN(Tabela1[[#This Row],[5]])-LEN(SUBSTITUTE(Tabela1[[#This Row],[5]],",",""))+1,1),"")</f>
        <v/>
      </c>
      <c r="AE472" t="str">
        <f>IF(Tabela1[[#This Row],[6]]&lt;&gt;"",IF(ISNUMBER(FIND(",",Tabela1[[#This Row],[6]])),LEN(Tabela1[[#This Row],[6]])-LEN(SUBSTITUTE(Tabela1[[#This Row],[6]],",",""))+1,1),"")</f>
        <v/>
      </c>
      <c r="AF472" t="str">
        <f>IF(Tabela1[[#This Row],[7]]&lt;&gt;"",IF(ISNUMBER(FIND(",",Tabela1[[#This Row],[7]])),LEN(Tabela1[[#This Row],[7]])-LEN(SUBSTITUTE(Tabela1[[#This Row],[7]],",",""))+1,1),"")</f>
        <v/>
      </c>
      <c r="AG472" t="str">
        <f>IF(Tabela1[[#This Row],[8]]&lt;&gt;"",IF(ISNUMBER(FIND(",",Tabela1[[#This Row],[8]])),LEN(Tabela1[[#This Row],[8]])-LEN(SUBSTITUTE(Tabela1[[#This Row],[8]],",",""))+1,1),"")</f>
        <v/>
      </c>
      <c r="AH472" t="str">
        <f>IF(Tabela1[[#This Row],[9]]&lt;&gt;"",IF(ISNUMBER(FIND(",",Tabela1[[#This Row],[9]])),LEN(Tabela1[[#This Row],[9]])-LEN(SUBSTITUTE(Tabela1[[#This Row],[9]],",",""))+1,1),"")</f>
        <v/>
      </c>
      <c r="AI472" t="str">
        <f>IF(Tabela1[[#This Row],[10]]&lt;&gt;"",IF(ISNUMBER(FIND(",",Tabela1[[#This Row],[10]])),LEN(Tabela1[[#This Row],[10]])-LEN(SUBSTITUTE(Tabela1[[#This Row],[10]],",",""))+1,1),"")</f>
        <v/>
      </c>
      <c r="AJ472" t="str">
        <f>IF(Tabela1[[#This Row],[11]]&lt;&gt;"",IF(ISNUMBER(FIND(",",Tabela1[[#This Row],[11]])),LEN(Tabela1[[#This Row],[11]])-LEN(SUBSTITUTE(Tabela1[[#This Row],[11]],",",""))+1,1),"")</f>
        <v/>
      </c>
      <c r="AK472" t="str">
        <f>IF(Tabela1[[#This Row],[12]]&lt;&gt;"",IF(ISNUMBER(FIND(",",Tabela1[[#This Row],[12]])),LEN(Tabela1[[#This Row],[12]])-LEN(SUBSTITUTE(Tabela1[[#This Row],[12]],",",""))+1,1),"")</f>
        <v/>
      </c>
      <c r="AL472" t="str">
        <f>IF(Tabela1[[#This Row],[13]]&lt;&gt;"",IF(ISNUMBER(FIND(",",Tabela1[[#This Row],[13]])),LEN(Tabela1[[#This Row],[13]])-LEN(SUBSTITUTE(Tabela1[[#This Row],[13]],",",""))+1,1),"")</f>
        <v/>
      </c>
      <c r="AM472" t="str">
        <f>IF(Tabela1[[#This Row],[14]]&lt;&gt;"",IF(ISNUMBER(FIND(",",Tabela1[[#This Row],[14]])),LEN(Tabela1[[#This Row],[14]])-LEN(SUBSTITUTE(Tabela1[[#This Row],[14]],",",""))+1,1),"")</f>
        <v/>
      </c>
      <c r="AN472" t="str">
        <f>IF(Tabela1[[#This Row],[15]]&lt;&gt;"",IF(ISNUMBER(FIND(",",Tabela1[[#This Row],[15]])),LEN(Tabela1[[#This Row],[15]])-LEN(SUBSTITUTE(Tabela1[[#This Row],[15]],",",""))+1,1),"")</f>
        <v/>
      </c>
      <c r="AO472" t="str">
        <f>IF(Tabela1[[#This Row],[16]]&lt;&gt;"",IF(ISNUMBER(FIND(",",Tabela1[[#This Row],[16]])),LEN(Tabela1[[#This Row],[16]])-LEN(SUBSTITUTE(Tabela1[[#This Row],[16]],",",""))+1,1),"")</f>
        <v/>
      </c>
      <c r="AP472" t="str">
        <f>IF(Tabela1[[#This Row],[17]]&lt;&gt;"",IF(ISNUMBER(FIND(",",Tabela1[[#This Row],[17]])),LEN(Tabela1[[#This Row],[17]])-LEN(SUBSTITUTE(Tabela1[[#This Row],[17]],",",""))+1,1),"")</f>
        <v/>
      </c>
      <c r="AQ472" t="str">
        <f>IF(Tabela1[[#This Row],[18]]&lt;&gt;"",IF(ISNUMBER(FIND(",",Tabela1[[#This Row],[18]])),LEN(Tabela1[[#This Row],[18]])-LEN(SUBSTITUTE(Tabela1[[#This Row],[18]],",",""))+1,1),"")</f>
        <v/>
      </c>
      <c r="AR472" s="13" t="str">
        <f>IF(Tabela1[[#This Row],[19_LENGTH]]&lt;&gt;"",IF(ISNUMBER(FIND(",",Tabela1[[#This Row],[19_LENGTH]])),LEN(Tabela1[[#This Row],[19_LENGTH]])-LEN(SUBSTITUTE(Tabela1[[#This Row],[19_LENGTH]],",",""))+1,1),"")</f>
        <v/>
      </c>
      <c r="AS472" s="21">
        <f>SUM(Tabela1[[#This Row],[1_]:[19_]])</f>
        <v>1</v>
      </c>
    </row>
    <row r="473" spans="1:45" x14ac:dyDescent="0.25">
      <c r="A473" s="27" t="s">
        <v>1325</v>
      </c>
      <c r="B473" s="19" t="s">
        <v>546</v>
      </c>
      <c r="C473" s="19">
        <v>202</v>
      </c>
      <c r="D473" s="19" t="s">
        <v>1315</v>
      </c>
      <c r="E473" s="20">
        <v>43532</v>
      </c>
      <c r="F473" s="19"/>
      <c r="G473" s="19"/>
      <c r="H473" s="19"/>
      <c r="I473" s="19" t="s">
        <v>195</v>
      </c>
      <c r="J473" s="19"/>
      <c r="K473" s="19"/>
      <c r="L473" s="19"/>
      <c r="M473" s="19"/>
      <c r="N473" s="19"/>
      <c r="O473" s="19"/>
      <c r="P473" s="19"/>
      <c r="Q473" s="19"/>
      <c r="R473" s="19"/>
      <c r="S473" s="19"/>
      <c r="T473" s="19"/>
      <c r="U473" s="19"/>
      <c r="V473" s="19"/>
      <c r="W473" s="19"/>
      <c r="X473" s="19"/>
      <c r="Y473" s="19"/>
      <c r="Z473" t="str">
        <f>IF(Tabela1[[#This Row],[1]]&lt;&gt;"",IF(ISNUMBER(FIND(",",Tabela1[[#This Row],[1]])),LEN(Tabela1[[#This Row],[1]])-LEN(SUBSTITUTE(Tabela1[[#This Row],[1]],",",""))+1,1),"")</f>
        <v/>
      </c>
      <c r="AA473" t="str">
        <f>IF(Tabela1[[#This Row],[2]]&lt;&gt;"",IF(ISNUMBER(FIND(",",Tabela1[[#This Row],[2]])),LEN(Tabela1[[#This Row],[2]])-LEN(SUBSTITUTE(Tabela1[[#This Row],[2]],",",""))+1,1),"")</f>
        <v/>
      </c>
      <c r="AB473" t="str">
        <f>IF(Tabela1[[#This Row],[3]]&lt;&gt;"",IF(ISNUMBER(FIND(",",Tabela1[[#This Row],[3]])),LEN(Tabela1[[#This Row],[3]])-LEN(SUBSTITUTE(Tabela1[[#This Row],[3]],",",""))+1,1),"")</f>
        <v/>
      </c>
      <c r="AC473">
        <f>IF(Tabela1[[#This Row],[4]]&lt;&gt;"",IF(ISNUMBER(FIND(",",Tabela1[[#This Row],[4]])),LEN(Tabela1[[#This Row],[4]])-LEN(SUBSTITUTE(Tabela1[[#This Row],[4]],",",""))+1,1),"")</f>
        <v>2</v>
      </c>
      <c r="AD473" t="str">
        <f>IF(Tabela1[[#This Row],[5]]&lt;&gt;"",IF(ISNUMBER(FIND(",",Tabela1[[#This Row],[5]])),LEN(Tabela1[[#This Row],[5]])-LEN(SUBSTITUTE(Tabela1[[#This Row],[5]],",",""))+1,1),"")</f>
        <v/>
      </c>
      <c r="AE473" t="str">
        <f>IF(Tabela1[[#This Row],[6]]&lt;&gt;"",IF(ISNUMBER(FIND(",",Tabela1[[#This Row],[6]])),LEN(Tabela1[[#This Row],[6]])-LEN(SUBSTITUTE(Tabela1[[#This Row],[6]],",",""))+1,1),"")</f>
        <v/>
      </c>
      <c r="AF473" t="str">
        <f>IF(Tabela1[[#This Row],[7]]&lt;&gt;"",IF(ISNUMBER(FIND(",",Tabela1[[#This Row],[7]])),LEN(Tabela1[[#This Row],[7]])-LEN(SUBSTITUTE(Tabela1[[#This Row],[7]],",",""))+1,1),"")</f>
        <v/>
      </c>
      <c r="AG473" t="str">
        <f>IF(Tabela1[[#This Row],[8]]&lt;&gt;"",IF(ISNUMBER(FIND(",",Tabela1[[#This Row],[8]])),LEN(Tabela1[[#This Row],[8]])-LEN(SUBSTITUTE(Tabela1[[#This Row],[8]],",",""))+1,1),"")</f>
        <v/>
      </c>
      <c r="AH473" t="str">
        <f>IF(Tabela1[[#This Row],[9]]&lt;&gt;"",IF(ISNUMBER(FIND(",",Tabela1[[#This Row],[9]])),LEN(Tabela1[[#This Row],[9]])-LEN(SUBSTITUTE(Tabela1[[#This Row],[9]],",",""))+1,1),"")</f>
        <v/>
      </c>
      <c r="AI473" t="str">
        <f>IF(Tabela1[[#This Row],[10]]&lt;&gt;"",IF(ISNUMBER(FIND(",",Tabela1[[#This Row],[10]])),LEN(Tabela1[[#This Row],[10]])-LEN(SUBSTITUTE(Tabela1[[#This Row],[10]],",",""))+1,1),"")</f>
        <v/>
      </c>
      <c r="AJ473" t="str">
        <f>IF(Tabela1[[#This Row],[11]]&lt;&gt;"",IF(ISNUMBER(FIND(",",Tabela1[[#This Row],[11]])),LEN(Tabela1[[#This Row],[11]])-LEN(SUBSTITUTE(Tabela1[[#This Row],[11]],",",""))+1,1),"")</f>
        <v/>
      </c>
      <c r="AK473" t="str">
        <f>IF(Tabela1[[#This Row],[12]]&lt;&gt;"",IF(ISNUMBER(FIND(",",Tabela1[[#This Row],[12]])),LEN(Tabela1[[#This Row],[12]])-LEN(SUBSTITUTE(Tabela1[[#This Row],[12]],",",""))+1,1),"")</f>
        <v/>
      </c>
      <c r="AL473" t="str">
        <f>IF(Tabela1[[#This Row],[13]]&lt;&gt;"",IF(ISNUMBER(FIND(",",Tabela1[[#This Row],[13]])),LEN(Tabela1[[#This Row],[13]])-LEN(SUBSTITUTE(Tabela1[[#This Row],[13]],",",""))+1,1),"")</f>
        <v/>
      </c>
      <c r="AM473" t="str">
        <f>IF(Tabela1[[#This Row],[14]]&lt;&gt;"",IF(ISNUMBER(FIND(",",Tabela1[[#This Row],[14]])),LEN(Tabela1[[#This Row],[14]])-LEN(SUBSTITUTE(Tabela1[[#This Row],[14]],",",""))+1,1),"")</f>
        <v/>
      </c>
      <c r="AN473" t="str">
        <f>IF(Tabela1[[#This Row],[15]]&lt;&gt;"",IF(ISNUMBER(FIND(",",Tabela1[[#This Row],[15]])),LEN(Tabela1[[#This Row],[15]])-LEN(SUBSTITUTE(Tabela1[[#This Row],[15]],",",""))+1,1),"")</f>
        <v/>
      </c>
      <c r="AO473" t="str">
        <f>IF(Tabela1[[#This Row],[16]]&lt;&gt;"",IF(ISNUMBER(FIND(",",Tabela1[[#This Row],[16]])),LEN(Tabela1[[#This Row],[16]])-LEN(SUBSTITUTE(Tabela1[[#This Row],[16]],",",""))+1,1),"")</f>
        <v/>
      </c>
      <c r="AP473" t="str">
        <f>IF(Tabela1[[#This Row],[17]]&lt;&gt;"",IF(ISNUMBER(FIND(",",Tabela1[[#This Row],[17]])),LEN(Tabela1[[#This Row],[17]])-LEN(SUBSTITUTE(Tabela1[[#This Row],[17]],",",""))+1,1),"")</f>
        <v/>
      </c>
      <c r="AQ473" t="str">
        <f>IF(Tabela1[[#This Row],[18]]&lt;&gt;"",IF(ISNUMBER(FIND(",",Tabela1[[#This Row],[18]])),LEN(Tabela1[[#This Row],[18]])-LEN(SUBSTITUTE(Tabela1[[#This Row],[18]],",",""))+1,1),"")</f>
        <v/>
      </c>
      <c r="AR473" s="13" t="str">
        <f>IF(Tabela1[[#This Row],[19_LENGTH]]&lt;&gt;"",IF(ISNUMBER(FIND(",",Tabela1[[#This Row],[19_LENGTH]])),LEN(Tabela1[[#This Row],[19_LENGTH]])-LEN(SUBSTITUTE(Tabela1[[#This Row],[19_LENGTH]],",",""))+1,1),"")</f>
        <v/>
      </c>
      <c r="AS473" s="21">
        <f>SUM(Tabela1[[#This Row],[1_]:[19_]])</f>
        <v>2</v>
      </c>
    </row>
    <row r="474" spans="1:45" x14ac:dyDescent="0.25">
      <c r="A474" s="27" t="s">
        <v>1325</v>
      </c>
      <c r="B474" s="19" t="s">
        <v>854</v>
      </c>
      <c r="C474" s="19">
        <v>202</v>
      </c>
      <c r="D474" s="19" t="s">
        <v>1297</v>
      </c>
      <c r="E474" s="20">
        <v>43532</v>
      </c>
      <c r="F474" s="19"/>
      <c r="G474" s="19"/>
      <c r="H474" s="19" t="s">
        <v>196</v>
      </c>
      <c r="I474" s="19"/>
      <c r="J474" s="19"/>
      <c r="K474" s="19"/>
      <c r="L474" s="19"/>
      <c r="M474" s="19"/>
      <c r="N474" s="19"/>
      <c r="O474" s="19"/>
      <c r="P474" s="19"/>
      <c r="Q474" s="19"/>
      <c r="R474" s="19"/>
      <c r="S474" s="19"/>
      <c r="T474" s="19"/>
      <c r="U474" s="19"/>
      <c r="V474" s="19"/>
      <c r="W474" s="19"/>
      <c r="X474" s="19"/>
      <c r="Y474" s="19"/>
      <c r="Z474" t="str">
        <f>IF(Tabela1[[#This Row],[1]]&lt;&gt;"",IF(ISNUMBER(FIND(",",Tabela1[[#This Row],[1]])),LEN(Tabela1[[#This Row],[1]])-LEN(SUBSTITUTE(Tabela1[[#This Row],[1]],",",""))+1,1),"")</f>
        <v/>
      </c>
      <c r="AA474" t="str">
        <f>IF(Tabela1[[#This Row],[2]]&lt;&gt;"",IF(ISNUMBER(FIND(",",Tabela1[[#This Row],[2]])),LEN(Tabela1[[#This Row],[2]])-LEN(SUBSTITUTE(Tabela1[[#This Row],[2]],",",""))+1,1),"")</f>
        <v/>
      </c>
      <c r="AB474">
        <f>IF(Tabela1[[#This Row],[3]]&lt;&gt;"",IF(ISNUMBER(FIND(",",Tabela1[[#This Row],[3]])),LEN(Tabela1[[#This Row],[3]])-LEN(SUBSTITUTE(Tabela1[[#This Row],[3]],",",""))+1,1),"")</f>
        <v>1</v>
      </c>
      <c r="AC474" t="str">
        <f>IF(Tabela1[[#This Row],[4]]&lt;&gt;"",IF(ISNUMBER(FIND(",",Tabela1[[#This Row],[4]])),LEN(Tabela1[[#This Row],[4]])-LEN(SUBSTITUTE(Tabela1[[#This Row],[4]],",",""))+1,1),"")</f>
        <v/>
      </c>
      <c r="AD474" t="str">
        <f>IF(Tabela1[[#This Row],[5]]&lt;&gt;"",IF(ISNUMBER(FIND(",",Tabela1[[#This Row],[5]])),LEN(Tabela1[[#This Row],[5]])-LEN(SUBSTITUTE(Tabela1[[#This Row],[5]],",",""))+1,1),"")</f>
        <v/>
      </c>
      <c r="AE474" t="str">
        <f>IF(Tabela1[[#This Row],[6]]&lt;&gt;"",IF(ISNUMBER(FIND(",",Tabela1[[#This Row],[6]])),LEN(Tabela1[[#This Row],[6]])-LEN(SUBSTITUTE(Tabela1[[#This Row],[6]],",",""))+1,1),"")</f>
        <v/>
      </c>
      <c r="AF474" t="str">
        <f>IF(Tabela1[[#This Row],[7]]&lt;&gt;"",IF(ISNUMBER(FIND(",",Tabela1[[#This Row],[7]])),LEN(Tabela1[[#This Row],[7]])-LEN(SUBSTITUTE(Tabela1[[#This Row],[7]],",",""))+1,1),"")</f>
        <v/>
      </c>
      <c r="AG474" t="str">
        <f>IF(Tabela1[[#This Row],[8]]&lt;&gt;"",IF(ISNUMBER(FIND(",",Tabela1[[#This Row],[8]])),LEN(Tabela1[[#This Row],[8]])-LEN(SUBSTITUTE(Tabela1[[#This Row],[8]],",",""))+1,1),"")</f>
        <v/>
      </c>
      <c r="AH474" t="str">
        <f>IF(Tabela1[[#This Row],[9]]&lt;&gt;"",IF(ISNUMBER(FIND(",",Tabela1[[#This Row],[9]])),LEN(Tabela1[[#This Row],[9]])-LEN(SUBSTITUTE(Tabela1[[#This Row],[9]],",",""))+1,1),"")</f>
        <v/>
      </c>
      <c r="AI474" t="str">
        <f>IF(Tabela1[[#This Row],[10]]&lt;&gt;"",IF(ISNUMBER(FIND(",",Tabela1[[#This Row],[10]])),LEN(Tabela1[[#This Row],[10]])-LEN(SUBSTITUTE(Tabela1[[#This Row],[10]],",",""))+1,1),"")</f>
        <v/>
      </c>
      <c r="AJ474" t="str">
        <f>IF(Tabela1[[#This Row],[11]]&lt;&gt;"",IF(ISNUMBER(FIND(",",Tabela1[[#This Row],[11]])),LEN(Tabela1[[#This Row],[11]])-LEN(SUBSTITUTE(Tabela1[[#This Row],[11]],",",""))+1,1),"")</f>
        <v/>
      </c>
      <c r="AK474" t="str">
        <f>IF(Tabela1[[#This Row],[12]]&lt;&gt;"",IF(ISNUMBER(FIND(",",Tabela1[[#This Row],[12]])),LEN(Tabela1[[#This Row],[12]])-LEN(SUBSTITUTE(Tabela1[[#This Row],[12]],",",""))+1,1),"")</f>
        <v/>
      </c>
      <c r="AL474" t="str">
        <f>IF(Tabela1[[#This Row],[13]]&lt;&gt;"",IF(ISNUMBER(FIND(",",Tabela1[[#This Row],[13]])),LEN(Tabela1[[#This Row],[13]])-LEN(SUBSTITUTE(Tabela1[[#This Row],[13]],",",""))+1,1),"")</f>
        <v/>
      </c>
      <c r="AM474" t="str">
        <f>IF(Tabela1[[#This Row],[14]]&lt;&gt;"",IF(ISNUMBER(FIND(",",Tabela1[[#This Row],[14]])),LEN(Tabela1[[#This Row],[14]])-LEN(SUBSTITUTE(Tabela1[[#This Row],[14]],",",""))+1,1),"")</f>
        <v/>
      </c>
      <c r="AN474" t="str">
        <f>IF(Tabela1[[#This Row],[15]]&lt;&gt;"",IF(ISNUMBER(FIND(",",Tabela1[[#This Row],[15]])),LEN(Tabela1[[#This Row],[15]])-LEN(SUBSTITUTE(Tabela1[[#This Row],[15]],",",""))+1,1),"")</f>
        <v/>
      </c>
      <c r="AO474" t="str">
        <f>IF(Tabela1[[#This Row],[16]]&lt;&gt;"",IF(ISNUMBER(FIND(",",Tabela1[[#This Row],[16]])),LEN(Tabela1[[#This Row],[16]])-LEN(SUBSTITUTE(Tabela1[[#This Row],[16]],",",""))+1,1),"")</f>
        <v/>
      </c>
      <c r="AP474" t="str">
        <f>IF(Tabela1[[#This Row],[17]]&lt;&gt;"",IF(ISNUMBER(FIND(",",Tabela1[[#This Row],[17]])),LEN(Tabela1[[#This Row],[17]])-LEN(SUBSTITUTE(Tabela1[[#This Row],[17]],",",""))+1,1),"")</f>
        <v/>
      </c>
      <c r="AQ474" t="str">
        <f>IF(Tabela1[[#This Row],[18]]&lt;&gt;"",IF(ISNUMBER(FIND(",",Tabela1[[#This Row],[18]])),LEN(Tabela1[[#This Row],[18]])-LEN(SUBSTITUTE(Tabela1[[#This Row],[18]],",",""))+1,1),"")</f>
        <v/>
      </c>
      <c r="AR474" s="13" t="str">
        <f>IF(Tabela1[[#This Row],[19_LENGTH]]&lt;&gt;"",IF(ISNUMBER(FIND(",",Tabela1[[#This Row],[19_LENGTH]])),LEN(Tabela1[[#This Row],[19_LENGTH]])-LEN(SUBSTITUTE(Tabela1[[#This Row],[19_LENGTH]],",",""))+1,1),"")</f>
        <v/>
      </c>
      <c r="AS474" s="21">
        <f>SUM(Tabela1[[#This Row],[1_]:[19_]])</f>
        <v>1</v>
      </c>
    </row>
    <row r="475" spans="1:45" x14ac:dyDescent="0.25">
      <c r="A475" s="27" t="s">
        <v>1329</v>
      </c>
      <c r="B475" s="19" t="s">
        <v>547</v>
      </c>
      <c r="C475" s="19">
        <v>114</v>
      </c>
      <c r="D475" s="19" t="s">
        <v>1309</v>
      </c>
      <c r="E475" s="20">
        <v>43537</v>
      </c>
      <c r="F475" s="19"/>
      <c r="G475" s="19">
        <v>81</v>
      </c>
      <c r="H475" s="19"/>
      <c r="I475" s="19"/>
      <c r="J475" s="19">
        <v>38</v>
      </c>
      <c r="K475" s="19"/>
      <c r="L475" s="19"/>
      <c r="M475" s="19"/>
      <c r="N475" s="19"/>
      <c r="O475" s="19"/>
      <c r="P475" s="19"/>
      <c r="Q475" s="19"/>
      <c r="R475" s="19"/>
      <c r="S475" s="19"/>
      <c r="T475" s="19"/>
      <c r="U475" s="19"/>
      <c r="V475" s="19"/>
      <c r="W475" s="19"/>
      <c r="X475" s="19"/>
      <c r="Y475" s="19"/>
      <c r="Z475" t="str">
        <f>IF(Tabela1[[#This Row],[1]]&lt;&gt;"",IF(ISNUMBER(FIND(",",Tabela1[[#This Row],[1]])),LEN(Tabela1[[#This Row],[1]])-LEN(SUBSTITUTE(Tabela1[[#This Row],[1]],",",""))+1,1),"")</f>
        <v/>
      </c>
      <c r="AA475">
        <f>IF(Tabela1[[#This Row],[2]]&lt;&gt;"",IF(ISNUMBER(FIND(",",Tabela1[[#This Row],[2]])),LEN(Tabela1[[#This Row],[2]])-LEN(SUBSTITUTE(Tabela1[[#This Row],[2]],",",""))+1,1),"")</f>
        <v>1</v>
      </c>
      <c r="AB475" t="str">
        <f>IF(Tabela1[[#This Row],[3]]&lt;&gt;"",IF(ISNUMBER(FIND(",",Tabela1[[#This Row],[3]])),LEN(Tabela1[[#This Row],[3]])-LEN(SUBSTITUTE(Tabela1[[#This Row],[3]],",",""))+1,1),"")</f>
        <v/>
      </c>
      <c r="AC475" t="str">
        <f>IF(Tabela1[[#This Row],[4]]&lt;&gt;"",IF(ISNUMBER(FIND(",",Tabela1[[#This Row],[4]])),LEN(Tabela1[[#This Row],[4]])-LEN(SUBSTITUTE(Tabela1[[#This Row],[4]],",",""))+1,1),"")</f>
        <v/>
      </c>
      <c r="AD475">
        <f>IF(Tabela1[[#This Row],[5]]&lt;&gt;"",IF(ISNUMBER(FIND(",",Tabela1[[#This Row],[5]])),LEN(Tabela1[[#This Row],[5]])-LEN(SUBSTITUTE(Tabela1[[#This Row],[5]],",",""))+1,1),"")</f>
        <v>1</v>
      </c>
      <c r="AE475" t="str">
        <f>IF(Tabela1[[#This Row],[6]]&lt;&gt;"",IF(ISNUMBER(FIND(",",Tabela1[[#This Row],[6]])),LEN(Tabela1[[#This Row],[6]])-LEN(SUBSTITUTE(Tabela1[[#This Row],[6]],",",""))+1,1),"")</f>
        <v/>
      </c>
      <c r="AF475" t="str">
        <f>IF(Tabela1[[#This Row],[7]]&lt;&gt;"",IF(ISNUMBER(FIND(",",Tabela1[[#This Row],[7]])),LEN(Tabela1[[#This Row],[7]])-LEN(SUBSTITUTE(Tabela1[[#This Row],[7]],",",""))+1,1),"")</f>
        <v/>
      </c>
      <c r="AG475" t="str">
        <f>IF(Tabela1[[#This Row],[8]]&lt;&gt;"",IF(ISNUMBER(FIND(",",Tabela1[[#This Row],[8]])),LEN(Tabela1[[#This Row],[8]])-LEN(SUBSTITUTE(Tabela1[[#This Row],[8]],",",""))+1,1),"")</f>
        <v/>
      </c>
      <c r="AH475" t="str">
        <f>IF(Tabela1[[#This Row],[9]]&lt;&gt;"",IF(ISNUMBER(FIND(",",Tabela1[[#This Row],[9]])),LEN(Tabela1[[#This Row],[9]])-LEN(SUBSTITUTE(Tabela1[[#This Row],[9]],",",""))+1,1),"")</f>
        <v/>
      </c>
      <c r="AI475" t="str">
        <f>IF(Tabela1[[#This Row],[10]]&lt;&gt;"",IF(ISNUMBER(FIND(",",Tabela1[[#This Row],[10]])),LEN(Tabela1[[#This Row],[10]])-LEN(SUBSTITUTE(Tabela1[[#This Row],[10]],",",""))+1,1),"")</f>
        <v/>
      </c>
      <c r="AJ475" t="str">
        <f>IF(Tabela1[[#This Row],[11]]&lt;&gt;"",IF(ISNUMBER(FIND(",",Tabela1[[#This Row],[11]])),LEN(Tabela1[[#This Row],[11]])-LEN(SUBSTITUTE(Tabela1[[#This Row],[11]],",",""))+1,1),"")</f>
        <v/>
      </c>
      <c r="AK475" t="str">
        <f>IF(Tabela1[[#This Row],[12]]&lt;&gt;"",IF(ISNUMBER(FIND(",",Tabela1[[#This Row],[12]])),LEN(Tabela1[[#This Row],[12]])-LEN(SUBSTITUTE(Tabela1[[#This Row],[12]],",",""))+1,1),"")</f>
        <v/>
      </c>
      <c r="AL475" t="str">
        <f>IF(Tabela1[[#This Row],[13]]&lt;&gt;"",IF(ISNUMBER(FIND(",",Tabela1[[#This Row],[13]])),LEN(Tabela1[[#This Row],[13]])-LEN(SUBSTITUTE(Tabela1[[#This Row],[13]],",",""))+1,1),"")</f>
        <v/>
      </c>
      <c r="AM475" t="str">
        <f>IF(Tabela1[[#This Row],[14]]&lt;&gt;"",IF(ISNUMBER(FIND(",",Tabela1[[#This Row],[14]])),LEN(Tabela1[[#This Row],[14]])-LEN(SUBSTITUTE(Tabela1[[#This Row],[14]],",",""))+1,1),"")</f>
        <v/>
      </c>
      <c r="AN475" t="str">
        <f>IF(Tabela1[[#This Row],[15]]&lt;&gt;"",IF(ISNUMBER(FIND(",",Tabela1[[#This Row],[15]])),LEN(Tabela1[[#This Row],[15]])-LEN(SUBSTITUTE(Tabela1[[#This Row],[15]],",",""))+1,1),"")</f>
        <v/>
      </c>
      <c r="AO475" t="str">
        <f>IF(Tabela1[[#This Row],[16]]&lt;&gt;"",IF(ISNUMBER(FIND(",",Tabela1[[#This Row],[16]])),LEN(Tabela1[[#This Row],[16]])-LEN(SUBSTITUTE(Tabela1[[#This Row],[16]],",",""))+1,1),"")</f>
        <v/>
      </c>
      <c r="AP475" t="str">
        <f>IF(Tabela1[[#This Row],[17]]&lt;&gt;"",IF(ISNUMBER(FIND(",",Tabela1[[#This Row],[17]])),LEN(Tabela1[[#This Row],[17]])-LEN(SUBSTITUTE(Tabela1[[#This Row],[17]],",",""))+1,1),"")</f>
        <v/>
      </c>
      <c r="AQ475" t="str">
        <f>IF(Tabela1[[#This Row],[18]]&lt;&gt;"",IF(ISNUMBER(FIND(",",Tabela1[[#This Row],[18]])),LEN(Tabela1[[#This Row],[18]])-LEN(SUBSTITUTE(Tabela1[[#This Row],[18]],",",""))+1,1),"")</f>
        <v/>
      </c>
      <c r="AR475" s="13" t="str">
        <f>IF(Tabela1[[#This Row],[19_LENGTH]]&lt;&gt;"",IF(ISNUMBER(FIND(",",Tabela1[[#This Row],[19_LENGTH]])),LEN(Tabela1[[#This Row],[19_LENGTH]])-LEN(SUBSTITUTE(Tabela1[[#This Row],[19_LENGTH]],",",""))+1,1),"")</f>
        <v/>
      </c>
      <c r="AS475" s="21">
        <f>SUM(Tabela1[[#This Row],[1_]:[19_]])</f>
        <v>2</v>
      </c>
    </row>
    <row r="476" spans="1:45" x14ac:dyDescent="0.25">
      <c r="A476" s="27" t="s">
        <v>1329</v>
      </c>
      <c r="B476" s="19" t="s">
        <v>548</v>
      </c>
      <c r="C476" s="19">
        <v>102</v>
      </c>
      <c r="D476" s="19" t="s">
        <v>1309</v>
      </c>
      <c r="E476" s="20">
        <v>43536</v>
      </c>
      <c r="F476" s="19"/>
      <c r="G476" s="19"/>
      <c r="H476" s="19"/>
      <c r="I476" s="19">
        <v>85</v>
      </c>
      <c r="J476" s="19"/>
      <c r="K476" s="19">
        <v>89</v>
      </c>
      <c r="L476" s="19"/>
      <c r="M476" s="19"/>
      <c r="N476" s="19"/>
      <c r="O476" s="19"/>
      <c r="P476" s="19"/>
      <c r="Q476" s="19"/>
      <c r="R476" s="19"/>
      <c r="S476" s="19"/>
      <c r="T476" s="19"/>
      <c r="U476" s="19"/>
      <c r="V476" s="19"/>
      <c r="W476" s="19">
        <v>51</v>
      </c>
      <c r="X476" s="19"/>
      <c r="Y476" s="19"/>
      <c r="Z476" t="str">
        <f>IF(Tabela1[[#This Row],[1]]&lt;&gt;"",IF(ISNUMBER(FIND(",",Tabela1[[#This Row],[1]])),LEN(Tabela1[[#This Row],[1]])-LEN(SUBSTITUTE(Tabela1[[#This Row],[1]],",",""))+1,1),"")</f>
        <v/>
      </c>
      <c r="AA476" t="str">
        <f>IF(Tabela1[[#This Row],[2]]&lt;&gt;"",IF(ISNUMBER(FIND(",",Tabela1[[#This Row],[2]])),LEN(Tabela1[[#This Row],[2]])-LEN(SUBSTITUTE(Tabela1[[#This Row],[2]],",",""))+1,1),"")</f>
        <v/>
      </c>
      <c r="AB476" t="str">
        <f>IF(Tabela1[[#This Row],[3]]&lt;&gt;"",IF(ISNUMBER(FIND(",",Tabela1[[#This Row],[3]])),LEN(Tabela1[[#This Row],[3]])-LEN(SUBSTITUTE(Tabela1[[#This Row],[3]],",",""))+1,1),"")</f>
        <v/>
      </c>
      <c r="AC476">
        <f>IF(Tabela1[[#This Row],[4]]&lt;&gt;"",IF(ISNUMBER(FIND(",",Tabela1[[#This Row],[4]])),LEN(Tabela1[[#This Row],[4]])-LEN(SUBSTITUTE(Tabela1[[#This Row],[4]],",",""))+1,1),"")</f>
        <v>1</v>
      </c>
      <c r="AD476" t="str">
        <f>IF(Tabela1[[#This Row],[5]]&lt;&gt;"",IF(ISNUMBER(FIND(",",Tabela1[[#This Row],[5]])),LEN(Tabela1[[#This Row],[5]])-LEN(SUBSTITUTE(Tabela1[[#This Row],[5]],",",""))+1,1),"")</f>
        <v/>
      </c>
      <c r="AE476">
        <f>IF(Tabela1[[#This Row],[6]]&lt;&gt;"",IF(ISNUMBER(FIND(",",Tabela1[[#This Row],[6]])),LEN(Tabela1[[#This Row],[6]])-LEN(SUBSTITUTE(Tabela1[[#This Row],[6]],",",""))+1,1),"")</f>
        <v>1</v>
      </c>
      <c r="AF476" t="str">
        <f>IF(Tabela1[[#This Row],[7]]&lt;&gt;"",IF(ISNUMBER(FIND(",",Tabela1[[#This Row],[7]])),LEN(Tabela1[[#This Row],[7]])-LEN(SUBSTITUTE(Tabela1[[#This Row],[7]],",",""))+1,1),"")</f>
        <v/>
      </c>
      <c r="AG476" t="str">
        <f>IF(Tabela1[[#This Row],[8]]&lt;&gt;"",IF(ISNUMBER(FIND(",",Tabela1[[#This Row],[8]])),LEN(Tabela1[[#This Row],[8]])-LEN(SUBSTITUTE(Tabela1[[#This Row],[8]],",",""))+1,1),"")</f>
        <v/>
      </c>
      <c r="AH476" t="str">
        <f>IF(Tabela1[[#This Row],[9]]&lt;&gt;"",IF(ISNUMBER(FIND(",",Tabela1[[#This Row],[9]])),LEN(Tabela1[[#This Row],[9]])-LEN(SUBSTITUTE(Tabela1[[#This Row],[9]],",",""))+1,1),"")</f>
        <v/>
      </c>
      <c r="AI476" t="str">
        <f>IF(Tabela1[[#This Row],[10]]&lt;&gt;"",IF(ISNUMBER(FIND(",",Tabela1[[#This Row],[10]])),LEN(Tabela1[[#This Row],[10]])-LEN(SUBSTITUTE(Tabela1[[#This Row],[10]],",",""))+1,1),"")</f>
        <v/>
      </c>
      <c r="AJ476" t="str">
        <f>IF(Tabela1[[#This Row],[11]]&lt;&gt;"",IF(ISNUMBER(FIND(",",Tabela1[[#This Row],[11]])),LEN(Tabela1[[#This Row],[11]])-LEN(SUBSTITUTE(Tabela1[[#This Row],[11]],",",""))+1,1),"")</f>
        <v/>
      </c>
      <c r="AK476" t="str">
        <f>IF(Tabela1[[#This Row],[12]]&lt;&gt;"",IF(ISNUMBER(FIND(",",Tabela1[[#This Row],[12]])),LEN(Tabela1[[#This Row],[12]])-LEN(SUBSTITUTE(Tabela1[[#This Row],[12]],",",""))+1,1),"")</f>
        <v/>
      </c>
      <c r="AL476" t="str">
        <f>IF(Tabela1[[#This Row],[13]]&lt;&gt;"",IF(ISNUMBER(FIND(",",Tabela1[[#This Row],[13]])),LEN(Tabela1[[#This Row],[13]])-LEN(SUBSTITUTE(Tabela1[[#This Row],[13]],",",""))+1,1),"")</f>
        <v/>
      </c>
      <c r="AM476" t="str">
        <f>IF(Tabela1[[#This Row],[14]]&lt;&gt;"",IF(ISNUMBER(FIND(",",Tabela1[[#This Row],[14]])),LEN(Tabela1[[#This Row],[14]])-LEN(SUBSTITUTE(Tabela1[[#This Row],[14]],",",""))+1,1),"")</f>
        <v/>
      </c>
      <c r="AN476" t="str">
        <f>IF(Tabela1[[#This Row],[15]]&lt;&gt;"",IF(ISNUMBER(FIND(",",Tabela1[[#This Row],[15]])),LEN(Tabela1[[#This Row],[15]])-LEN(SUBSTITUTE(Tabela1[[#This Row],[15]],",",""))+1,1),"")</f>
        <v/>
      </c>
      <c r="AO476" t="str">
        <f>IF(Tabela1[[#This Row],[16]]&lt;&gt;"",IF(ISNUMBER(FIND(",",Tabela1[[#This Row],[16]])),LEN(Tabela1[[#This Row],[16]])-LEN(SUBSTITUTE(Tabela1[[#This Row],[16]],",",""))+1,1),"")</f>
        <v/>
      </c>
      <c r="AP476" t="str">
        <f>IF(Tabela1[[#This Row],[17]]&lt;&gt;"",IF(ISNUMBER(FIND(",",Tabela1[[#This Row],[17]])),LEN(Tabela1[[#This Row],[17]])-LEN(SUBSTITUTE(Tabela1[[#This Row],[17]],",",""))+1,1),"")</f>
        <v/>
      </c>
      <c r="AQ476">
        <f>IF(Tabela1[[#This Row],[18]]&lt;&gt;"",IF(ISNUMBER(FIND(",",Tabela1[[#This Row],[18]])),LEN(Tabela1[[#This Row],[18]])-LEN(SUBSTITUTE(Tabela1[[#This Row],[18]],",",""))+1,1),"")</f>
        <v>1</v>
      </c>
      <c r="AR476" s="13" t="str">
        <f>IF(Tabela1[[#This Row],[19_LENGTH]]&lt;&gt;"",IF(ISNUMBER(FIND(",",Tabela1[[#This Row],[19_LENGTH]])),LEN(Tabela1[[#This Row],[19_LENGTH]])-LEN(SUBSTITUTE(Tabela1[[#This Row],[19_LENGTH]],",",""))+1,1),"")</f>
        <v/>
      </c>
      <c r="AS476" s="21">
        <f>SUM(Tabela1[[#This Row],[1_]:[19_]])</f>
        <v>3</v>
      </c>
    </row>
    <row r="477" spans="1:45" x14ac:dyDescent="0.25">
      <c r="A477" s="27" t="s">
        <v>1329</v>
      </c>
      <c r="B477" s="19" t="s">
        <v>549</v>
      </c>
      <c r="C477" s="19">
        <v>102</v>
      </c>
      <c r="D477" s="19" t="s">
        <v>1309</v>
      </c>
      <c r="E477" s="20">
        <v>43536</v>
      </c>
      <c r="F477" s="19"/>
      <c r="G477" s="19"/>
      <c r="H477" s="19"/>
      <c r="I477" s="19"/>
      <c r="J477" s="19"/>
      <c r="K477" s="19"/>
      <c r="L477" s="19"/>
      <c r="M477" s="19"/>
      <c r="N477" s="19"/>
      <c r="O477" s="19"/>
      <c r="P477" s="19"/>
      <c r="Q477" s="19"/>
      <c r="R477" s="19"/>
      <c r="S477" s="19"/>
      <c r="T477" s="19"/>
      <c r="U477" s="19"/>
      <c r="V477" s="19"/>
      <c r="W477" s="19">
        <v>13</v>
      </c>
      <c r="X477" s="19"/>
      <c r="Y477" s="19"/>
      <c r="Z477" t="str">
        <f>IF(Tabela1[[#This Row],[1]]&lt;&gt;"",IF(ISNUMBER(FIND(",",Tabela1[[#This Row],[1]])),LEN(Tabela1[[#This Row],[1]])-LEN(SUBSTITUTE(Tabela1[[#This Row],[1]],",",""))+1,1),"")</f>
        <v/>
      </c>
      <c r="AA477" t="str">
        <f>IF(Tabela1[[#This Row],[2]]&lt;&gt;"",IF(ISNUMBER(FIND(",",Tabela1[[#This Row],[2]])),LEN(Tabela1[[#This Row],[2]])-LEN(SUBSTITUTE(Tabela1[[#This Row],[2]],",",""))+1,1),"")</f>
        <v/>
      </c>
      <c r="AB477" t="str">
        <f>IF(Tabela1[[#This Row],[3]]&lt;&gt;"",IF(ISNUMBER(FIND(",",Tabela1[[#This Row],[3]])),LEN(Tabela1[[#This Row],[3]])-LEN(SUBSTITUTE(Tabela1[[#This Row],[3]],",",""))+1,1),"")</f>
        <v/>
      </c>
      <c r="AC477" t="str">
        <f>IF(Tabela1[[#This Row],[4]]&lt;&gt;"",IF(ISNUMBER(FIND(",",Tabela1[[#This Row],[4]])),LEN(Tabela1[[#This Row],[4]])-LEN(SUBSTITUTE(Tabela1[[#This Row],[4]],",",""))+1,1),"")</f>
        <v/>
      </c>
      <c r="AD477" t="str">
        <f>IF(Tabela1[[#This Row],[5]]&lt;&gt;"",IF(ISNUMBER(FIND(",",Tabela1[[#This Row],[5]])),LEN(Tabela1[[#This Row],[5]])-LEN(SUBSTITUTE(Tabela1[[#This Row],[5]],",",""))+1,1),"")</f>
        <v/>
      </c>
      <c r="AE477" t="str">
        <f>IF(Tabela1[[#This Row],[6]]&lt;&gt;"",IF(ISNUMBER(FIND(",",Tabela1[[#This Row],[6]])),LEN(Tabela1[[#This Row],[6]])-LEN(SUBSTITUTE(Tabela1[[#This Row],[6]],",",""))+1,1),"")</f>
        <v/>
      </c>
      <c r="AF477" t="str">
        <f>IF(Tabela1[[#This Row],[7]]&lt;&gt;"",IF(ISNUMBER(FIND(",",Tabela1[[#This Row],[7]])),LEN(Tabela1[[#This Row],[7]])-LEN(SUBSTITUTE(Tabela1[[#This Row],[7]],",",""))+1,1),"")</f>
        <v/>
      </c>
      <c r="AG477" t="str">
        <f>IF(Tabela1[[#This Row],[8]]&lt;&gt;"",IF(ISNUMBER(FIND(",",Tabela1[[#This Row],[8]])),LEN(Tabela1[[#This Row],[8]])-LEN(SUBSTITUTE(Tabela1[[#This Row],[8]],",",""))+1,1),"")</f>
        <v/>
      </c>
      <c r="AH477" t="str">
        <f>IF(Tabela1[[#This Row],[9]]&lt;&gt;"",IF(ISNUMBER(FIND(",",Tabela1[[#This Row],[9]])),LEN(Tabela1[[#This Row],[9]])-LEN(SUBSTITUTE(Tabela1[[#This Row],[9]],",",""))+1,1),"")</f>
        <v/>
      </c>
      <c r="AI477" t="str">
        <f>IF(Tabela1[[#This Row],[10]]&lt;&gt;"",IF(ISNUMBER(FIND(",",Tabela1[[#This Row],[10]])),LEN(Tabela1[[#This Row],[10]])-LEN(SUBSTITUTE(Tabela1[[#This Row],[10]],",",""))+1,1),"")</f>
        <v/>
      </c>
      <c r="AJ477" t="str">
        <f>IF(Tabela1[[#This Row],[11]]&lt;&gt;"",IF(ISNUMBER(FIND(",",Tabela1[[#This Row],[11]])),LEN(Tabela1[[#This Row],[11]])-LEN(SUBSTITUTE(Tabela1[[#This Row],[11]],",",""))+1,1),"")</f>
        <v/>
      </c>
      <c r="AK477" t="str">
        <f>IF(Tabela1[[#This Row],[12]]&lt;&gt;"",IF(ISNUMBER(FIND(",",Tabela1[[#This Row],[12]])),LEN(Tabela1[[#This Row],[12]])-LEN(SUBSTITUTE(Tabela1[[#This Row],[12]],",",""))+1,1),"")</f>
        <v/>
      </c>
      <c r="AL477" t="str">
        <f>IF(Tabela1[[#This Row],[13]]&lt;&gt;"",IF(ISNUMBER(FIND(",",Tabela1[[#This Row],[13]])),LEN(Tabela1[[#This Row],[13]])-LEN(SUBSTITUTE(Tabela1[[#This Row],[13]],",",""))+1,1),"")</f>
        <v/>
      </c>
      <c r="AM477" t="str">
        <f>IF(Tabela1[[#This Row],[14]]&lt;&gt;"",IF(ISNUMBER(FIND(",",Tabela1[[#This Row],[14]])),LEN(Tabela1[[#This Row],[14]])-LEN(SUBSTITUTE(Tabela1[[#This Row],[14]],",",""))+1,1),"")</f>
        <v/>
      </c>
      <c r="AN477" t="str">
        <f>IF(Tabela1[[#This Row],[15]]&lt;&gt;"",IF(ISNUMBER(FIND(",",Tabela1[[#This Row],[15]])),LEN(Tabela1[[#This Row],[15]])-LEN(SUBSTITUTE(Tabela1[[#This Row],[15]],",",""))+1,1),"")</f>
        <v/>
      </c>
      <c r="AO477" t="str">
        <f>IF(Tabela1[[#This Row],[16]]&lt;&gt;"",IF(ISNUMBER(FIND(",",Tabela1[[#This Row],[16]])),LEN(Tabela1[[#This Row],[16]])-LEN(SUBSTITUTE(Tabela1[[#This Row],[16]],",",""))+1,1),"")</f>
        <v/>
      </c>
      <c r="AP477" t="str">
        <f>IF(Tabela1[[#This Row],[17]]&lt;&gt;"",IF(ISNUMBER(FIND(",",Tabela1[[#This Row],[17]])),LEN(Tabela1[[#This Row],[17]])-LEN(SUBSTITUTE(Tabela1[[#This Row],[17]],",",""))+1,1),"")</f>
        <v/>
      </c>
      <c r="AQ477">
        <f>IF(Tabela1[[#This Row],[18]]&lt;&gt;"",IF(ISNUMBER(FIND(",",Tabela1[[#This Row],[18]])),LEN(Tabela1[[#This Row],[18]])-LEN(SUBSTITUTE(Tabela1[[#This Row],[18]],",",""))+1,1),"")</f>
        <v>1</v>
      </c>
      <c r="AR477" s="13" t="str">
        <f>IF(Tabela1[[#This Row],[19_LENGTH]]&lt;&gt;"",IF(ISNUMBER(FIND(",",Tabela1[[#This Row],[19_LENGTH]])),LEN(Tabela1[[#This Row],[19_LENGTH]])-LEN(SUBSTITUTE(Tabela1[[#This Row],[19_LENGTH]],",",""))+1,1),"")</f>
        <v/>
      </c>
      <c r="AS477" s="21">
        <f>SUM(Tabela1[[#This Row],[1_]:[19_]])</f>
        <v>1</v>
      </c>
    </row>
    <row r="478" spans="1:45" x14ac:dyDescent="0.25">
      <c r="A478" s="27" t="s">
        <v>1329</v>
      </c>
      <c r="B478" s="19" t="s">
        <v>550</v>
      </c>
      <c r="C478" s="19">
        <v>102</v>
      </c>
      <c r="D478" s="19" t="s">
        <v>1309</v>
      </c>
      <c r="E478" s="20">
        <v>43536</v>
      </c>
      <c r="F478" s="19"/>
      <c r="G478" s="19"/>
      <c r="H478" s="19"/>
      <c r="I478" s="19"/>
      <c r="J478" s="19"/>
      <c r="K478" s="19">
        <v>81</v>
      </c>
      <c r="L478" s="19"/>
      <c r="M478" s="19"/>
      <c r="N478" s="19"/>
      <c r="O478" s="19"/>
      <c r="P478" s="19"/>
      <c r="Q478" s="19"/>
      <c r="R478" s="19"/>
      <c r="S478" s="19"/>
      <c r="T478" s="19"/>
      <c r="U478" s="19"/>
      <c r="V478" s="19"/>
      <c r="W478" s="19"/>
      <c r="X478" s="19"/>
      <c r="Y478" s="19"/>
      <c r="Z478" t="str">
        <f>IF(Tabela1[[#This Row],[1]]&lt;&gt;"",IF(ISNUMBER(FIND(",",Tabela1[[#This Row],[1]])),LEN(Tabela1[[#This Row],[1]])-LEN(SUBSTITUTE(Tabela1[[#This Row],[1]],",",""))+1,1),"")</f>
        <v/>
      </c>
      <c r="AA478" t="str">
        <f>IF(Tabela1[[#This Row],[2]]&lt;&gt;"",IF(ISNUMBER(FIND(",",Tabela1[[#This Row],[2]])),LEN(Tabela1[[#This Row],[2]])-LEN(SUBSTITUTE(Tabela1[[#This Row],[2]],",",""))+1,1),"")</f>
        <v/>
      </c>
      <c r="AB478" t="str">
        <f>IF(Tabela1[[#This Row],[3]]&lt;&gt;"",IF(ISNUMBER(FIND(",",Tabela1[[#This Row],[3]])),LEN(Tabela1[[#This Row],[3]])-LEN(SUBSTITUTE(Tabela1[[#This Row],[3]],",",""))+1,1),"")</f>
        <v/>
      </c>
      <c r="AC478" t="str">
        <f>IF(Tabela1[[#This Row],[4]]&lt;&gt;"",IF(ISNUMBER(FIND(",",Tabela1[[#This Row],[4]])),LEN(Tabela1[[#This Row],[4]])-LEN(SUBSTITUTE(Tabela1[[#This Row],[4]],",",""))+1,1),"")</f>
        <v/>
      </c>
      <c r="AD478" t="str">
        <f>IF(Tabela1[[#This Row],[5]]&lt;&gt;"",IF(ISNUMBER(FIND(",",Tabela1[[#This Row],[5]])),LEN(Tabela1[[#This Row],[5]])-LEN(SUBSTITUTE(Tabela1[[#This Row],[5]],",",""))+1,1),"")</f>
        <v/>
      </c>
      <c r="AE478">
        <f>IF(Tabela1[[#This Row],[6]]&lt;&gt;"",IF(ISNUMBER(FIND(",",Tabela1[[#This Row],[6]])),LEN(Tabela1[[#This Row],[6]])-LEN(SUBSTITUTE(Tabela1[[#This Row],[6]],",",""))+1,1),"")</f>
        <v>1</v>
      </c>
      <c r="AF478" t="str">
        <f>IF(Tabela1[[#This Row],[7]]&lt;&gt;"",IF(ISNUMBER(FIND(",",Tabela1[[#This Row],[7]])),LEN(Tabela1[[#This Row],[7]])-LEN(SUBSTITUTE(Tabela1[[#This Row],[7]],",",""))+1,1),"")</f>
        <v/>
      </c>
      <c r="AG478" t="str">
        <f>IF(Tabela1[[#This Row],[8]]&lt;&gt;"",IF(ISNUMBER(FIND(",",Tabela1[[#This Row],[8]])),LEN(Tabela1[[#This Row],[8]])-LEN(SUBSTITUTE(Tabela1[[#This Row],[8]],",",""))+1,1),"")</f>
        <v/>
      </c>
      <c r="AH478" t="str">
        <f>IF(Tabela1[[#This Row],[9]]&lt;&gt;"",IF(ISNUMBER(FIND(",",Tabela1[[#This Row],[9]])),LEN(Tabela1[[#This Row],[9]])-LEN(SUBSTITUTE(Tabela1[[#This Row],[9]],",",""))+1,1),"")</f>
        <v/>
      </c>
      <c r="AI478" t="str">
        <f>IF(Tabela1[[#This Row],[10]]&lt;&gt;"",IF(ISNUMBER(FIND(",",Tabela1[[#This Row],[10]])),LEN(Tabela1[[#This Row],[10]])-LEN(SUBSTITUTE(Tabela1[[#This Row],[10]],",",""))+1,1),"")</f>
        <v/>
      </c>
      <c r="AJ478" t="str">
        <f>IF(Tabela1[[#This Row],[11]]&lt;&gt;"",IF(ISNUMBER(FIND(",",Tabela1[[#This Row],[11]])),LEN(Tabela1[[#This Row],[11]])-LEN(SUBSTITUTE(Tabela1[[#This Row],[11]],",",""))+1,1),"")</f>
        <v/>
      </c>
      <c r="AK478" t="str">
        <f>IF(Tabela1[[#This Row],[12]]&lt;&gt;"",IF(ISNUMBER(FIND(",",Tabela1[[#This Row],[12]])),LEN(Tabela1[[#This Row],[12]])-LEN(SUBSTITUTE(Tabela1[[#This Row],[12]],",",""))+1,1),"")</f>
        <v/>
      </c>
      <c r="AL478" t="str">
        <f>IF(Tabela1[[#This Row],[13]]&lt;&gt;"",IF(ISNUMBER(FIND(",",Tabela1[[#This Row],[13]])),LEN(Tabela1[[#This Row],[13]])-LEN(SUBSTITUTE(Tabela1[[#This Row],[13]],",",""))+1,1),"")</f>
        <v/>
      </c>
      <c r="AM478" t="str">
        <f>IF(Tabela1[[#This Row],[14]]&lt;&gt;"",IF(ISNUMBER(FIND(",",Tabela1[[#This Row],[14]])),LEN(Tabela1[[#This Row],[14]])-LEN(SUBSTITUTE(Tabela1[[#This Row],[14]],",",""))+1,1),"")</f>
        <v/>
      </c>
      <c r="AN478" t="str">
        <f>IF(Tabela1[[#This Row],[15]]&lt;&gt;"",IF(ISNUMBER(FIND(",",Tabela1[[#This Row],[15]])),LEN(Tabela1[[#This Row],[15]])-LEN(SUBSTITUTE(Tabela1[[#This Row],[15]],",",""))+1,1),"")</f>
        <v/>
      </c>
      <c r="AO478" t="str">
        <f>IF(Tabela1[[#This Row],[16]]&lt;&gt;"",IF(ISNUMBER(FIND(",",Tabela1[[#This Row],[16]])),LEN(Tabela1[[#This Row],[16]])-LEN(SUBSTITUTE(Tabela1[[#This Row],[16]],",",""))+1,1),"")</f>
        <v/>
      </c>
      <c r="AP478" t="str">
        <f>IF(Tabela1[[#This Row],[17]]&lt;&gt;"",IF(ISNUMBER(FIND(",",Tabela1[[#This Row],[17]])),LEN(Tabela1[[#This Row],[17]])-LEN(SUBSTITUTE(Tabela1[[#This Row],[17]],",",""))+1,1),"")</f>
        <v/>
      </c>
      <c r="AQ478" t="str">
        <f>IF(Tabela1[[#This Row],[18]]&lt;&gt;"",IF(ISNUMBER(FIND(",",Tabela1[[#This Row],[18]])),LEN(Tabela1[[#This Row],[18]])-LEN(SUBSTITUTE(Tabela1[[#This Row],[18]],",",""))+1,1),"")</f>
        <v/>
      </c>
      <c r="AR478" s="13" t="str">
        <f>IF(Tabela1[[#This Row],[19_LENGTH]]&lt;&gt;"",IF(ISNUMBER(FIND(",",Tabela1[[#This Row],[19_LENGTH]])),LEN(Tabela1[[#This Row],[19_LENGTH]])-LEN(SUBSTITUTE(Tabela1[[#This Row],[19_LENGTH]],",",""))+1,1),"")</f>
        <v/>
      </c>
      <c r="AS478" s="21">
        <f>SUM(Tabela1[[#This Row],[1_]:[19_]])</f>
        <v>1</v>
      </c>
    </row>
    <row r="479" spans="1:45" x14ac:dyDescent="0.25">
      <c r="A479" s="27" t="s">
        <v>1329</v>
      </c>
      <c r="B479" s="19" t="s">
        <v>551</v>
      </c>
      <c r="C479" s="19">
        <v>102</v>
      </c>
      <c r="D479" s="19" t="s">
        <v>1309</v>
      </c>
      <c r="E479" s="20">
        <v>43536</v>
      </c>
      <c r="F479" s="19"/>
      <c r="G479" s="19"/>
      <c r="H479" s="19"/>
      <c r="I479" s="19"/>
      <c r="J479" s="19"/>
      <c r="K479" s="19">
        <v>10</v>
      </c>
      <c r="L479" s="19"/>
      <c r="M479" s="19"/>
      <c r="N479" s="19"/>
      <c r="O479" s="19"/>
      <c r="P479" s="19"/>
      <c r="Q479" s="19"/>
      <c r="R479" s="19"/>
      <c r="S479" s="19"/>
      <c r="T479" s="19"/>
      <c r="U479" s="19"/>
      <c r="V479" s="19"/>
      <c r="W479" s="19"/>
      <c r="X479" s="19"/>
      <c r="Y479" s="19"/>
      <c r="Z479" t="str">
        <f>IF(Tabela1[[#This Row],[1]]&lt;&gt;"",IF(ISNUMBER(FIND(",",Tabela1[[#This Row],[1]])),LEN(Tabela1[[#This Row],[1]])-LEN(SUBSTITUTE(Tabela1[[#This Row],[1]],",",""))+1,1),"")</f>
        <v/>
      </c>
      <c r="AA479" t="str">
        <f>IF(Tabela1[[#This Row],[2]]&lt;&gt;"",IF(ISNUMBER(FIND(",",Tabela1[[#This Row],[2]])),LEN(Tabela1[[#This Row],[2]])-LEN(SUBSTITUTE(Tabela1[[#This Row],[2]],",",""))+1,1),"")</f>
        <v/>
      </c>
      <c r="AB479" t="str">
        <f>IF(Tabela1[[#This Row],[3]]&lt;&gt;"",IF(ISNUMBER(FIND(",",Tabela1[[#This Row],[3]])),LEN(Tabela1[[#This Row],[3]])-LEN(SUBSTITUTE(Tabela1[[#This Row],[3]],",",""))+1,1),"")</f>
        <v/>
      </c>
      <c r="AC479" t="str">
        <f>IF(Tabela1[[#This Row],[4]]&lt;&gt;"",IF(ISNUMBER(FIND(",",Tabela1[[#This Row],[4]])),LEN(Tabela1[[#This Row],[4]])-LEN(SUBSTITUTE(Tabela1[[#This Row],[4]],",",""))+1,1),"")</f>
        <v/>
      </c>
      <c r="AD479" t="str">
        <f>IF(Tabela1[[#This Row],[5]]&lt;&gt;"",IF(ISNUMBER(FIND(",",Tabela1[[#This Row],[5]])),LEN(Tabela1[[#This Row],[5]])-LEN(SUBSTITUTE(Tabela1[[#This Row],[5]],",",""))+1,1),"")</f>
        <v/>
      </c>
      <c r="AE479">
        <f>IF(Tabela1[[#This Row],[6]]&lt;&gt;"",IF(ISNUMBER(FIND(",",Tabela1[[#This Row],[6]])),LEN(Tabela1[[#This Row],[6]])-LEN(SUBSTITUTE(Tabela1[[#This Row],[6]],",",""))+1,1),"")</f>
        <v>1</v>
      </c>
      <c r="AF479" t="str">
        <f>IF(Tabela1[[#This Row],[7]]&lt;&gt;"",IF(ISNUMBER(FIND(",",Tabela1[[#This Row],[7]])),LEN(Tabela1[[#This Row],[7]])-LEN(SUBSTITUTE(Tabela1[[#This Row],[7]],",",""))+1,1),"")</f>
        <v/>
      </c>
      <c r="AG479" t="str">
        <f>IF(Tabela1[[#This Row],[8]]&lt;&gt;"",IF(ISNUMBER(FIND(",",Tabela1[[#This Row],[8]])),LEN(Tabela1[[#This Row],[8]])-LEN(SUBSTITUTE(Tabela1[[#This Row],[8]],",",""))+1,1),"")</f>
        <v/>
      </c>
      <c r="AH479" t="str">
        <f>IF(Tabela1[[#This Row],[9]]&lt;&gt;"",IF(ISNUMBER(FIND(",",Tabela1[[#This Row],[9]])),LEN(Tabela1[[#This Row],[9]])-LEN(SUBSTITUTE(Tabela1[[#This Row],[9]],",",""))+1,1),"")</f>
        <v/>
      </c>
      <c r="AI479" t="str">
        <f>IF(Tabela1[[#This Row],[10]]&lt;&gt;"",IF(ISNUMBER(FIND(",",Tabela1[[#This Row],[10]])),LEN(Tabela1[[#This Row],[10]])-LEN(SUBSTITUTE(Tabela1[[#This Row],[10]],",",""))+1,1),"")</f>
        <v/>
      </c>
      <c r="AJ479" t="str">
        <f>IF(Tabela1[[#This Row],[11]]&lt;&gt;"",IF(ISNUMBER(FIND(",",Tabela1[[#This Row],[11]])),LEN(Tabela1[[#This Row],[11]])-LEN(SUBSTITUTE(Tabela1[[#This Row],[11]],",",""))+1,1),"")</f>
        <v/>
      </c>
      <c r="AK479" t="str">
        <f>IF(Tabela1[[#This Row],[12]]&lt;&gt;"",IF(ISNUMBER(FIND(",",Tabela1[[#This Row],[12]])),LEN(Tabela1[[#This Row],[12]])-LEN(SUBSTITUTE(Tabela1[[#This Row],[12]],",",""))+1,1),"")</f>
        <v/>
      </c>
      <c r="AL479" t="str">
        <f>IF(Tabela1[[#This Row],[13]]&lt;&gt;"",IF(ISNUMBER(FIND(",",Tabela1[[#This Row],[13]])),LEN(Tabela1[[#This Row],[13]])-LEN(SUBSTITUTE(Tabela1[[#This Row],[13]],",",""))+1,1),"")</f>
        <v/>
      </c>
      <c r="AM479" t="str">
        <f>IF(Tabela1[[#This Row],[14]]&lt;&gt;"",IF(ISNUMBER(FIND(",",Tabela1[[#This Row],[14]])),LEN(Tabela1[[#This Row],[14]])-LEN(SUBSTITUTE(Tabela1[[#This Row],[14]],",",""))+1,1),"")</f>
        <v/>
      </c>
      <c r="AN479" t="str">
        <f>IF(Tabela1[[#This Row],[15]]&lt;&gt;"",IF(ISNUMBER(FIND(",",Tabela1[[#This Row],[15]])),LEN(Tabela1[[#This Row],[15]])-LEN(SUBSTITUTE(Tabela1[[#This Row],[15]],",",""))+1,1),"")</f>
        <v/>
      </c>
      <c r="AO479" t="str">
        <f>IF(Tabela1[[#This Row],[16]]&lt;&gt;"",IF(ISNUMBER(FIND(",",Tabela1[[#This Row],[16]])),LEN(Tabela1[[#This Row],[16]])-LEN(SUBSTITUTE(Tabela1[[#This Row],[16]],",",""))+1,1),"")</f>
        <v/>
      </c>
      <c r="AP479" t="str">
        <f>IF(Tabela1[[#This Row],[17]]&lt;&gt;"",IF(ISNUMBER(FIND(",",Tabela1[[#This Row],[17]])),LEN(Tabela1[[#This Row],[17]])-LEN(SUBSTITUTE(Tabela1[[#This Row],[17]],",",""))+1,1),"")</f>
        <v/>
      </c>
      <c r="AQ479" t="str">
        <f>IF(Tabela1[[#This Row],[18]]&lt;&gt;"",IF(ISNUMBER(FIND(",",Tabela1[[#This Row],[18]])),LEN(Tabela1[[#This Row],[18]])-LEN(SUBSTITUTE(Tabela1[[#This Row],[18]],",",""))+1,1),"")</f>
        <v/>
      </c>
      <c r="AR479" s="13" t="str">
        <f>IF(Tabela1[[#This Row],[19_LENGTH]]&lt;&gt;"",IF(ISNUMBER(FIND(",",Tabela1[[#This Row],[19_LENGTH]])),LEN(Tabela1[[#This Row],[19_LENGTH]])-LEN(SUBSTITUTE(Tabela1[[#This Row],[19_LENGTH]],",",""))+1,1),"")</f>
        <v/>
      </c>
      <c r="AS479" s="21">
        <f>SUM(Tabela1[[#This Row],[1_]:[19_]])</f>
        <v>1</v>
      </c>
    </row>
    <row r="480" spans="1:45" x14ac:dyDescent="0.25">
      <c r="A480" s="27" t="s">
        <v>1329</v>
      </c>
      <c r="B480" s="19" t="s">
        <v>552</v>
      </c>
      <c r="C480" s="19">
        <v>102</v>
      </c>
      <c r="D480" s="19" t="s">
        <v>1309</v>
      </c>
      <c r="E480" s="20">
        <v>43536</v>
      </c>
      <c r="F480" s="19"/>
      <c r="G480" s="19"/>
      <c r="H480" s="19"/>
      <c r="I480" s="19"/>
      <c r="J480" s="19">
        <v>81</v>
      </c>
      <c r="K480" s="19"/>
      <c r="L480" s="19"/>
      <c r="M480" s="19"/>
      <c r="N480" s="19"/>
      <c r="O480" s="19"/>
      <c r="P480" s="19"/>
      <c r="Q480" s="19"/>
      <c r="R480" s="19"/>
      <c r="S480" s="19"/>
      <c r="T480" s="19"/>
      <c r="U480" s="19"/>
      <c r="V480" s="19"/>
      <c r="W480" s="19"/>
      <c r="X480" s="19"/>
      <c r="Y480" s="19"/>
      <c r="Z480" t="str">
        <f>IF(Tabela1[[#This Row],[1]]&lt;&gt;"",IF(ISNUMBER(FIND(",",Tabela1[[#This Row],[1]])),LEN(Tabela1[[#This Row],[1]])-LEN(SUBSTITUTE(Tabela1[[#This Row],[1]],",",""))+1,1),"")</f>
        <v/>
      </c>
      <c r="AA480" t="str">
        <f>IF(Tabela1[[#This Row],[2]]&lt;&gt;"",IF(ISNUMBER(FIND(",",Tabela1[[#This Row],[2]])),LEN(Tabela1[[#This Row],[2]])-LEN(SUBSTITUTE(Tabela1[[#This Row],[2]],",",""))+1,1),"")</f>
        <v/>
      </c>
      <c r="AB480" t="str">
        <f>IF(Tabela1[[#This Row],[3]]&lt;&gt;"",IF(ISNUMBER(FIND(",",Tabela1[[#This Row],[3]])),LEN(Tabela1[[#This Row],[3]])-LEN(SUBSTITUTE(Tabela1[[#This Row],[3]],",",""))+1,1),"")</f>
        <v/>
      </c>
      <c r="AC480" t="str">
        <f>IF(Tabela1[[#This Row],[4]]&lt;&gt;"",IF(ISNUMBER(FIND(",",Tabela1[[#This Row],[4]])),LEN(Tabela1[[#This Row],[4]])-LEN(SUBSTITUTE(Tabela1[[#This Row],[4]],",",""))+1,1),"")</f>
        <v/>
      </c>
      <c r="AD480">
        <f>IF(Tabela1[[#This Row],[5]]&lt;&gt;"",IF(ISNUMBER(FIND(",",Tabela1[[#This Row],[5]])),LEN(Tabela1[[#This Row],[5]])-LEN(SUBSTITUTE(Tabela1[[#This Row],[5]],",",""))+1,1),"")</f>
        <v>1</v>
      </c>
      <c r="AE480" t="str">
        <f>IF(Tabela1[[#This Row],[6]]&lt;&gt;"",IF(ISNUMBER(FIND(",",Tabela1[[#This Row],[6]])),LEN(Tabela1[[#This Row],[6]])-LEN(SUBSTITUTE(Tabela1[[#This Row],[6]],",",""))+1,1),"")</f>
        <v/>
      </c>
      <c r="AF480" t="str">
        <f>IF(Tabela1[[#This Row],[7]]&lt;&gt;"",IF(ISNUMBER(FIND(",",Tabela1[[#This Row],[7]])),LEN(Tabela1[[#This Row],[7]])-LEN(SUBSTITUTE(Tabela1[[#This Row],[7]],",",""))+1,1),"")</f>
        <v/>
      </c>
      <c r="AG480" t="str">
        <f>IF(Tabela1[[#This Row],[8]]&lt;&gt;"",IF(ISNUMBER(FIND(",",Tabela1[[#This Row],[8]])),LEN(Tabela1[[#This Row],[8]])-LEN(SUBSTITUTE(Tabela1[[#This Row],[8]],",",""))+1,1),"")</f>
        <v/>
      </c>
      <c r="AH480" t="str">
        <f>IF(Tabela1[[#This Row],[9]]&lt;&gt;"",IF(ISNUMBER(FIND(",",Tabela1[[#This Row],[9]])),LEN(Tabela1[[#This Row],[9]])-LEN(SUBSTITUTE(Tabela1[[#This Row],[9]],",",""))+1,1),"")</f>
        <v/>
      </c>
      <c r="AI480" t="str">
        <f>IF(Tabela1[[#This Row],[10]]&lt;&gt;"",IF(ISNUMBER(FIND(",",Tabela1[[#This Row],[10]])),LEN(Tabela1[[#This Row],[10]])-LEN(SUBSTITUTE(Tabela1[[#This Row],[10]],",",""))+1,1),"")</f>
        <v/>
      </c>
      <c r="AJ480" t="str">
        <f>IF(Tabela1[[#This Row],[11]]&lt;&gt;"",IF(ISNUMBER(FIND(",",Tabela1[[#This Row],[11]])),LEN(Tabela1[[#This Row],[11]])-LEN(SUBSTITUTE(Tabela1[[#This Row],[11]],",",""))+1,1),"")</f>
        <v/>
      </c>
      <c r="AK480" t="str">
        <f>IF(Tabela1[[#This Row],[12]]&lt;&gt;"",IF(ISNUMBER(FIND(",",Tabela1[[#This Row],[12]])),LEN(Tabela1[[#This Row],[12]])-LEN(SUBSTITUTE(Tabela1[[#This Row],[12]],",",""))+1,1),"")</f>
        <v/>
      </c>
      <c r="AL480" t="str">
        <f>IF(Tabela1[[#This Row],[13]]&lt;&gt;"",IF(ISNUMBER(FIND(",",Tabela1[[#This Row],[13]])),LEN(Tabela1[[#This Row],[13]])-LEN(SUBSTITUTE(Tabela1[[#This Row],[13]],",",""))+1,1),"")</f>
        <v/>
      </c>
      <c r="AM480" t="str">
        <f>IF(Tabela1[[#This Row],[14]]&lt;&gt;"",IF(ISNUMBER(FIND(",",Tabela1[[#This Row],[14]])),LEN(Tabela1[[#This Row],[14]])-LEN(SUBSTITUTE(Tabela1[[#This Row],[14]],",",""))+1,1),"")</f>
        <v/>
      </c>
      <c r="AN480" t="str">
        <f>IF(Tabela1[[#This Row],[15]]&lt;&gt;"",IF(ISNUMBER(FIND(",",Tabela1[[#This Row],[15]])),LEN(Tabela1[[#This Row],[15]])-LEN(SUBSTITUTE(Tabela1[[#This Row],[15]],",",""))+1,1),"")</f>
        <v/>
      </c>
      <c r="AO480" t="str">
        <f>IF(Tabela1[[#This Row],[16]]&lt;&gt;"",IF(ISNUMBER(FIND(",",Tabela1[[#This Row],[16]])),LEN(Tabela1[[#This Row],[16]])-LEN(SUBSTITUTE(Tabela1[[#This Row],[16]],",",""))+1,1),"")</f>
        <v/>
      </c>
      <c r="AP480" t="str">
        <f>IF(Tabela1[[#This Row],[17]]&lt;&gt;"",IF(ISNUMBER(FIND(",",Tabela1[[#This Row],[17]])),LEN(Tabela1[[#This Row],[17]])-LEN(SUBSTITUTE(Tabela1[[#This Row],[17]],",",""))+1,1),"")</f>
        <v/>
      </c>
      <c r="AQ480" t="str">
        <f>IF(Tabela1[[#This Row],[18]]&lt;&gt;"",IF(ISNUMBER(FIND(",",Tabela1[[#This Row],[18]])),LEN(Tabela1[[#This Row],[18]])-LEN(SUBSTITUTE(Tabela1[[#This Row],[18]],",",""))+1,1),"")</f>
        <v/>
      </c>
      <c r="AR480" s="13" t="str">
        <f>IF(Tabela1[[#This Row],[19_LENGTH]]&lt;&gt;"",IF(ISNUMBER(FIND(",",Tabela1[[#This Row],[19_LENGTH]])),LEN(Tabela1[[#This Row],[19_LENGTH]])-LEN(SUBSTITUTE(Tabela1[[#This Row],[19_LENGTH]],",",""))+1,1),"")</f>
        <v/>
      </c>
      <c r="AS480" s="21">
        <f>SUM(Tabela1[[#This Row],[1_]:[19_]])</f>
        <v>1</v>
      </c>
    </row>
    <row r="481" spans="1:45" x14ac:dyDescent="0.25">
      <c r="A481" s="27" t="s">
        <v>1325</v>
      </c>
      <c r="B481" s="19" t="s">
        <v>855</v>
      </c>
      <c r="C481" s="19">
        <v>198</v>
      </c>
      <c r="D481" s="19" t="s">
        <v>1296</v>
      </c>
      <c r="E481" s="20">
        <v>43536</v>
      </c>
      <c r="F481" s="19"/>
      <c r="G481" s="19"/>
      <c r="H481" s="19"/>
      <c r="I481" s="19"/>
      <c r="J481" s="19"/>
      <c r="K481" s="19"/>
      <c r="L481" s="19">
        <v>18</v>
      </c>
      <c r="M481" s="19"/>
      <c r="N481" s="19"/>
      <c r="O481" s="19"/>
      <c r="P481" s="19"/>
      <c r="Q481" s="19"/>
      <c r="R481" s="19"/>
      <c r="S481" s="19"/>
      <c r="T481" s="19"/>
      <c r="U481" s="19"/>
      <c r="V481" s="19"/>
      <c r="W481" s="19"/>
      <c r="X481" s="19"/>
      <c r="Y481" s="19"/>
      <c r="Z481" t="str">
        <f>IF(Tabela1[[#This Row],[1]]&lt;&gt;"",IF(ISNUMBER(FIND(",",Tabela1[[#This Row],[1]])),LEN(Tabela1[[#This Row],[1]])-LEN(SUBSTITUTE(Tabela1[[#This Row],[1]],",",""))+1,1),"")</f>
        <v/>
      </c>
      <c r="AA481" t="str">
        <f>IF(Tabela1[[#This Row],[2]]&lt;&gt;"",IF(ISNUMBER(FIND(",",Tabela1[[#This Row],[2]])),LEN(Tabela1[[#This Row],[2]])-LEN(SUBSTITUTE(Tabela1[[#This Row],[2]],",",""))+1,1),"")</f>
        <v/>
      </c>
      <c r="AB481" t="str">
        <f>IF(Tabela1[[#This Row],[3]]&lt;&gt;"",IF(ISNUMBER(FIND(",",Tabela1[[#This Row],[3]])),LEN(Tabela1[[#This Row],[3]])-LEN(SUBSTITUTE(Tabela1[[#This Row],[3]],",",""))+1,1),"")</f>
        <v/>
      </c>
      <c r="AC481" t="str">
        <f>IF(Tabela1[[#This Row],[4]]&lt;&gt;"",IF(ISNUMBER(FIND(",",Tabela1[[#This Row],[4]])),LEN(Tabela1[[#This Row],[4]])-LEN(SUBSTITUTE(Tabela1[[#This Row],[4]],",",""))+1,1),"")</f>
        <v/>
      </c>
      <c r="AD481" t="str">
        <f>IF(Tabela1[[#This Row],[5]]&lt;&gt;"",IF(ISNUMBER(FIND(",",Tabela1[[#This Row],[5]])),LEN(Tabela1[[#This Row],[5]])-LEN(SUBSTITUTE(Tabela1[[#This Row],[5]],",",""))+1,1),"")</f>
        <v/>
      </c>
      <c r="AE481" t="str">
        <f>IF(Tabela1[[#This Row],[6]]&lt;&gt;"",IF(ISNUMBER(FIND(",",Tabela1[[#This Row],[6]])),LEN(Tabela1[[#This Row],[6]])-LEN(SUBSTITUTE(Tabela1[[#This Row],[6]],",",""))+1,1),"")</f>
        <v/>
      </c>
      <c r="AF481">
        <f>IF(Tabela1[[#This Row],[7]]&lt;&gt;"",IF(ISNUMBER(FIND(",",Tabela1[[#This Row],[7]])),LEN(Tabela1[[#This Row],[7]])-LEN(SUBSTITUTE(Tabela1[[#This Row],[7]],",",""))+1,1),"")</f>
        <v>1</v>
      </c>
      <c r="AG481" t="str">
        <f>IF(Tabela1[[#This Row],[8]]&lt;&gt;"",IF(ISNUMBER(FIND(",",Tabela1[[#This Row],[8]])),LEN(Tabela1[[#This Row],[8]])-LEN(SUBSTITUTE(Tabela1[[#This Row],[8]],",",""))+1,1),"")</f>
        <v/>
      </c>
      <c r="AH481" t="str">
        <f>IF(Tabela1[[#This Row],[9]]&lt;&gt;"",IF(ISNUMBER(FIND(",",Tabela1[[#This Row],[9]])),LEN(Tabela1[[#This Row],[9]])-LEN(SUBSTITUTE(Tabela1[[#This Row],[9]],",",""))+1,1),"")</f>
        <v/>
      </c>
      <c r="AI481" t="str">
        <f>IF(Tabela1[[#This Row],[10]]&lt;&gt;"",IF(ISNUMBER(FIND(",",Tabela1[[#This Row],[10]])),LEN(Tabela1[[#This Row],[10]])-LEN(SUBSTITUTE(Tabela1[[#This Row],[10]],",",""))+1,1),"")</f>
        <v/>
      </c>
      <c r="AJ481" t="str">
        <f>IF(Tabela1[[#This Row],[11]]&lt;&gt;"",IF(ISNUMBER(FIND(",",Tabela1[[#This Row],[11]])),LEN(Tabela1[[#This Row],[11]])-LEN(SUBSTITUTE(Tabela1[[#This Row],[11]],",",""))+1,1),"")</f>
        <v/>
      </c>
      <c r="AK481" t="str">
        <f>IF(Tabela1[[#This Row],[12]]&lt;&gt;"",IF(ISNUMBER(FIND(",",Tabela1[[#This Row],[12]])),LEN(Tabela1[[#This Row],[12]])-LEN(SUBSTITUTE(Tabela1[[#This Row],[12]],",",""))+1,1),"")</f>
        <v/>
      </c>
      <c r="AL481" t="str">
        <f>IF(Tabela1[[#This Row],[13]]&lt;&gt;"",IF(ISNUMBER(FIND(",",Tabela1[[#This Row],[13]])),LEN(Tabela1[[#This Row],[13]])-LEN(SUBSTITUTE(Tabela1[[#This Row],[13]],",",""))+1,1),"")</f>
        <v/>
      </c>
      <c r="AM481" t="str">
        <f>IF(Tabela1[[#This Row],[14]]&lt;&gt;"",IF(ISNUMBER(FIND(",",Tabela1[[#This Row],[14]])),LEN(Tabela1[[#This Row],[14]])-LEN(SUBSTITUTE(Tabela1[[#This Row],[14]],",",""))+1,1),"")</f>
        <v/>
      </c>
      <c r="AN481" t="str">
        <f>IF(Tabela1[[#This Row],[15]]&lt;&gt;"",IF(ISNUMBER(FIND(",",Tabela1[[#This Row],[15]])),LEN(Tabela1[[#This Row],[15]])-LEN(SUBSTITUTE(Tabela1[[#This Row],[15]],",",""))+1,1),"")</f>
        <v/>
      </c>
      <c r="AO481" t="str">
        <f>IF(Tabela1[[#This Row],[16]]&lt;&gt;"",IF(ISNUMBER(FIND(",",Tabela1[[#This Row],[16]])),LEN(Tabela1[[#This Row],[16]])-LEN(SUBSTITUTE(Tabela1[[#This Row],[16]],",",""))+1,1),"")</f>
        <v/>
      </c>
      <c r="AP481" t="str">
        <f>IF(Tabela1[[#This Row],[17]]&lt;&gt;"",IF(ISNUMBER(FIND(",",Tabela1[[#This Row],[17]])),LEN(Tabela1[[#This Row],[17]])-LEN(SUBSTITUTE(Tabela1[[#This Row],[17]],",",""))+1,1),"")</f>
        <v/>
      </c>
      <c r="AQ481" t="str">
        <f>IF(Tabela1[[#This Row],[18]]&lt;&gt;"",IF(ISNUMBER(FIND(",",Tabela1[[#This Row],[18]])),LEN(Tabela1[[#This Row],[18]])-LEN(SUBSTITUTE(Tabela1[[#This Row],[18]],",",""))+1,1),"")</f>
        <v/>
      </c>
      <c r="AR481" s="13" t="str">
        <f>IF(Tabela1[[#This Row],[19_LENGTH]]&lt;&gt;"",IF(ISNUMBER(FIND(",",Tabela1[[#This Row],[19_LENGTH]])),LEN(Tabela1[[#This Row],[19_LENGTH]])-LEN(SUBSTITUTE(Tabela1[[#This Row],[19_LENGTH]],",",""))+1,1),"")</f>
        <v/>
      </c>
      <c r="AS481" s="21">
        <f>SUM(Tabela1[[#This Row],[1_]:[19_]])</f>
        <v>1</v>
      </c>
    </row>
    <row r="482" spans="1:45" x14ac:dyDescent="0.25">
      <c r="A482" s="27" t="s">
        <v>1328</v>
      </c>
      <c r="B482" s="19" t="s">
        <v>553</v>
      </c>
      <c r="C482" s="19">
        <v>102</v>
      </c>
      <c r="D482" s="19" t="s">
        <v>1308</v>
      </c>
      <c r="E482" s="20">
        <v>43536</v>
      </c>
      <c r="F482" s="19"/>
      <c r="G482" s="19">
        <v>32</v>
      </c>
      <c r="H482" s="19"/>
      <c r="I482" s="19"/>
      <c r="J482" s="19"/>
      <c r="K482" s="19"/>
      <c r="L482" s="19"/>
      <c r="M482" s="19"/>
      <c r="N482" s="19"/>
      <c r="O482" s="19"/>
      <c r="P482" s="19"/>
      <c r="Q482" s="19"/>
      <c r="R482" s="19"/>
      <c r="S482" s="19"/>
      <c r="T482" s="19"/>
      <c r="U482" s="19">
        <v>10</v>
      </c>
      <c r="V482" s="19"/>
      <c r="W482" s="19"/>
      <c r="X482" s="19"/>
      <c r="Y482" s="19"/>
      <c r="Z482" t="str">
        <f>IF(Tabela1[[#This Row],[1]]&lt;&gt;"",IF(ISNUMBER(FIND(",",Tabela1[[#This Row],[1]])),LEN(Tabela1[[#This Row],[1]])-LEN(SUBSTITUTE(Tabela1[[#This Row],[1]],",",""))+1,1),"")</f>
        <v/>
      </c>
      <c r="AA482">
        <f>IF(Tabela1[[#This Row],[2]]&lt;&gt;"",IF(ISNUMBER(FIND(",",Tabela1[[#This Row],[2]])),LEN(Tabela1[[#This Row],[2]])-LEN(SUBSTITUTE(Tabela1[[#This Row],[2]],",",""))+1,1),"")</f>
        <v>1</v>
      </c>
      <c r="AB482" t="str">
        <f>IF(Tabela1[[#This Row],[3]]&lt;&gt;"",IF(ISNUMBER(FIND(",",Tabela1[[#This Row],[3]])),LEN(Tabela1[[#This Row],[3]])-LEN(SUBSTITUTE(Tabela1[[#This Row],[3]],",",""))+1,1),"")</f>
        <v/>
      </c>
      <c r="AC482" t="str">
        <f>IF(Tabela1[[#This Row],[4]]&lt;&gt;"",IF(ISNUMBER(FIND(",",Tabela1[[#This Row],[4]])),LEN(Tabela1[[#This Row],[4]])-LEN(SUBSTITUTE(Tabela1[[#This Row],[4]],",",""))+1,1),"")</f>
        <v/>
      </c>
      <c r="AD482" t="str">
        <f>IF(Tabela1[[#This Row],[5]]&lt;&gt;"",IF(ISNUMBER(FIND(",",Tabela1[[#This Row],[5]])),LEN(Tabela1[[#This Row],[5]])-LEN(SUBSTITUTE(Tabela1[[#This Row],[5]],",",""))+1,1),"")</f>
        <v/>
      </c>
      <c r="AE482" t="str">
        <f>IF(Tabela1[[#This Row],[6]]&lt;&gt;"",IF(ISNUMBER(FIND(",",Tabela1[[#This Row],[6]])),LEN(Tabela1[[#This Row],[6]])-LEN(SUBSTITUTE(Tabela1[[#This Row],[6]],",",""))+1,1),"")</f>
        <v/>
      </c>
      <c r="AF482" t="str">
        <f>IF(Tabela1[[#This Row],[7]]&lt;&gt;"",IF(ISNUMBER(FIND(",",Tabela1[[#This Row],[7]])),LEN(Tabela1[[#This Row],[7]])-LEN(SUBSTITUTE(Tabela1[[#This Row],[7]],",",""))+1,1),"")</f>
        <v/>
      </c>
      <c r="AG482" t="str">
        <f>IF(Tabela1[[#This Row],[8]]&lt;&gt;"",IF(ISNUMBER(FIND(",",Tabela1[[#This Row],[8]])),LEN(Tabela1[[#This Row],[8]])-LEN(SUBSTITUTE(Tabela1[[#This Row],[8]],",",""))+1,1),"")</f>
        <v/>
      </c>
      <c r="AH482" t="str">
        <f>IF(Tabela1[[#This Row],[9]]&lt;&gt;"",IF(ISNUMBER(FIND(",",Tabela1[[#This Row],[9]])),LEN(Tabela1[[#This Row],[9]])-LEN(SUBSTITUTE(Tabela1[[#This Row],[9]],",",""))+1,1),"")</f>
        <v/>
      </c>
      <c r="AI482" t="str">
        <f>IF(Tabela1[[#This Row],[10]]&lt;&gt;"",IF(ISNUMBER(FIND(",",Tabela1[[#This Row],[10]])),LEN(Tabela1[[#This Row],[10]])-LEN(SUBSTITUTE(Tabela1[[#This Row],[10]],",",""))+1,1),"")</f>
        <v/>
      </c>
      <c r="AJ482" t="str">
        <f>IF(Tabela1[[#This Row],[11]]&lt;&gt;"",IF(ISNUMBER(FIND(",",Tabela1[[#This Row],[11]])),LEN(Tabela1[[#This Row],[11]])-LEN(SUBSTITUTE(Tabela1[[#This Row],[11]],",",""))+1,1),"")</f>
        <v/>
      </c>
      <c r="AK482" t="str">
        <f>IF(Tabela1[[#This Row],[12]]&lt;&gt;"",IF(ISNUMBER(FIND(",",Tabela1[[#This Row],[12]])),LEN(Tabela1[[#This Row],[12]])-LEN(SUBSTITUTE(Tabela1[[#This Row],[12]],",",""))+1,1),"")</f>
        <v/>
      </c>
      <c r="AL482" t="str">
        <f>IF(Tabela1[[#This Row],[13]]&lt;&gt;"",IF(ISNUMBER(FIND(",",Tabela1[[#This Row],[13]])),LEN(Tabela1[[#This Row],[13]])-LEN(SUBSTITUTE(Tabela1[[#This Row],[13]],",",""))+1,1),"")</f>
        <v/>
      </c>
      <c r="AM482" t="str">
        <f>IF(Tabela1[[#This Row],[14]]&lt;&gt;"",IF(ISNUMBER(FIND(",",Tabela1[[#This Row],[14]])),LEN(Tabela1[[#This Row],[14]])-LEN(SUBSTITUTE(Tabela1[[#This Row],[14]],",",""))+1,1),"")</f>
        <v/>
      </c>
      <c r="AN482" t="str">
        <f>IF(Tabela1[[#This Row],[15]]&lt;&gt;"",IF(ISNUMBER(FIND(",",Tabela1[[#This Row],[15]])),LEN(Tabela1[[#This Row],[15]])-LEN(SUBSTITUTE(Tabela1[[#This Row],[15]],",",""))+1,1),"")</f>
        <v/>
      </c>
      <c r="AO482">
        <f>IF(Tabela1[[#This Row],[16]]&lt;&gt;"",IF(ISNUMBER(FIND(",",Tabela1[[#This Row],[16]])),LEN(Tabela1[[#This Row],[16]])-LEN(SUBSTITUTE(Tabela1[[#This Row],[16]],",",""))+1,1),"")</f>
        <v>1</v>
      </c>
      <c r="AP482" t="str">
        <f>IF(Tabela1[[#This Row],[17]]&lt;&gt;"",IF(ISNUMBER(FIND(",",Tabela1[[#This Row],[17]])),LEN(Tabela1[[#This Row],[17]])-LEN(SUBSTITUTE(Tabela1[[#This Row],[17]],",",""))+1,1),"")</f>
        <v/>
      </c>
      <c r="AQ482" t="str">
        <f>IF(Tabela1[[#This Row],[18]]&lt;&gt;"",IF(ISNUMBER(FIND(",",Tabela1[[#This Row],[18]])),LEN(Tabela1[[#This Row],[18]])-LEN(SUBSTITUTE(Tabela1[[#This Row],[18]],",",""))+1,1),"")</f>
        <v/>
      </c>
      <c r="AR482" s="13" t="str">
        <f>IF(Tabela1[[#This Row],[19_LENGTH]]&lt;&gt;"",IF(ISNUMBER(FIND(",",Tabela1[[#This Row],[19_LENGTH]])),LEN(Tabela1[[#This Row],[19_LENGTH]])-LEN(SUBSTITUTE(Tabela1[[#This Row],[19_LENGTH]],",",""))+1,1),"")</f>
        <v/>
      </c>
      <c r="AS482" s="21">
        <f>SUM(Tabela1[[#This Row],[1_]:[19_]])</f>
        <v>2</v>
      </c>
    </row>
    <row r="483" spans="1:45" x14ac:dyDescent="0.25">
      <c r="A483" s="27" t="s">
        <v>1328</v>
      </c>
      <c r="B483" s="19" t="s">
        <v>554</v>
      </c>
      <c r="C483" s="19">
        <v>102</v>
      </c>
      <c r="D483" s="19" t="s">
        <v>1308</v>
      </c>
      <c r="E483" s="20">
        <v>43536</v>
      </c>
      <c r="F483" s="19"/>
      <c r="G483" s="19"/>
      <c r="H483" s="19"/>
      <c r="I483" s="19"/>
      <c r="J483" s="19"/>
      <c r="K483" s="19"/>
      <c r="L483" s="19"/>
      <c r="M483" s="19"/>
      <c r="N483" s="19"/>
      <c r="O483" s="19"/>
      <c r="P483" s="19"/>
      <c r="Q483" s="19"/>
      <c r="R483" s="19"/>
      <c r="S483" s="19"/>
      <c r="T483" s="19"/>
      <c r="U483" s="19">
        <v>76</v>
      </c>
      <c r="V483" s="19"/>
      <c r="W483" s="19"/>
      <c r="X483" s="19"/>
      <c r="Y483" s="19"/>
      <c r="Z483" t="str">
        <f>IF(Tabela1[[#This Row],[1]]&lt;&gt;"",IF(ISNUMBER(FIND(",",Tabela1[[#This Row],[1]])),LEN(Tabela1[[#This Row],[1]])-LEN(SUBSTITUTE(Tabela1[[#This Row],[1]],",",""))+1,1),"")</f>
        <v/>
      </c>
      <c r="AA483" t="str">
        <f>IF(Tabela1[[#This Row],[2]]&lt;&gt;"",IF(ISNUMBER(FIND(",",Tabela1[[#This Row],[2]])),LEN(Tabela1[[#This Row],[2]])-LEN(SUBSTITUTE(Tabela1[[#This Row],[2]],",",""))+1,1),"")</f>
        <v/>
      </c>
      <c r="AB483" t="str">
        <f>IF(Tabela1[[#This Row],[3]]&lt;&gt;"",IF(ISNUMBER(FIND(",",Tabela1[[#This Row],[3]])),LEN(Tabela1[[#This Row],[3]])-LEN(SUBSTITUTE(Tabela1[[#This Row],[3]],",",""))+1,1),"")</f>
        <v/>
      </c>
      <c r="AC483" t="str">
        <f>IF(Tabela1[[#This Row],[4]]&lt;&gt;"",IF(ISNUMBER(FIND(",",Tabela1[[#This Row],[4]])),LEN(Tabela1[[#This Row],[4]])-LEN(SUBSTITUTE(Tabela1[[#This Row],[4]],",",""))+1,1),"")</f>
        <v/>
      </c>
      <c r="AD483" t="str">
        <f>IF(Tabela1[[#This Row],[5]]&lt;&gt;"",IF(ISNUMBER(FIND(",",Tabela1[[#This Row],[5]])),LEN(Tabela1[[#This Row],[5]])-LEN(SUBSTITUTE(Tabela1[[#This Row],[5]],",",""))+1,1),"")</f>
        <v/>
      </c>
      <c r="AE483" t="str">
        <f>IF(Tabela1[[#This Row],[6]]&lt;&gt;"",IF(ISNUMBER(FIND(",",Tabela1[[#This Row],[6]])),LEN(Tabela1[[#This Row],[6]])-LEN(SUBSTITUTE(Tabela1[[#This Row],[6]],",",""))+1,1),"")</f>
        <v/>
      </c>
      <c r="AF483" t="str">
        <f>IF(Tabela1[[#This Row],[7]]&lt;&gt;"",IF(ISNUMBER(FIND(",",Tabela1[[#This Row],[7]])),LEN(Tabela1[[#This Row],[7]])-LEN(SUBSTITUTE(Tabela1[[#This Row],[7]],",",""))+1,1),"")</f>
        <v/>
      </c>
      <c r="AG483" t="str">
        <f>IF(Tabela1[[#This Row],[8]]&lt;&gt;"",IF(ISNUMBER(FIND(",",Tabela1[[#This Row],[8]])),LEN(Tabela1[[#This Row],[8]])-LEN(SUBSTITUTE(Tabela1[[#This Row],[8]],",",""))+1,1),"")</f>
        <v/>
      </c>
      <c r="AH483" t="str">
        <f>IF(Tabela1[[#This Row],[9]]&lt;&gt;"",IF(ISNUMBER(FIND(",",Tabela1[[#This Row],[9]])),LEN(Tabela1[[#This Row],[9]])-LEN(SUBSTITUTE(Tabela1[[#This Row],[9]],",",""))+1,1),"")</f>
        <v/>
      </c>
      <c r="AI483" t="str">
        <f>IF(Tabela1[[#This Row],[10]]&lt;&gt;"",IF(ISNUMBER(FIND(",",Tabela1[[#This Row],[10]])),LEN(Tabela1[[#This Row],[10]])-LEN(SUBSTITUTE(Tabela1[[#This Row],[10]],",",""))+1,1),"")</f>
        <v/>
      </c>
      <c r="AJ483" t="str">
        <f>IF(Tabela1[[#This Row],[11]]&lt;&gt;"",IF(ISNUMBER(FIND(",",Tabela1[[#This Row],[11]])),LEN(Tabela1[[#This Row],[11]])-LEN(SUBSTITUTE(Tabela1[[#This Row],[11]],",",""))+1,1),"")</f>
        <v/>
      </c>
      <c r="AK483" t="str">
        <f>IF(Tabela1[[#This Row],[12]]&lt;&gt;"",IF(ISNUMBER(FIND(",",Tabela1[[#This Row],[12]])),LEN(Tabela1[[#This Row],[12]])-LEN(SUBSTITUTE(Tabela1[[#This Row],[12]],",",""))+1,1),"")</f>
        <v/>
      </c>
      <c r="AL483" t="str">
        <f>IF(Tabela1[[#This Row],[13]]&lt;&gt;"",IF(ISNUMBER(FIND(",",Tabela1[[#This Row],[13]])),LEN(Tabela1[[#This Row],[13]])-LEN(SUBSTITUTE(Tabela1[[#This Row],[13]],",",""))+1,1),"")</f>
        <v/>
      </c>
      <c r="AM483" t="str">
        <f>IF(Tabela1[[#This Row],[14]]&lt;&gt;"",IF(ISNUMBER(FIND(",",Tabela1[[#This Row],[14]])),LEN(Tabela1[[#This Row],[14]])-LEN(SUBSTITUTE(Tabela1[[#This Row],[14]],",",""))+1,1),"")</f>
        <v/>
      </c>
      <c r="AN483" t="str">
        <f>IF(Tabela1[[#This Row],[15]]&lt;&gt;"",IF(ISNUMBER(FIND(",",Tabela1[[#This Row],[15]])),LEN(Tabela1[[#This Row],[15]])-LEN(SUBSTITUTE(Tabela1[[#This Row],[15]],",",""))+1,1),"")</f>
        <v/>
      </c>
      <c r="AO483">
        <f>IF(Tabela1[[#This Row],[16]]&lt;&gt;"",IF(ISNUMBER(FIND(",",Tabela1[[#This Row],[16]])),LEN(Tabela1[[#This Row],[16]])-LEN(SUBSTITUTE(Tabela1[[#This Row],[16]],",",""))+1,1),"")</f>
        <v>1</v>
      </c>
      <c r="AP483" t="str">
        <f>IF(Tabela1[[#This Row],[17]]&lt;&gt;"",IF(ISNUMBER(FIND(",",Tabela1[[#This Row],[17]])),LEN(Tabela1[[#This Row],[17]])-LEN(SUBSTITUTE(Tabela1[[#This Row],[17]],",",""))+1,1),"")</f>
        <v/>
      </c>
      <c r="AQ483" t="str">
        <f>IF(Tabela1[[#This Row],[18]]&lt;&gt;"",IF(ISNUMBER(FIND(",",Tabela1[[#This Row],[18]])),LEN(Tabela1[[#This Row],[18]])-LEN(SUBSTITUTE(Tabela1[[#This Row],[18]],",",""))+1,1),"")</f>
        <v/>
      </c>
      <c r="AR483" s="13" t="str">
        <f>IF(Tabela1[[#This Row],[19_LENGTH]]&lt;&gt;"",IF(ISNUMBER(FIND(",",Tabela1[[#This Row],[19_LENGTH]])),LEN(Tabela1[[#This Row],[19_LENGTH]])-LEN(SUBSTITUTE(Tabela1[[#This Row],[19_LENGTH]],",",""))+1,1),"")</f>
        <v/>
      </c>
      <c r="AS483" s="21">
        <f>SUM(Tabela1[[#This Row],[1_]:[19_]])</f>
        <v>1</v>
      </c>
    </row>
    <row r="484" spans="1:45" x14ac:dyDescent="0.25">
      <c r="A484" s="27" t="s">
        <v>1328</v>
      </c>
      <c r="B484" s="19" t="s">
        <v>555</v>
      </c>
      <c r="C484" s="19">
        <v>102</v>
      </c>
      <c r="D484" s="19" t="s">
        <v>1308</v>
      </c>
      <c r="E484" s="20">
        <v>43536</v>
      </c>
      <c r="F484" s="19"/>
      <c r="G484" s="19">
        <v>8</v>
      </c>
      <c r="H484" s="19"/>
      <c r="I484" s="19"/>
      <c r="J484" s="19"/>
      <c r="K484" s="19"/>
      <c r="L484" s="19"/>
      <c r="M484" s="19"/>
      <c r="N484" s="19"/>
      <c r="O484" s="19"/>
      <c r="P484" s="19"/>
      <c r="Q484" s="19"/>
      <c r="R484" s="19"/>
      <c r="S484" s="19"/>
      <c r="T484" s="19"/>
      <c r="U484" s="19"/>
      <c r="V484" s="19"/>
      <c r="W484" s="19"/>
      <c r="X484" s="19"/>
      <c r="Y484" s="19"/>
      <c r="Z484" t="str">
        <f>IF(Tabela1[[#This Row],[1]]&lt;&gt;"",IF(ISNUMBER(FIND(",",Tabela1[[#This Row],[1]])),LEN(Tabela1[[#This Row],[1]])-LEN(SUBSTITUTE(Tabela1[[#This Row],[1]],",",""))+1,1),"")</f>
        <v/>
      </c>
      <c r="AA484">
        <f>IF(Tabela1[[#This Row],[2]]&lt;&gt;"",IF(ISNUMBER(FIND(",",Tabela1[[#This Row],[2]])),LEN(Tabela1[[#This Row],[2]])-LEN(SUBSTITUTE(Tabela1[[#This Row],[2]],",",""))+1,1),"")</f>
        <v>1</v>
      </c>
      <c r="AB484" t="str">
        <f>IF(Tabela1[[#This Row],[3]]&lt;&gt;"",IF(ISNUMBER(FIND(",",Tabela1[[#This Row],[3]])),LEN(Tabela1[[#This Row],[3]])-LEN(SUBSTITUTE(Tabela1[[#This Row],[3]],",",""))+1,1),"")</f>
        <v/>
      </c>
      <c r="AC484" t="str">
        <f>IF(Tabela1[[#This Row],[4]]&lt;&gt;"",IF(ISNUMBER(FIND(",",Tabela1[[#This Row],[4]])),LEN(Tabela1[[#This Row],[4]])-LEN(SUBSTITUTE(Tabela1[[#This Row],[4]],",",""))+1,1),"")</f>
        <v/>
      </c>
      <c r="AD484" t="str">
        <f>IF(Tabela1[[#This Row],[5]]&lt;&gt;"",IF(ISNUMBER(FIND(",",Tabela1[[#This Row],[5]])),LEN(Tabela1[[#This Row],[5]])-LEN(SUBSTITUTE(Tabela1[[#This Row],[5]],",",""))+1,1),"")</f>
        <v/>
      </c>
      <c r="AE484" t="str">
        <f>IF(Tabela1[[#This Row],[6]]&lt;&gt;"",IF(ISNUMBER(FIND(",",Tabela1[[#This Row],[6]])),LEN(Tabela1[[#This Row],[6]])-LEN(SUBSTITUTE(Tabela1[[#This Row],[6]],",",""))+1,1),"")</f>
        <v/>
      </c>
      <c r="AF484" t="str">
        <f>IF(Tabela1[[#This Row],[7]]&lt;&gt;"",IF(ISNUMBER(FIND(",",Tabela1[[#This Row],[7]])),LEN(Tabela1[[#This Row],[7]])-LEN(SUBSTITUTE(Tabela1[[#This Row],[7]],",",""))+1,1),"")</f>
        <v/>
      </c>
      <c r="AG484" t="str">
        <f>IF(Tabela1[[#This Row],[8]]&lt;&gt;"",IF(ISNUMBER(FIND(",",Tabela1[[#This Row],[8]])),LEN(Tabela1[[#This Row],[8]])-LEN(SUBSTITUTE(Tabela1[[#This Row],[8]],",",""))+1,1),"")</f>
        <v/>
      </c>
      <c r="AH484" t="str">
        <f>IF(Tabela1[[#This Row],[9]]&lt;&gt;"",IF(ISNUMBER(FIND(",",Tabela1[[#This Row],[9]])),LEN(Tabela1[[#This Row],[9]])-LEN(SUBSTITUTE(Tabela1[[#This Row],[9]],",",""))+1,1),"")</f>
        <v/>
      </c>
      <c r="AI484" t="str">
        <f>IF(Tabela1[[#This Row],[10]]&lt;&gt;"",IF(ISNUMBER(FIND(",",Tabela1[[#This Row],[10]])),LEN(Tabela1[[#This Row],[10]])-LEN(SUBSTITUTE(Tabela1[[#This Row],[10]],",",""))+1,1),"")</f>
        <v/>
      </c>
      <c r="AJ484" t="str">
        <f>IF(Tabela1[[#This Row],[11]]&lt;&gt;"",IF(ISNUMBER(FIND(",",Tabela1[[#This Row],[11]])),LEN(Tabela1[[#This Row],[11]])-LEN(SUBSTITUTE(Tabela1[[#This Row],[11]],",",""))+1,1),"")</f>
        <v/>
      </c>
      <c r="AK484" t="str">
        <f>IF(Tabela1[[#This Row],[12]]&lt;&gt;"",IF(ISNUMBER(FIND(",",Tabela1[[#This Row],[12]])),LEN(Tabela1[[#This Row],[12]])-LEN(SUBSTITUTE(Tabela1[[#This Row],[12]],",",""))+1,1),"")</f>
        <v/>
      </c>
      <c r="AL484" t="str">
        <f>IF(Tabela1[[#This Row],[13]]&lt;&gt;"",IF(ISNUMBER(FIND(",",Tabela1[[#This Row],[13]])),LEN(Tabela1[[#This Row],[13]])-LEN(SUBSTITUTE(Tabela1[[#This Row],[13]],",",""))+1,1),"")</f>
        <v/>
      </c>
      <c r="AM484" t="str">
        <f>IF(Tabela1[[#This Row],[14]]&lt;&gt;"",IF(ISNUMBER(FIND(",",Tabela1[[#This Row],[14]])),LEN(Tabela1[[#This Row],[14]])-LEN(SUBSTITUTE(Tabela1[[#This Row],[14]],",",""))+1,1),"")</f>
        <v/>
      </c>
      <c r="AN484" t="str">
        <f>IF(Tabela1[[#This Row],[15]]&lt;&gt;"",IF(ISNUMBER(FIND(",",Tabela1[[#This Row],[15]])),LEN(Tabela1[[#This Row],[15]])-LEN(SUBSTITUTE(Tabela1[[#This Row],[15]],",",""))+1,1),"")</f>
        <v/>
      </c>
      <c r="AO484" t="str">
        <f>IF(Tabela1[[#This Row],[16]]&lt;&gt;"",IF(ISNUMBER(FIND(",",Tabela1[[#This Row],[16]])),LEN(Tabela1[[#This Row],[16]])-LEN(SUBSTITUTE(Tabela1[[#This Row],[16]],",",""))+1,1),"")</f>
        <v/>
      </c>
      <c r="AP484" t="str">
        <f>IF(Tabela1[[#This Row],[17]]&lt;&gt;"",IF(ISNUMBER(FIND(",",Tabela1[[#This Row],[17]])),LEN(Tabela1[[#This Row],[17]])-LEN(SUBSTITUTE(Tabela1[[#This Row],[17]],",",""))+1,1),"")</f>
        <v/>
      </c>
      <c r="AQ484" t="str">
        <f>IF(Tabela1[[#This Row],[18]]&lt;&gt;"",IF(ISNUMBER(FIND(",",Tabela1[[#This Row],[18]])),LEN(Tabela1[[#This Row],[18]])-LEN(SUBSTITUTE(Tabela1[[#This Row],[18]],",",""))+1,1),"")</f>
        <v/>
      </c>
      <c r="AR484" s="13" t="str">
        <f>IF(Tabela1[[#This Row],[19_LENGTH]]&lt;&gt;"",IF(ISNUMBER(FIND(",",Tabela1[[#This Row],[19_LENGTH]])),LEN(Tabela1[[#This Row],[19_LENGTH]])-LEN(SUBSTITUTE(Tabela1[[#This Row],[19_LENGTH]],",",""))+1,1),"")</f>
        <v/>
      </c>
      <c r="AS484" s="21">
        <f>SUM(Tabela1[[#This Row],[1_]:[19_]])</f>
        <v>1</v>
      </c>
    </row>
    <row r="485" spans="1:45" x14ac:dyDescent="0.25">
      <c r="A485" s="27" t="s">
        <v>1328</v>
      </c>
      <c r="B485" s="19" t="s">
        <v>556</v>
      </c>
      <c r="C485" s="19">
        <v>102</v>
      </c>
      <c r="D485" s="19" t="s">
        <v>1308</v>
      </c>
      <c r="E485" s="20">
        <v>43536</v>
      </c>
      <c r="F485" s="19"/>
      <c r="G485" s="19"/>
      <c r="H485" s="19"/>
      <c r="I485" s="19" t="s">
        <v>197</v>
      </c>
      <c r="J485" s="19"/>
      <c r="K485" s="19"/>
      <c r="L485" s="19"/>
      <c r="M485" s="19"/>
      <c r="N485" s="19"/>
      <c r="O485" s="19"/>
      <c r="P485" s="19"/>
      <c r="Q485" s="19"/>
      <c r="R485" s="19"/>
      <c r="S485" s="19"/>
      <c r="T485" s="19"/>
      <c r="U485" s="19"/>
      <c r="V485" s="19"/>
      <c r="W485" s="19"/>
      <c r="X485" s="19"/>
      <c r="Y485" s="19"/>
      <c r="Z485" t="str">
        <f>IF(Tabela1[[#This Row],[1]]&lt;&gt;"",IF(ISNUMBER(FIND(",",Tabela1[[#This Row],[1]])),LEN(Tabela1[[#This Row],[1]])-LEN(SUBSTITUTE(Tabela1[[#This Row],[1]],",",""))+1,1),"")</f>
        <v/>
      </c>
      <c r="AA485" t="str">
        <f>IF(Tabela1[[#This Row],[2]]&lt;&gt;"",IF(ISNUMBER(FIND(",",Tabela1[[#This Row],[2]])),LEN(Tabela1[[#This Row],[2]])-LEN(SUBSTITUTE(Tabela1[[#This Row],[2]],",",""))+1,1),"")</f>
        <v/>
      </c>
      <c r="AB485" t="str">
        <f>IF(Tabela1[[#This Row],[3]]&lt;&gt;"",IF(ISNUMBER(FIND(",",Tabela1[[#This Row],[3]])),LEN(Tabela1[[#This Row],[3]])-LEN(SUBSTITUTE(Tabela1[[#This Row],[3]],",",""))+1,1),"")</f>
        <v/>
      </c>
      <c r="AC485">
        <f>IF(Tabela1[[#This Row],[4]]&lt;&gt;"",IF(ISNUMBER(FIND(",",Tabela1[[#This Row],[4]])),LEN(Tabela1[[#This Row],[4]])-LEN(SUBSTITUTE(Tabela1[[#This Row],[4]],",",""))+1,1),"")</f>
        <v>2</v>
      </c>
      <c r="AD485" t="str">
        <f>IF(Tabela1[[#This Row],[5]]&lt;&gt;"",IF(ISNUMBER(FIND(",",Tabela1[[#This Row],[5]])),LEN(Tabela1[[#This Row],[5]])-LEN(SUBSTITUTE(Tabela1[[#This Row],[5]],",",""))+1,1),"")</f>
        <v/>
      </c>
      <c r="AE485" t="str">
        <f>IF(Tabela1[[#This Row],[6]]&lt;&gt;"",IF(ISNUMBER(FIND(",",Tabela1[[#This Row],[6]])),LEN(Tabela1[[#This Row],[6]])-LEN(SUBSTITUTE(Tabela1[[#This Row],[6]],",",""))+1,1),"")</f>
        <v/>
      </c>
      <c r="AF485" t="str">
        <f>IF(Tabela1[[#This Row],[7]]&lt;&gt;"",IF(ISNUMBER(FIND(",",Tabela1[[#This Row],[7]])),LEN(Tabela1[[#This Row],[7]])-LEN(SUBSTITUTE(Tabela1[[#This Row],[7]],",",""))+1,1),"")</f>
        <v/>
      </c>
      <c r="AG485" t="str">
        <f>IF(Tabela1[[#This Row],[8]]&lt;&gt;"",IF(ISNUMBER(FIND(",",Tabela1[[#This Row],[8]])),LEN(Tabela1[[#This Row],[8]])-LEN(SUBSTITUTE(Tabela1[[#This Row],[8]],",",""))+1,1),"")</f>
        <v/>
      </c>
      <c r="AH485" t="str">
        <f>IF(Tabela1[[#This Row],[9]]&lt;&gt;"",IF(ISNUMBER(FIND(",",Tabela1[[#This Row],[9]])),LEN(Tabela1[[#This Row],[9]])-LEN(SUBSTITUTE(Tabela1[[#This Row],[9]],",",""))+1,1),"")</f>
        <v/>
      </c>
      <c r="AI485" t="str">
        <f>IF(Tabela1[[#This Row],[10]]&lt;&gt;"",IF(ISNUMBER(FIND(",",Tabela1[[#This Row],[10]])),LEN(Tabela1[[#This Row],[10]])-LEN(SUBSTITUTE(Tabela1[[#This Row],[10]],",",""))+1,1),"")</f>
        <v/>
      </c>
      <c r="AJ485" t="str">
        <f>IF(Tabela1[[#This Row],[11]]&lt;&gt;"",IF(ISNUMBER(FIND(",",Tabela1[[#This Row],[11]])),LEN(Tabela1[[#This Row],[11]])-LEN(SUBSTITUTE(Tabela1[[#This Row],[11]],",",""))+1,1),"")</f>
        <v/>
      </c>
      <c r="AK485" t="str">
        <f>IF(Tabela1[[#This Row],[12]]&lt;&gt;"",IF(ISNUMBER(FIND(",",Tabela1[[#This Row],[12]])),LEN(Tabela1[[#This Row],[12]])-LEN(SUBSTITUTE(Tabela1[[#This Row],[12]],",",""))+1,1),"")</f>
        <v/>
      </c>
      <c r="AL485" t="str">
        <f>IF(Tabela1[[#This Row],[13]]&lt;&gt;"",IF(ISNUMBER(FIND(",",Tabela1[[#This Row],[13]])),LEN(Tabela1[[#This Row],[13]])-LEN(SUBSTITUTE(Tabela1[[#This Row],[13]],",",""))+1,1),"")</f>
        <v/>
      </c>
      <c r="AM485" t="str">
        <f>IF(Tabela1[[#This Row],[14]]&lt;&gt;"",IF(ISNUMBER(FIND(",",Tabela1[[#This Row],[14]])),LEN(Tabela1[[#This Row],[14]])-LEN(SUBSTITUTE(Tabela1[[#This Row],[14]],",",""))+1,1),"")</f>
        <v/>
      </c>
      <c r="AN485" t="str">
        <f>IF(Tabela1[[#This Row],[15]]&lt;&gt;"",IF(ISNUMBER(FIND(",",Tabela1[[#This Row],[15]])),LEN(Tabela1[[#This Row],[15]])-LEN(SUBSTITUTE(Tabela1[[#This Row],[15]],",",""))+1,1),"")</f>
        <v/>
      </c>
      <c r="AO485" t="str">
        <f>IF(Tabela1[[#This Row],[16]]&lt;&gt;"",IF(ISNUMBER(FIND(",",Tabela1[[#This Row],[16]])),LEN(Tabela1[[#This Row],[16]])-LEN(SUBSTITUTE(Tabela1[[#This Row],[16]],",",""))+1,1),"")</f>
        <v/>
      </c>
      <c r="AP485" t="str">
        <f>IF(Tabela1[[#This Row],[17]]&lt;&gt;"",IF(ISNUMBER(FIND(",",Tabela1[[#This Row],[17]])),LEN(Tabela1[[#This Row],[17]])-LEN(SUBSTITUTE(Tabela1[[#This Row],[17]],",",""))+1,1),"")</f>
        <v/>
      </c>
      <c r="AQ485" t="str">
        <f>IF(Tabela1[[#This Row],[18]]&lt;&gt;"",IF(ISNUMBER(FIND(",",Tabela1[[#This Row],[18]])),LEN(Tabela1[[#This Row],[18]])-LEN(SUBSTITUTE(Tabela1[[#This Row],[18]],",",""))+1,1),"")</f>
        <v/>
      </c>
      <c r="AR485" s="13" t="str">
        <f>IF(Tabela1[[#This Row],[19_LENGTH]]&lt;&gt;"",IF(ISNUMBER(FIND(",",Tabela1[[#This Row],[19_LENGTH]])),LEN(Tabela1[[#This Row],[19_LENGTH]])-LEN(SUBSTITUTE(Tabela1[[#This Row],[19_LENGTH]],",",""))+1,1),"")</f>
        <v/>
      </c>
      <c r="AS485" s="21">
        <f>SUM(Tabela1[[#This Row],[1_]:[19_]])</f>
        <v>2</v>
      </c>
    </row>
    <row r="486" spans="1:45" x14ac:dyDescent="0.25">
      <c r="A486" s="27" t="s">
        <v>1329</v>
      </c>
      <c r="B486" s="19" t="s">
        <v>557</v>
      </c>
      <c r="C486" s="19">
        <v>130</v>
      </c>
      <c r="D486" s="19" t="s">
        <v>1307</v>
      </c>
      <c r="E486" s="20">
        <v>43536</v>
      </c>
      <c r="F486" s="19"/>
      <c r="G486" s="19"/>
      <c r="H486" s="19"/>
      <c r="I486" s="19">
        <v>37</v>
      </c>
      <c r="J486" s="19"/>
      <c r="K486" s="19"/>
      <c r="L486" s="19"/>
      <c r="M486" s="19">
        <v>32</v>
      </c>
      <c r="N486" s="19"/>
      <c r="O486" s="19"/>
      <c r="P486" s="19"/>
      <c r="Q486" s="19"/>
      <c r="R486" s="19"/>
      <c r="S486" s="19"/>
      <c r="T486" s="19"/>
      <c r="U486" s="19">
        <v>94</v>
      </c>
      <c r="V486" s="19">
        <v>66</v>
      </c>
      <c r="W486" s="19"/>
      <c r="X486" s="19"/>
      <c r="Y486" s="19"/>
      <c r="Z486" t="str">
        <f>IF(Tabela1[[#This Row],[1]]&lt;&gt;"",IF(ISNUMBER(FIND(",",Tabela1[[#This Row],[1]])),LEN(Tabela1[[#This Row],[1]])-LEN(SUBSTITUTE(Tabela1[[#This Row],[1]],",",""))+1,1),"")</f>
        <v/>
      </c>
      <c r="AA486" t="str">
        <f>IF(Tabela1[[#This Row],[2]]&lt;&gt;"",IF(ISNUMBER(FIND(",",Tabela1[[#This Row],[2]])),LEN(Tabela1[[#This Row],[2]])-LEN(SUBSTITUTE(Tabela1[[#This Row],[2]],",",""))+1,1),"")</f>
        <v/>
      </c>
      <c r="AB486" t="str">
        <f>IF(Tabela1[[#This Row],[3]]&lt;&gt;"",IF(ISNUMBER(FIND(",",Tabela1[[#This Row],[3]])),LEN(Tabela1[[#This Row],[3]])-LEN(SUBSTITUTE(Tabela1[[#This Row],[3]],",",""))+1,1),"")</f>
        <v/>
      </c>
      <c r="AC486">
        <f>IF(Tabela1[[#This Row],[4]]&lt;&gt;"",IF(ISNUMBER(FIND(",",Tabela1[[#This Row],[4]])),LEN(Tabela1[[#This Row],[4]])-LEN(SUBSTITUTE(Tabela1[[#This Row],[4]],",",""))+1,1),"")</f>
        <v>1</v>
      </c>
      <c r="AD486" t="str">
        <f>IF(Tabela1[[#This Row],[5]]&lt;&gt;"",IF(ISNUMBER(FIND(",",Tabela1[[#This Row],[5]])),LEN(Tabela1[[#This Row],[5]])-LEN(SUBSTITUTE(Tabela1[[#This Row],[5]],",",""))+1,1),"")</f>
        <v/>
      </c>
      <c r="AE486" t="str">
        <f>IF(Tabela1[[#This Row],[6]]&lt;&gt;"",IF(ISNUMBER(FIND(",",Tabela1[[#This Row],[6]])),LEN(Tabela1[[#This Row],[6]])-LEN(SUBSTITUTE(Tabela1[[#This Row],[6]],",",""))+1,1),"")</f>
        <v/>
      </c>
      <c r="AF486" t="str">
        <f>IF(Tabela1[[#This Row],[7]]&lt;&gt;"",IF(ISNUMBER(FIND(",",Tabela1[[#This Row],[7]])),LEN(Tabela1[[#This Row],[7]])-LEN(SUBSTITUTE(Tabela1[[#This Row],[7]],",",""))+1,1),"")</f>
        <v/>
      </c>
      <c r="AG486">
        <f>IF(Tabela1[[#This Row],[8]]&lt;&gt;"",IF(ISNUMBER(FIND(",",Tabela1[[#This Row],[8]])),LEN(Tabela1[[#This Row],[8]])-LEN(SUBSTITUTE(Tabela1[[#This Row],[8]],",",""))+1,1),"")</f>
        <v>1</v>
      </c>
      <c r="AH486" t="str">
        <f>IF(Tabela1[[#This Row],[9]]&lt;&gt;"",IF(ISNUMBER(FIND(",",Tabela1[[#This Row],[9]])),LEN(Tabela1[[#This Row],[9]])-LEN(SUBSTITUTE(Tabela1[[#This Row],[9]],",",""))+1,1),"")</f>
        <v/>
      </c>
      <c r="AI486" t="str">
        <f>IF(Tabela1[[#This Row],[10]]&lt;&gt;"",IF(ISNUMBER(FIND(",",Tabela1[[#This Row],[10]])),LEN(Tabela1[[#This Row],[10]])-LEN(SUBSTITUTE(Tabela1[[#This Row],[10]],",",""))+1,1),"")</f>
        <v/>
      </c>
      <c r="AJ486" t="str">
        <f>IF(Tabela1[[#This Row],[11]]&lt;&gt;"",IF(ISNUMBER(FIND(",",Tabela1[[#This Row],[11]])),LEN(Tabela1[[#This Row],[11]])-LEN(SUBSTITUTE(Tabela1[[#This Row],[11]],",",""))+1,1),"")</f>
        <v/>
      </c>
      <c r="AK486" t="str">
        <f>IF(Tabela1[[#This Row],[12]]&lt;&gt;"",IF(ISNUMBER(FIND(",",Tabela1[[#This Row],[12]])),LEN(Tabela1[[#This Row],[12]])-LEN(SUBSTITUTE(Tabela1[[#This Row],[12]],",",""))+1,1),"")</f>
        <v/>
      </c>
      <c r="AL486" t="str">
        <f>IF(Tabela1[[#This Row],[13]]&lt;&gt;"",IF(ISNUMBER(FIND(",",Tabela1[[#This Row],[13]])),LEN(Tabela1[[#This Row],[13]])-LEN(SUBSTITUTE(Tabela1[[#This Row],[13]],",",""))+1,1),"")</f>
        <v/>
      </c>
      <c r="AM486" t="str">
        <f>IF(Tabela1[[#This Row],[14]]&lt;&gt;"",IF(ISNUMBER(FIND(",",Tabela1[[#This Row],[14]])),LEN(Tabela1[[#This Row],[14]])-LEN(SUBSTITUTE(Tabela1[[#This Row],[14]],",",""))+1,1),"")</f>
        <v/>
      </c>
      <c r="AN486" t="str">
        <f>IF(Tabela1[[#This Row],[15]]&lt;&gt;"",IF(ISNUMBER(FIND(",",Tabela1[[#This Row],[15]])),LEN(Tabela1[[#This Row],[15]])-LEN(SUBSTITUTE(Tabela1[[#This Row],[15]],",",""))+1,1),"")</f>
        <v/>
      </c>
      <c r="AO486">
        <f>IF(Tabela1[[#This Row],[16]]&lt;&gt;"",IF(ISNUMBER(FIND(",",Tabela1[[#This Row],[16]])),LEN(Tabela1[[#This Row],[16]])-LEN(SUBSTITUTE(Tabela1[[#This Row],[16]],",",""))+1,1),"")</f>
        <v>1</v>
      </c>
      <c r="AP486">
        <f>IF(Tabela1[[#This Row],[17]]&lt;&gt;"",IF(ISNUMBER(FIND(",",Tabela1[[#This Row],[17]])),LEN(Tabela1[[#This Row],[17]])-LEN(SUBSTITUTE(Tabela1[[#This Row],[17]],",",""))+1,1),"")</f>
        <v>1</v>
      </c>
      <c r="AQ486" t="str">
        <f>IF(Tabela1[[#This Row],[18]]&lt;&gt;"",IF(ISNUMBER(FIND(",",Tabela1[[#This Row],[18]])),LEN(Tabela1[[#This Row],[18]])-LEN(SUBSTITUTE(Tabela1[[#This Row],[18]],",",""))+1,1),"")</f>
        <v/>
      </c>
      <c r="AR486" s="13" t="str">
        <f>IF(Tabela1[[#This Row],[19_LENGTH]]&lt;&gt;"",IF(ISNUMBER(FIND(",",Tabela1[[#This Row],[19_LENGTH]])),LEN(Tabela1[[#This Row],[19_LENGTH]])-LEN(SUBSTITUTE(Tabela1[[#This Row],[19_LENGTH]],",",""))+1,1),"")</f>
        <v/>
      </c>
      <c r="AS486" s="21">
        <f>SUM(Tabela1[[#This Row],[1_]:[19_]])</f>
        <v>4</v>
      </c>
    </row>
    <row r="487" spans="1:45" x14ac:dyDescent="0.25">
      <c r="A487" s="27" t="s">
        <v>1329</v>
      </c>
      <c r="B487" s="19" t="s">
        <v>558</v>
      </c>
      <c r="C487" s="19">
        <v>102</v>
      </c>
      <c r="D487" s="19" t="s">
        <v>1307</v>
      </c>
      <c r="E487" s="20">
        <v>43536</v>
      </c>
      <c r="F487" s="19"/>
      <c r="G487" s="19"/>
      <c r="H487" s="19"/>
      <c r="I487" s="19"/>
      <c r="J487" s="19"/>
      <c r="K487" s="19"/>
      <c r="L487" s="19"/>
      <c r="M487" s="19"/>
      <c r="N487" s="19"/>
      <c r="O487" s="19"/>
      <c r="P487" s="19"/>
      <c r="Q487" s="19"/>
      <c r="R487" s="19"/>
      <c r="S487" s="19"/>
      <c r="T487" s="19"/>
      <c r="U487" s="19"/>
      <c r="V487" s="19" t="s">
        <v>198</v>
      </c>
      <c r="W487" s="19"/>
      <c r="X487" s="19"/>
      <c r="Y487" s="19"/>
      <c r="Z487" t="str">
        <f>IF(Tabela1[[#This Row],[1]]&lt;&gt;"",IF(ISNUMBER(FIND(",",Tabela1[[#This Row],[1]])),LEN(Tabela1[[#This Row],[1]])-LEN(SUBSTITUTE(Tabela1[[#This Row],[1]],",",""))+1,1),"")</f>
        <v/>
      </c>
      <c r="AA487" t="str">
        <f>IF(Tabela1[[#This Row],[2]]&lt;&gt;"",IF(ISNUMBER(FIND(",",Tabela1[[#This Row],[2]])),LEN(Tabela1[[#This Row],[2]])-LEN(SUBSTITUTE(Tabela1[[#This Row],[2]],",",""))+1,1),"")</f>
        <v/>
      </c>
      <c r="AB487" t="str">
        <f>IF(Tabela1[[#This Row],[3]]&lt;&gt;"",IF(ISNUMBER(FIND(",",Tabela1[[#This Row],[3]])),LEN(Tabela1[[#This Row],[3]])-LEN(SUBSTITUTE(Tabela1[[#This Row],[3]],",",""))+1,1),"")</f>
        <v/>
      </c>
      <c r="AC487" t="str">
        <f>IF(Tabela1[[#This Row],[4]]&lt;&gt;"",IF(ISNUMBER(FIND(",",Tabela1[[#This Row],[4]])),LEN(Tabela1[[#This Row],[4]])-LEN(SUBSTITUTE(Tabela1[[#This Row],[4]],",",""))+1,1),"")</f>
        <v/>
      </c>
      <c r="AD487" t="str">
        <f>IF(Tabela1[[#This Row],[5]]&lt;&gt;"",IF(ISNUMBER(FIND(",",Tabela1[[#This Row],[5]])),LEN(Tabela1[[#This Row],[5]])-LEN(SUBSTITUTE(Tabela1[[#This Row],[5]],",",""))+1,1),"")</f>
        <v/>
      </c>
      <c r="AE487" t="str">
        <f>IF(Tabela1[[#This Row],[6]]&lt;&gt;"",IF(ISNUMBER(FIND(",",Tabela1[[#This Row],[6]])),LEN(Tabela1[[#This Row],[6]])-LEN(SUBSTITUTE(Tabela1[[#This Row],[6]],",",""))+1,1),"")</f>
        <v/>
      </c>
      <c r="AF487" t="str">
        <f>IF(Tabela1[[#This Row],[7]]&lt;&gt;"",IF(ISNUMBER(FIND(",",Tabela1[[#This Row],[7]])),LEN(Tabela1[[#This Row],[7]])-LEN(SUBSTITUTE(Tabela1[[#This Row],[7]],",",""))+1,1),"")</f>
        <v/>
      </c>
      <c r="AG487" t="str">
        <f>IF(Tabela1[[#This Row],[8]]&lt;&gt;"",IF(ISNUMBER(FIND(",",Tabela1[[#This Row],[8]])),LEN(Tabela1[[#This Row],[8]])-LEN(SUBSTITUTE(Tabela1[[#This Row],[8]],",",""))+1,1),"")</f>
        <v/>
      </c>
      <c r="AH487" t="str">
        <f>IF(Tabela1[[#This Row],[9]]&lt;&gt;"",IF(ISNUMBER(FIND(",",Tabela1[[#This Row],[9]])),LEN(Tabela1[[#This Row],[9]])-LEN(SUBSTITUTE(Tabela1[[#This Row],[9]],",",""))+1,1),"")</f>
        <v/>
      </c>
      <c r="AI487" t="str">
        <f>IF(Tabela1[[#This Row],[10]]&lt;&gt;"",IF(ISNUMBER(FIND(",",Tabela1[[#This Row],[10]])),LEN(Tabela1[[#This Row],[10]])-LEN(SUBSTITUTE(Tabela1[[#This Row],[10]],",",""))+1,1),"")</f>
        <v/>
      </c>
      <c r="AJ487" t="str">
        <f>IF(Tabela1[[#This Row],[11]]&lt;&gt;"",IF(ISNUMBER(FIND(",",Tabela1[[#This Row],[11]])),LEN(Tabela1[[#This Row],[11]])-LEN(SUBSTITUTE(Tabela1[[#This Row],[11]],",",""))+1,1),"")</f>
        <v/>
      </c>
      <c r="AK487" t="str">
        <f>IF(Tabela1[[#This Row],[12]]&lt;&gt;"",IF(ISNUMBER(FIND(",",Tabela1[[#This Row],[12]])),LEN(Tabela1[[#This Row],[12]])-LEN(SUBSTITUTE(Tabela1[[#This Row],[12]],",",""))+1,1),"")</f>
        <v/>
      </c>
      <c r="AL487" t="str">
        <f>IF(Tabela1[[#This Row],[13]]&lt;&gt;"",IF(ISNUMBER(FIND(",",Tabela1[[#This Row],[13]])),LEN(Tabela1[[#This Row],[13]])-LEN(SUBSTITUTE(Tabela1[[#This Row],[13]],",",""))+1,1),"")</f>
        <v/>
      </c>
      <c r="AM487" t="str">
        <f>IF(Tabela1[[#This Row],[14]]&lt;&gt;"",IF(ISNUMBER(FIND(",",Tabela1[[#This Row],[14]])),LEN(Tabela1[[#This Row],[14]])-LEN(SUBSTITUTE(Tabela1[[#This Row],[14]],",",""))+1,1),"")</f>
        <v/>
      </c>
      <c r="AN487" t="str">
        <f>IF(Tabela1[[#This Row],[15]]&lt;&gt;"",IF(ISNUMBER(FIND(",",Tabela1[[#This Row],[15]])),LEN(Tabela1[[#This Row],[15]])-LEN(SUBSTITUTE(Tabela1[[#This Row],[15]],",",""))+1,1),"")</f>
        <v/>
      </c>
      <c r="AO487" t="str">
        <f>IF(Tabela1[[#This Row],[16]]&lt;&gt;"",IF(ISNUMBER(FIND(",",Tabela1[[#This Row],[16]])),LEN(Tabela1[[#This Row],[16]])-LEN(SUBSTITUTE(Tabela1[[#This Row],[16]],",",""))+1,1),"")</f>
        <v/>
      </c>
      <c r="AP487">
        <f>IF(Tabela1[[#This Row],[17]]&lt;&gt;"",IF(ISNUMBER(FIND(",",Tabela1[[#This Row],[17]])),LEN(Tabela1[[#This Row],[17]])-LEN(SUBSTITUTE(Tabela1[[#This Row],[17]],",",""))+1,1),"")</f>
        <v>1</v>
      </c>
      <c r="AQ487" t="str">
        <f>IF(Tabela1[[#This Row],[18]]&lt;&gt;"",IF(ISNUMBER(FIND(",",Tabela1[[#This Row],[18]])),LEN(Tabela1[[#This Row],[18]])-LEN(SUBSTITUTE(Tabela1[[#This Row],[18]],",",""))+1,1),"")</f>
        <v/>
      </c>
      <c r="AR487" s="13" t="str">
        <f>IF(Tabela1[[#This Row],[19_LENGTH]]&lt;&gt;"",IF(ISNUMBER(FIND(",",Tabela1[[#This Row],[19_LENGTH]])),LEN(Tabela1[[#This Row],[19_LENGTH]])-LEN(SUBSTITUTE(Tabela1[[#This Row],[19_LENGTH]],",",""))+1,1),"")</f>
        <v/>
      </c>
      <c r="AS487" s="21">
        <f>SUM(Tabela1[[#This Row],[1_]:[19_]])</f>
        <v>1</v>
      </c>
    </row>
    <row r="488" spans="1:45" x14ac:dyDescent="0.25">
      <c r="A488" s="27" t="s">
        <v>1329</v>
      </c>
      <c r="B488" s="19" t="s">
        <v>559</v>
      </c>
      <c r="C488" s="19">
        <v>102</v>
      </c>
      <c r="D488" s="19" t="s">
        <v>1307</v>
      </c>
      <c r="E488" s="20">
        <v>43536</v>
      </c>
      <c r="F488" s="19"/>
      <c r="G488" s="19"/>
      <c r="H488" s="19"/>
      <c r="I488" s="19"/>
      <c r="J488" s="19"/>
      <c r="K488" s="19">
        <v>71</v>
      </c>
      <c r="L488" s="19"/>
      <c r="M488" s="19"/>
      <c r="N488" s="19"/>
      <c r="O488" s="19"/>
      <c r="P488" s="19"/>
      <c r="Q488" s="19"/>
      <c r="R488" s="19"/>
      <c r="S488" s="19"/>
      <c r="T488" s="19"/>
      <c r="U488" s="19"/>
      <c r="V488" s="19"/>
      <c r="W488" s="19"/>
      <c r="X488" s="19"/>
      <c r="Y488" s="19"/>
      <c r="Z488" t="str">
        <f>IF(Tabela1[[#This Row],[1]]&lt;&gt;"",IF(ISNUMBER(FIND(",",Tabela1[[#This Row],[1]])),LEN(Tabela1[[#This Row],[1]])-LEN(SUBSTITUTE(Tabela1[[#This Row],[1]],",",""))+1,1),"")</f>
        <v/>
      </c>
      <c r="AA488" t="str">
        <f>IF(Tabela1[[#This Row],[2]]&lt;&gt;"",IF(ISNUMBER(FIND(",",Tabela1[[#This Row],[2]])),LEN(Tabela1[[#This Row],[2]])-LEN(SUBSTITUTE(Tabela1[[#This Row],[2]],",",""))+1,1),"")</f>
        <v/>
      </c>
      <c r="AB488" t="str">
        <f>IF(Tabela1[[#This Row],[3]]&lt;&gt;"",IF(ISNUMBER(FIND(",",Tabela1[[#This Row],[3]])),LEN(Tabela1[[#This Row],[3]])-LEN(SUBSTITUTE(Tabela1[[#This Row],[3]],",",""))+1,1),"")</f>
        <v/>
      </c>
      <c r="AC488" t="str">
        <f>IF(Tabela1[[#This Row],[4]]&lt;&gt;"",IF(ISNUMBER(FIND(",",Tabela1[[#This Row],[4]])),LEN(Tabela1[[#This Row],[4]])-LEN(SUBSTITUTE(Tabela1[[#This Row],[4]],",",""))+1,1),"")</f>
        <v/>
      </c>
      <c r="AD488" t="str">
        <f>IF(Tabela1[[#This Row],[5]]&lt;&gt;"",IF(ISNUMBER(FIND(",",Tabela1[[#This Row],[5]])),LEN(Tabela1[[#This Row],[5]])-LEN(SUBSTITUTE(Tabela1[[#This Row],[5]],",",""))+1,1),"")</f>
        <v/>
      </c>
      <c r="AE488">
        <f>IF(Tabela1[[#This Row],[6]]&lt;&gt;"",IF(ISNUMBER(FIND(",",Tabela1[[#This Row],[6]])),LEN(Tabela1[[#This Row],[6]])-LEN(SUBSTITUTE(Tabela1[[#This Row],[6]],",",""))+1,1),"")</f>
        <v>1</v>
      </c>
      <c r="AF488" t="str">
        <f>IF(Tabela1[[#This Row],[7]]&lt;&gt;"",IF(ISNUMBER(FIND(",",Tabela1[[#This Row],[7]])),LEN(Tabela1[[#This Row],[7]])-LEN(SUBSTITUTE(Tabela1[[#This Row],[7]],",",""))+1,1),"")</f>
        <v/>
      </c>
      <c r="AG488" t="str">
        <f>IF(Tabela1[[#This Row],[8]]&lt;&gt;"",IF(ISNUMBER(FIND(",",Tabela1[[#This Row],[8]])),LEN(Tabela1[[#This Row],[8]])-LEN(SUBSTITUTE(Tabela1[[#This Row],[8]],",",""))+1,1),"")</f>
        <v/>
      </c>
      <c r="AH488" t="str">
        <f>IF(Tabela1[[#This Row],[9]]&lt;&gt;"",IF(ISNUMBER(FIND(",",Tabela1[[#This Row],[9]])),LEN(Tabela1[[#This Row],[9]])-LEN(SUBSTITUTE(Tabela1[[#This Row],[9]],",",""))+1,1),"")</f>
        <v/>
      </c>
      <c r="AI488" t="str">
        <f>IF(Tabela1[[#This Row],[10]]&lt;&gt;"",IF(ISNUMBER(FIND(",",Tabela1[[#This Row],[10]])),LEN(Tabela1[[#This Row],[10]])-LEN(SUBSTITUTE(Tabela1[[#This Row],[10]],",",""))+1,1),"")</f>
        <v/>
      </c>
      <c r="AJ488" t="str">
        <f>IF(Tabela1[[#This Row],[11]]&lt;&gt;"",IF(ISNUMBER(FIND(",",Tabela1[[#This Row],[11]])),LEN(Tabela1[[#This Row],[11]])-LEN(SUBSTITUTE(Tabela1[[#This Row],[11]],",",""))+1,1),"")</f>
        <v/>
      </c>
      <c r="AK488" t="str">
        <f>IF(Tabela1[[#This Row],[12]]&lt;&gt;"",IF(ISNUMBER(FIND(",",Tabela1[[#This Row],[12]])),LEN(Tabela1[[#This Row],[12]])-LEN(SUBSTITUTE(Tabela1[[#This Row],[12]],",",""))+1,1),"")</f>
        <v/>
      </c>
      <c r="AL488" t="str">
        <f>IF(Tabela1[[#This Row],[13]]&lt;&gt;"",IF(ISNUMBER(FIND(",",Tabela1[[#This Row],[13]])),LEN(Tabela1[[#This Row],[13]])-LEN(SUBSTITUTE(Tabela1[[#This Row],[13]],",",""))+1,1),"")</f>
        <v/>
      </c>
      <c r="AM488" t="str">
        <f>IF(Tabela1[[#This Row],[14]]&lt;&gt;"",IF(ISNUMBER(FIND(",",Tabela1[[#This Row],[14]])),LEN(Tabela1[[#This Row],[14]])-LEN(SUBSTITUTE(Tabela1[[#This Row],[14]],",",""))+1,1),"")</f>
        <v/>
      </c>
      <c r="AN488" t="str">
        <f>IF(Tabela1[[#This Row],[15]]&lt;&gt;"",IF(ISNUMBER(FIND(",",Tabela1[[#This Row],[15]])),LEN(Tabela1[[#This Row],[15]])-LEN(SUBSTITUTE(Tabela1[[#This Row],[15]],",",""))+1,1),"")</f>
        <v/>
      </c>
      <c r="AO488" t="str">
        <f>IF(Tabela1[[#This Row],[16]]&lt;&gt;"",IF(ISNUMBER(FIND(",",Tabela1[[#This Row],[16]])),LEN(Tabela1[[#This Row],[16]])-LEN(SUBSTITUTE(Tabela1[[#This Row],[16]],",",""))+1,1),"")</f>
        <v/>
      </c>
      <c r="AP488" t="str">
        <f>IF(Tabela1[[#This Row],[17]]&lt;&gt;"",IF(ISNUMBER(FIND(",",Tabela1[[#This Row],[17]])),LEN(Tabela1[[#This Row],[17]])-LEN(SUBSTITUTE(Tabela1[[#This Row],[17]],",",""))+1,1),"")</f>
        <v/>
      </c>
      <c r="AQ488" t="str">
        <f>IF(Tabela1[[#This Row],[18]]&lt;&gt;"",IF(ISNUMBER(FIND(",",Tabela1[[#This Row],[18]])),LEN(Tabela1[[#This Row],[18]])-LEN(SUBSTITUTE(Tabela1[[#This Row],[18]],",",""))+1,1),"")</f>
        <v/>
      </c>
      <c r="AR488" s="13" t="str">
        <f>IF(Tabela1[[#This Row],[19_LENGTH]]&lt;&gt;"",IF(ISNUMBER(FIND(",",Tabela1[[#This Row],[19_LENGTH]])),LEN(Tabela1[[#This Row],[19_LENGTH]])-LEN(SUBSTITUTE(Tabela1[[#This Row],[19_LENGTH]],",",""))+1,1),"")</f>
        <v/>
      </c>
      <c r="AS488" s="21">
        <f>SUM(Tabela1[[#This Row],[1_]:[19_]])</f>
        <v>1</v>
      </c>
    </row>
    <row r="489" spans="1:45" x14ac:dyDescent="0.25">
      <c r="A489" s="27" t="s">
        <v>1329</v>
      </c>
      <c r="B489" s="19" t="s">
        <v>560</v>
      </c>
      <c r="C489" s="19">
        <v>102</v>
      </c>
      <c r="D489" s="19" t="s">
        <v>1307</v>
      </c>
      <c r="E489" s="20">
        <v>43536</v>
      </c>
      <c r="F489" s="19"/>
      <c r="G489" s="19"/>
      <c r="H489" s="19"/>
      <c r="I489" s="19">
        <v>89</v>
      </c>
      <c r="J489" s="19"/>
      <c r="K489" s="19">
        <v>73</v>
      </c>
      <c r="L489" s="19"/>
      <c r="M489" s="19"/>
      <c r="N489" s="19"/>
      <c r="O489" s="19"/>
      <c r="P489" s="19"/>
      <c r="Q489" s="19"/>
      <c r="R489" s="19"/>
      <c r="S489" s="19"/>
      <c r="T489" s="19"/>
      <c r="U489" s="19"/>
      <c r="V489" s="19"/>
      <c r="W489" s="19"/>
      <c r="X489" s="19"/>
      <c r="Y489" s="19"/>
      <c r="Z489" t="str">
        <f>IF(Tabela1[[#This Row],[1]]&lt;&gt;"",IF(ISNUMBER(FIND(",",Tabela1[[#This Row],[1]])),LEN(Tabela1[[#This Row],[1]])-LEN(SUBSTITUTE(Tabela1[[#This Row],[1]],",",""))+1,1),"")</f>
        <v/>
      </c>
      <c r="AA489" t="str">
        <f>IF(Tabela1[[#This Row],[2]]&lt;&gt;"",IF(ISNUMBER(FIND(",",Tabela1[[#This Row],[2]])),LEN(Tabela1[[#This Row],[2]])-LEN(SUBSTITUTE(Tabela1[[#This Row],[2]],",",""))+1,1),"")</f>
        <v/>
      </c>
      <c r="AB489" t="str">
        <f>IF(Tabela1[[#This Row],[3]]&lt;&gt;"",IF(ISNUMBER(FIND(",",Tabela1[[#This Row],[3]])),LEN(Tabela1[[#This Row],[3]])-LEN(SUBSTITUTE(Tabela1[[#This Row],[3]],",",""))+1,1),"")</f>
        <v/>
      </c>
      <c r="AC489">
        <f>IF(Tabela1[[#This Row],[4]]&lt;&gt;"",IF(ISNUMBER(FIND(",",Tabela1[[#This Row],[4]])),LEN(Tabela1[[#This Row],[4]])-LEN(SUBSTITUTE(Tabela1[[#This Row],[4]],",",""))+1,1),"")</f>
        <v>1</v>
      </c>
      <c r="AD489" t="str">
        <f>IF(Tabela1[[#This Row],[5]]&lt;&gt;"",IF(ISNUMBER(FIND(",",Tabela1[[#This Row],[5]])),LEN(Tabela1[[#This Row],[5]])-LEN(SUBSTITUTE(Tabela1[[#This Row],[5]],",",""))+1,1),"")</f>
        <v/>
      </c>
      <c r="AE489">
        <f>IF(Tabela1[[#This Row],[6]]&lt;&gt;"",IF(ISNUMBER(FIND(",",Tabela1[[#This Row],[6]])),LEN(Tabela1[[#This Row],[6]])-LEN(SUBSTITUTE(Tabela1[[#This Row],[6]],",",""))+1,1),"")</f>
        <v>1</v>
      </c>
      <c r="AF489" t="str">
        <f>IF(Tabela1[[#This Row],[7]]&lt;&gt;"",IF(ISNUMBER(FIND(",",Tabela1[[#This Row],[7]])),LEN(Tabela1[[#This Row],[7]])-LEN(SUBSTITUTE(Tabela1[[#This Row],[7]],",",""))+1,1),"")</f>
        <v/>
      </c>
      <c r="AG489" t="str">
        <f>IF(Tabela1[[#This Row],[8]]&lt;&gt;"",IF(ISNUMBER(FIND(",",Tabela1[[#This Row],[8]])),LEN(Tabela1[[#This Row],[8]])-LEN(SUBSTITUTE(Tabela1[[#This Row],[8]],",",""))+1,1),"")</f>
        <v/>
      </c>
      <c r="AH489" t="str">
        <f>IF(Tabela1[[#This Row],[9]]&lt;&gt;"",IF(ISNUMBER(FIND(",",Tabela1[[#This Row],[9]])),LEN(Tabela1[[#This Row],[9]])-LEN(SUBSTITUTE(Tabela1[[#This Row],[9]],",",""))+1,1),"")</f>
        <v/>
      </c>
      <c r="AI489" t="str">
        <f>IF(Tabela1[[#This Row],[10]]&lt;&gt;"",IF(ISNUMBER(FIND(",",Tabela1[[#This Row],[10]])),LEN(Tabela1[[#This Row],[10]])-LEN(SUBSTITUTE(Tabela1[[#This Row],[10]],",",""))+1,1),"")</f>
        <v/>
      </c>
      <c r="AJ489" t="str">
        <f>IF(Tabela1[[#This Row],[11]]&lt;&gt;"",IF(ISNUMBER(FIND(",",Tabela1[[#This Row],[11]])),LEN(Tabela1[[#This Row],[11]])-LEN(SUBSTITUTE(Tabela1[[#This Row],[11]],",",""))+1,1),"")</f>
        <v/>
      </c>
      <c r="AK489" t="str">
        <f>IF(Tabela1[[#This Row],[12]]&lt;&gt;"",IF(ISNUMBER(FIND(",",Tabela1[[#This Row],[12]])),LEN(Tabela1[[#This Row],[12]])-LEN(SUBSTITUTE(Tabela1[[#This Row],[12]],",",""))+1,1),"")</f>
        <v/>
      </c>
      <c r="AL489" t="str">
        <f>IF(Tabela1[[#This Row],[13]]&lt;&gt;"",IF(ISNUMBER(FIND(",",Tabela1[[#This Row],[13]])),LEN(Tabela1[[#This Row],[13]])-LEN(SUBSTITUTE(Tabela1[[#This Row],[13]],",",""))+1,1),"")</f>
        <v/>
      </c>
      <c r="AM489" t="str">
        <f>IF(Tabela1[[#This Row],[14]]&lt;&gt;"",IF(ISNUMBER(FIND(",",Tabela1[[#This Row],[14]])),LEN(Tabela1[[#This Row],[14]])-LEN(SUBSTITUTE(Tabela1[[#This Row],[14]],",",""))+1,1),"")</f>
        <v/>
      </c>
      <c r="AN489" t="str">
        <f>IF(Tabela1[[#This Row],[15]]&lt;&gt;"",IF(ISNUMBER(FIND(",",Tabela1[[#This Row],[15]])),LEN(Tabela1[[#This Row],[15]])-LEN(SUBSTITUTE(Tabela1[[#This Row],[15]],",",""))+1,1),"")</f>
        <v/>
      </c>
      <c r="AO489" t="str">
        <f>IF(Tabela1[[#This Row],[16]]&lt;&gt;"",IF(ISNUMBER(FIND(",",Tabela1[[#This Row],[16]])),LEN(Tabela1[[#This Row],[16]])-LEN(SUBSTITUTE(Tabela1[[#This Row],[16]],",",""))+1,1),"")</f>
        <v/>
      </c>
      <c r="AP489" t="str">
        <f>IF(Tabela1[[#This Row],[17]]&lt;&gt;"",IF(ISNUMBER(FIND(",",Tabela1[[#This Row],[17]])),LEN(Tabela1[[#This Row],[17]])-LEN(SUBSTITUTE(Tabela1[[#This Row],[17]],",",""))+1,1),"")</f>
        <v/>
      </c>
      <c r="AQ489" t="str">
        <f>IF(Tabela1[[#This Row],[18]]&lt;&gt;"",IF(ISNUMBER(FIND(",",Tabela1[[#This Row],[18]])),LEN(Tabela1[[#This Row],[18]])-LEN(SUBSTITUTE(Tabela1[[#This Row],[18]],",",""))+1,1),"")</f>
        <v/>
      </c>
      <c r="AR489" s="13" t="str">
        <f>IF(Tabela1[[#This Row],[19_LENGTH]]&lt;&gt;"",IF(ISNUMBER(FIND(",",Tabela1[[#This Row],[19_LENGTH]])),LEN(Tabela1[[#This Row],[19_LENGTH]])-LEN(SUBSTITUTE(Tabela1[[#This Row],[19_LENGTH]],",",""))+1,1),"")</f>
        <v/>
      </c>
      <c r="AS489" s="21">
        <f>SUM(Tabela1[[#This Row],[1_]:[19_]])</f>
        <v>2</v>
      </c>
    </row>
    <row r="490" spans="1:45" x14ac:dyDescent="0.25">
      <c r="A490" s="27" t="s">
        <v>1329</v>
      </c>
      <c r="B490" s="19" t="s">
        <v>561</v>
      </c>
      <c r="C490" s="19">
        <v>102</v>
      </c>
      <c r="D490" s="19" t="s">
        <v>1307</v>
      </c>
      <c r="E490" s="20">
        <v>43536</v>
      </c>
      <c r="F490" s="19"/>
      <c r="G490" s="19"/>
      <c r="H490" s="19"/>
      <c r="I490" s="19"/>
      <c r="J490" s="19">
        <v>50</v>
      </c>
      <c r="K490" s="19"/>
      <c r="L490" s="19"/>
      <c r="M490" s="19"/>
      <c r="N490" s="19"/>
      <c r="O490" s="19"/>
      <c r="P490" s="19"/>
      <c r="Q490" s="19"/>
      <c r="R490" s="19"/>
      <c r="S490" s="19"/>
      <c r="T490" s="19"/>
      <c r="U490" s="19"/>
      <c r="V490" s="19"/>
      <c r="W490" s="19"/>
      <c r="X490" s="19"/>
      <c r="Y490" s="19"/>
      <c r="Z490" t="str">
        <f>IF(Tabela1[[#This Row],[1]]&lt;&gt;"",IF(ISNUMBER(FIND(",",Tabela1[[#This Row],[1]])),LEN(Tabela1[[#This Row],[1]])-LEN(SUBSTITUTE(Tabela1[[#This Row],[1]],",",""))+1,1),"")</f>
        <v/>
      </c>
      <c r="AA490" t="str">
        <f>IF(Tabela1[[#This Row],[2]]&lt;&gt;"",IF(ISNUMBER(FIND(",",Tabela1[[#This Row],[2]])),LEN(Tabela1[[#This Row],[2]])-LEN(SUBSTITUTE(Tabela1[[#This Row],[2]],",",""))+1,1),"")</f>
        <v/>
      </c>
      <c r="AB490" t="str">
        <f>IF(Tabela1[[#This Row],[3]]&lt;&gt;"",IF(ISNUMBER(FIND(",",Tabela1[[#This Row],[3]])),LEN(Tabela1[[#This Row],[3]])-LEN(SUBSTITUTE(Tabela1[[#This Row],[3]],",",""))+1,1),"")</f>
        <v/>
      </c>
      <c r="AC490" t="str">
        <f>IF(Tabela1[[#This Row],[4]]&lt;&gt;"",IF(ISNUMBER(FIND(",",Tabela1[[#This Row],[4]])),LEN(Tabela1[[#This Row],[4]])-LEN(SUBSTITUTE(Tabela1[[#This Row],[4]],",",""))+1,1),"")</f>
        <v/>
      </c>
      <c r="AD490">
        <f>IF(Tabela1[[#This Row],[5]]&lt;&gt;"",IF(ISNUMBER(FIND(",",Tabela1[[#This Row],[5]])),LEN(Tabela1[[#This Row],[5]])-LEN(SUBSTITUTE(Tabela1[[#This Row],[5]],",",""))+1,1),"")</f>
        <v>1</v>
      </c>
      <c r="AE490" t="str">
        <f>IF(Tabela1[[#This Row],[6]]&lt;&gt;"",IF(ISNUMBER(FIND(",",Tabela1[[#This Row],[6]])),LEN(Tabela1[[#This Row],[6]])-LEN(SUBSTITUTE(Tabela1[[#This Row],[6]],",",""))+1,1),"")</f>
        <v/>
      </c>
      <c r="AF490" t="str">
        <f>IF(Tabela1[[#This Row],[7]]&lt;&gt;"",IF(ISNUMBER(FIND(",",Tabela1[[#This Row],[7]])),LEN(Tabela1[[#This Row],[7]])-LEN(SUBSTITUTE(Tabela1[[#This Row],[7]],",",""))+1,1),"")</f>
        <v/>
      </c>
      <c r="AG490" t="str">
        <f>IF(Tabela1[[#This Row],[8]]&lt;&gt;"",IF(ISNUMBER(FIND(",",Tabela1[[#This Row],[8]])),LEN(Tabela1[[#This Row],[8]])-LEN(SUBSTITUTE(Tabela1[[#This Row],[8]],",",""))+1,1),"")</f>
        <v/>
      </c>
      <c r="AH490" t="str">
        <f>IF(Tabela1[[#This Row],[9]]&lt;&gt;"",IF(ISNUMBER(FIND(",",Tabela1[[#This Row],[9]])),LEN(Tabela1[[#This Row],[9]])-LEN(SUBSTITUTE(Tabela1[[#This Row],[9]],",",""))+1,1),"")</f>
        <v/>
      </c>
      <c r="AI490" t="str">
        <f>IF(Tabela1[[#This Row],[10]]&lt;&gt;"",IF(ISNUMBER(FIND(",",Tabela1[[#This Row],[10]])),LEN(Tabela1[[#This Row],[10]])-LEN(SUBSTITUTE(Tabela1[[#This Row],[10]],",",""))+1,1),"")</f>
        <v/>
      </c>
      <c r="AJ490" t="str">
        <f>IF(Tabela1[[#This Row],[11]]&lt;&gt;"",IF(ISNUMBER(FIND(",",Tabela1[[#This Row],[11]])),LEN(Tabela1[[#This Row],[11]])-LEN(SUBSTITUTE(Tabela1[[#This Row],[11]],",",""))+1,1),"")</f>
        <v/>
      </c>
      <c r="AK490" t="str">
        <f>IF(Tabela1[[#This Row],[12]]&lt;&gt;"",IF(ISNUMBER(FIND(",",Tabela1[[#This Row],[12]])),LEN(Tabela1[[#This Row],[12]])-LEN(SUBSTITUTE(Tabela1[[#This Row],[12]],",",""))+1,1),"")</f>
        <v/>
      </c>
      <c r="AL490" t="str">
        <f>IF(Tabela1[[#This Row],[13]]&lt;&gt;"",IF(ISNUMBER(FIND(",",Tabela1[[#This Row],[13]])),LEN(Tabela1[[#This Row],[13]])-LEN(SUBSTITUTE(Tabela1[[#This Row],[13]],",",""))+1,1),"")</f>
        <v/>
      </c>
      <c r="AM490" t="str">
        <f>IF(Tabela1[[#This Row],[14]]&lt;&gt;"",IF(ISNUMBER(FIND(",",Tabela1[[#This Row],[14]])),LEN(Tabela1[[#This Row],[14]])-LEN(SUBSTITUTE(Tabela1[[#This Row],[14]],",",""))+1,1),"")</f>
        <v/>
      </c>
      <c r="AN490" t="str">
        <f>IF(Tabela1[[#This Row],[15]]&lt;&gt;"",IF(ISNUMBER(FIND(",",Tabela1[[#This Row],[15]])),LEN(Tabela1[[#This Row],[15]])-LEN(SUBSTITUTE(Tabela1[[#This Row],[15]],",",""))+1,1),"")</f>
        <v/>
      </c>
      <c r="AO490" t="str">
        <f>IF(Tabela1[[#This Row],[16]]&lt;&gt;"",IF(ISNUMBER(FIND(",",Tabela1[[#This Row],[16]])),LEN(Tabela1[[#This Row],[16]])-LEN(SUBSTITUTE(Tabela1[[#This Row],[16]],",",""))+1,1),"")</f>
        <v/>
      </c>
      <c r="AP490" t="str">
        <f>IF(Tabela1[[#This Row],[17]]&lt;&gt;"",IF(ISNUMBER(FIND(",",Tabela1[[#This Row],[17]])),LEN(Tabela1[[#This Row],[17]])-LEN(SUBSTITUTE(Tabela1[[#This Row],[17]],",",""))+1,1),"")</f>
        <v/>
      </c>
      <c r="AQ490" t="str">
        <f>IF(Tabela1[[#This Row],[18]]&lt;&gt;"",IF(ISNUMBER(FIND(",",Tabela1[[#This Row],[18]])),LEN(Tabela1[[#This Row],[18]])-LEN(SUBSTITUTE(Tabela1[[#This Row],[18]],",",""))+1,1),"")</f>
        <v/>
      </c>
      <c r="AR490" s="13" t="str">
        <f>IF(Tabela1[[#This Row],[19_LENGTH]]&lt;&gt;"",IF(ISNUMBER(FIND(",",Tabela1[[#This Row],[19_LENGTH]])),LEN(Tabela1[[#This Row],[19_LENGTH]])-LEN(SUBSTITUTE(Tabela1[[#This Row],[19_LENGTH]],",",""))+1,1),"")</f>
        <v/>
      </c>
      <c r="AS490" s="21">
        <f>SUM(Tabela1[[#This Row],[1_]:[19_]])</f>
        <v>1</v>
      </c>
    </row>
    <row r="491" spans="1:45" x14ac:dyDescent="0.25">
      <c r="A491" s="27" t="s">
        <v>1329</v>
      </c>
      <c r="B491" s="19" t="s">
        <v>562</v>
      </c>
      <c r="C491" s="19">
        <v>102</v>
      </c>
      <c r="D491" s="19" t="s">
        <v>1307</v>
      </c>
      <c r="E491" s="20">
        <v>43536</v>
      </c>
      <c r="F491" s="19"/>
      <c r="G491" s="19"/>
      <c r="H491" s="19"/>
      <c r="I491" s="19"/>
      <c r="J491" s="19">
        <v>67</v>
      </c>
      <c r="K491" s="19"/>
      <c r="L491" s="19"/>
      <c r="M491" s="19"/>
      <c r="N491" s="19"/>
      <c r="O491" s="19"/>
      <c r="P491" s="19"/>
      <c r="Q491" s="19"/>
      <c r="R491" s="19"/>
      <c r="S491" s="19"/>
      <c r="T491" s="19"/>
      <c r="U491" s="19"/>
      <c r="V491" s="19">
        <v>12</v>
      </c>
      <c r="W491" s="19"/>
      <c r="X491" s="19"/>
      <c r="Y491" s="19"/>
      <c r="Z491" t="str">
        <f>IF(Tabela1[[#This Row],[1]]&lt;&gt;"",IF(ISNUMBER(FIND(",",Tabela1[[#This Row],[1]])),LEN(Tabela1[[#This Row],[1]])-LEN(SUBSTITUTE(Tabela1[[#This Row],[1]],",",""))+1,1),"")</f>
        <v/>
      </c>
      <c r="AA491" t="str">
        <f>IF(Tabela1[[#This Row],[2]]&lt;&gt;"",IF(ISNUMBER(FIND(",",Tabela1[[#This Row],[2]])),LEN(Tabela1[[#This Row],[2]])-LEN(SUBSTITUTE(Tabela1[[#This Row],[2]],",",""))+1,1),"")</f>
        <v/>
      </c>
      <c r="AB491" t="str">
        <f>IF(Tabela1[[#This Row],[3]]&lt;&gt;"",IF(ISNUMBER(FIND(",",Tabela1[[#This Row],[3]])),LEN(Tabela1[[#This Row],[3]])-LEN(SUBSTITUTE(Tabela1[[#This Row],[3]],",",""))+1,1),"")</f>
        <v/>
      </c>
      <c r="AC491" t="str">
        <f>IF(Tabela1[[#This Row],[4]]&lt;&gt;"",IF(ISNUMBER(FIND(",",Tabela1[[#This Row],[4]])),LEN(Tabela1[[#This Row],[4]])-LEN(SUBSTITUTE(Tabela1[[#This Row],[4]],",",""))+1,1),"")</f>
        <v/>
      </c>
      <c r="AD491">
        <f>IF(Tabela1[[#This Row],[5]]&lt;&gt;"",IF(ISNUMBER(FIND(",",Tabela1[[#This Row],[5]])),LEN(Tabela1[[#This Row],[5]])-LEN(SUBSTITUTE(Tabela1[[#This Row],[5]],",",""))+1,1),"")</f>
        <v>1</v>
      </c>
      <c r="AE491" t="str">
        <f>IF(Tabela1[[#This Row],[6]]&lt;&gt;"",IF(ISNUMBER(FIND(",",Tabela1[[#This Row],[6]])),LEN(Tabela1[[#This Row],[6]])-LEN(SUBSTITUTE(Tabela1[[#This Row],[6]],",",""))+1,1),"")</f>
        <v/>
      </c>
      <c r="AF491" t="str">
        <f>IF(Tabela1[[#This Row],[7]]&lt;&gt;"",IF(ISNUMBER(FIND(",",Tabela1[[#This Row],[7]])),LEN(Tabela1[[#This Row],[7]])-LEN(SUBSTITUTE(Tabela1[[#This Row],[7]],",",""))+1,1),"")</f>
        <v/>
      </c>
      <c r="AG491" t="str">
        <f>IF(Tabela1[[#This Row],[8]]&lt;&gt;"",IF(ISNUMBER(FIND(",",Tabela1[[#This Row],[8]])),LEN(Tabela1[[#This Row],[8]])-LEN(SUBSTITUTE(Tabela1[[#This Row],[8]],",",""))+1,1),"")</f>
        <v/>
      </c>
      <c r="AH491" t="str">
        <f>IF(Tabela1[[#This Row],[9]]&lt;&gt;"",IF(ISNUMBER(FIND(",",Tabela1[[#This Row],[9]])),LEN(Tabela1[[#This Row],[9]])-LEN(SUBSTITUTE(Tabela1[[#This Row],[9]],",",""))+1,1),"")</f>
        <v/>
      </c>
      <c r="AI491" t="str">
        <f>IF(Tabela1[[#This Row],[10]]&lt;&gt;"",IF(ISNUMBER(FIND(",",Tabela1[[#This Row],[10]])),LEN(Tabela1[[#This Row],[10]])-LEN(SUBSTITUTE(Tabela1[[#This Row],[10]],",",""))+1,1),"")</f>
        <v/>
      </c>
      <c r="AJ491" t="str">
        <f>IF(Tabela1[[#This Row],[11]]&lt;&gt;"",IF(ISNUMBER(FIND(",",Tabela1[[#This Row],[11]])),LEN(Tabela1[[#This Row],[11]])-LEN(SUBSTITUTE(Tabela1[[#This Row],[11]],",",""))+1,1),"")</f>
        <v/>
      </c>
      <c r="AK491" t="str">
        <f>IF(Tabela1[[#This Row],[12]]&lt;&gt;"",IF(ISNUMBER(FIND(",",Tabela1[[#This Row],[12]])),LEN(Tabela1[[#This Row],[12]])-LEN(SUBSTITUTE(Tabela1[[#This Row],[12]],",",""))+1,1),"")</f>
        <v/>
      </c>
      <c r="AL491" t="str">
        <f>IF(Tabela1[[#This Row],[13]]&lt;&gt;"",IF(ISNUMBER(FIND(",",Tabela1[[#This Row],[13]])),LEN(Tabela1[[#This Row],[13]])-LEN(SUBSTITUTE(Tabela1[[#This Row],[13]],",",""))+1,1),"")</f>
        <v/>
      </c>
      <c r="AM491" t="str">
        <f>IF(Tabela1[[#This Row],[14]]&lt;&gt;"",IF(ISNUMBER(FIND(",",Tabela1[[#This Row],[14]])),LEN(Tabela1[[#This Row],[14]])-LEN(SUBSTITUTE(Tabela1[[#This Row],[14]],",",""))+1,1),"")</f>
        <v/>
      </c>
      <c r="AN491" t="str">
        <f>IF(Tabela1[[#This Row],[15]]&lt;&gt;"",IF(ISNUMBER(FIND(",",Tabela1[[#This Row],[15]])),LEN(Tabela1[[#This Row],[15]])-LEN(SUBSTITUTE(Tabela1[[#This Row],[15]],",",""))+1,1),"")</f>
        <v/>
      </c>
      <c r="AO491" t="str">
        <f>IF(Tabela1[[#This Row],[16]]&lt;&gt;"",IF(ISNUMBER(FIND(",",Tabela1[[#This Row],[16]])),LEN(Tabela1[[#This Row],[16]])-LEN(SUBSTITUTE(Tabela1[[#This Row],[16]],",",""))+1,1),"")</f>
        <v/>
      </c>
      <c r="AP491">
        <f>IF(Tabela1[[#This Row],[17]]&lt;&gt;"",IF(ISNUMBER(FIND(",",Tabela1[[#This Row],[17]])),LEN(Tabela1[[#This Row],[17]])-LEN(SUBSTITUTE(Tabela1[[#This Row],[17]],",",""))+1,1),"")</f>
        <v>1</v>
      </c>
      <c r="AQ491" t="str">
        <f>IF(Tabela1[[#This Row],[18]]&lt;&gt;"",IF(ISNUMBER(FIND(",",Tabela1[[#This Row],[18]])),LEN(Tabela1[[#This Row],[18]])-LEN(SUBSTITUTE(Tabela1[[#This Row],[18]],",",""))+1,1),"")</f>
        <v/>
      </c>
      <c r="AR491" s="13" t="str">
        <f>IF(Tabela1[[#This Row],[19_LENGTH]]&lt;&gt;"",IF(ISNUMBER(FIND(",",Tabela1[[#This Row],[19_LENGTH]])),LEN(Tabela1[[#This Row],[19_LENGTH]])-LEN(SUBSTITUTE(Tabela1[[#This Row],[19_LENGTH]],",",""))+1,1),"")</f>
        <v/>
      </c>
      <c r="AS491" s="21">
        <f>SUM(Tabela1[[#This Row],[1_]:[19_]])</f>
        <v>2</v>
      </c>
    </row>
    <row r="492" spans="1:45" x14ac:dyDescent="0.25">
      <c r="A492" s="27" t="s">
        <v>1328</v>
      </c>
      <c r="B492" s="19" t="s">
        <v>856</v>
      </c>
      <c r="C492" s="19">
        <v>102</v>
      </c>
      <c r="D492" s="19" t="s">
        <v>1308</v>
      </c>
      <c r="E492" s="20">
        <v>43535</v>
      </c>
      <c r="F492" s="19"/>
      <c r="G492" s="19"/>
      <c r="H492" s="19"/>
      <c r="I492" s="19"/>
      <c r="J492" s="19"/>
      <c r="K492" s="19">
        <v>71</v>
      </c>
      <c r="L492" s="19"/>
      <c r="M492" s="19"/>
      <c r="N492" s="19"/>
      <c r="O492" s="19"/>
      <c r="P492" s="19"/>
      <c r="Q492" s="19"/>
      <c r="R492" s="19"/>
      <c r="S492" s="19"/>
      <c r="T492" s="19"/>
      <c r="U492" s="19"/>
      <c r="V492" s="19"/>
      <c r="W492" s="19"/>
      <c r="X492" s="19"/>
      <c r="Y492" s="19"/>
      <c r="Z492" t="str">
        <f>IF(Tabela1[[#This Row],[1]]&lt;&gt;"",IF(ISNUMBER(FIND(",",Tabela1[[#This Row],[1]])),LEN(Tabela1[[#This Row],[1]])-LEN(SUBSTITUTE(Tabela1[[#This Row],[1]],",",""))+1,1),"")</f>
        <v/>
      </c>
      <c r="AA492" t="str">
        <f>IF(Tabela1[[#This Row],[2]]&lt;&gt;"",IF(ISNUMBER(FIND(",",Tabela1[[#This Row],[2]])),LEN(Tabela1[[#This Row],[2]])-LEN(SUBSTITUTE(Tabela1[[#This Row],[2]],",",""))+1,1),"")</f>
        <v/>
      </c>
      <c r="AB492" t="str">
        <f>IF(Tabela1[[#This Row],[3]]&lt;&gt;"",IF(ISNUMBER(FIND(",",Tabela1[[#This Row],[3]])),LEN(Tabela1[[#This Row],[3]])-LEN(SUBSTITUTE(Tabela1[[#This Row],[3]],",",""))+1,1),"")</f>
        <v/>
      </c>
      <c r="AC492" t="str">
        <f>IF(Tabela1[[#This Row],[4]]&lt;&gt;"",IF(ISNUMBER(FIND(",",Tabela1[[#This Row],[4]])),LEN(Tabela1[[#This Row],[4]])-LEN(SUBSTITUTE(Tabela1[[#This Row],[4]],",",""))+1,1),"")</f>
        <v/>
      </c>
      <c r="AD492" t="str">
        <f>IF(Tabela1[[#This Row],[5]]&lt;&gt;"",IF(ISNUMBER(FIND(",",Tabela1[[#This Row],[5]])),LEN(Tabela1[[#This Row],[5]])-LEN(SUBSTITUTE(Tabela1[[#This Row],[5]],",",""))+1,1),"")</f>
        <v/>
      </c>
      <c r="AE492">
        <f>IF(Tabela1[[#This Row],[6]]&lt;&gt;"",IF(ISNUMBER(FIND(",",Tabela1[[#This Row],[6]])),LEN(Tabela1[[#This Row],[6]])-LEN(SUBSTITUTE(Tabela1[[#This Row],[6]],",",""))+1,1),"")</f>
        <v>1</v>
      </c>
      <c r="AF492" t="str">
        <f>IF(Tabela1[[#This Row],[7]]&lt;&gt;"",IF(ISNUMBER(FIND(",",Tabela1[[#This Row],[7]])),LEN(Tabela1[[#This Row],[7]])-LEN(SUBSTITUTE(Tabela1[[#This Row],[7]],",",""))+1,1),"")</f>
        <v/>
      </c>
      <c r="AG492" t="str">
        <f>IF(Tabela1[[#This Row],[8]]&lt;&gt;"",IF(ISNUMBER(FIND(",",Tabela1[[#This Row],[8]])),LEN(Tabela1[[#This Row],[8]])-LEN(SUBSTITUTE(Tabela1[[#This Row],[8]],",",""))+1,1),"")</f>
        <v/>
      </c>
      <c r="AH492" t="str">
        <f>IF(Tabela1[[#This Row],[9]]&lt;&gt;"",IF(ISNUMBER(FIND(",",Tabela1[[#This Row],[9]])),LEN(Tabela1[[#This Row],[9]])-LEN(SUBSTITUTE(Tabela1[[#This Row],[9]],",",""))+1,1),"")</f>
        <v/>
      </c>
      <c r="AI492" t="str">
        <f>IF(Tabela1[[#This Row],[10]]&lt;&gt;"",IF(ISNUMBER(FIND(",",Tabela1[[#This Row],[10]])),LEN(Tabela1[[#This Row],[10]])-LEN(SUBSTITUTE(Tabela1[[#This Row],[10]],",",""))+1,1),"")</f>
        <v/>
      </c>
      <c r="AJ492" t="str">
        <f>IF(Tabela1[[#This Row],[11]]&lt;&gt;"",IF(ISNUMBER(FIND(",",Tabela1[[#This Row],[11]])),LEN(Tabela1[[#This Row],[11]])-LEN(SUBSTITUTE(Tabela1[[#This Row],[11]],",",""))+1,1),"")</f>
        <v/>
      </c>
      <c r="AK492" t="str">
        <f>IF(Tabela1[[#This Row],[12]]&lt;&gt;"",IF(ISNUMBER(FIND(",",Tabela1[[#This Row],[12]])),LEN(Tabela1[[#This Row],[12]])-LEN(SUBSTITUTE(Tabela1[[#This Row],[12]],",",""))+1,1),"")</f>
        <v/>
      </c>
      <c r="AL492" t="str">
        <f>IF(Tabela1[[#This Row],[13]]&lt;&gt;"",IF(ISNUMBER(FIND(",",Tabela1[[#This Row],[13]])),LEN(Tabela1[[#This Row],[13]])-LEN(SUBSTITUTE(Tabela1[[#This Row],[13]],",",""))+1,1),"")</f>
        <v/>
      </c>
      <c r="AM492" t="str">
        <f>IF(Tabela1[[#This Row],[14]]&lt;&gt;"",IF(ISNUMBER(FIND(",",Tabela1[[#This Row],[14]])),LEN(Tabela1[[#This Row],[14]])-LEN(SUBSTITUTE(Tabela1[[#This Row],[14]],",",""))+1,1),"")</f>
        <v/>
      </c>
      <c r="AN492" t="str">
        <f>IF(Tabela1[[#This Row],[15]]&lt;&gt;"",IF(ISNUMBER(FIND(",",Tabela1[[#This Row],[15]])),LEN(Tabela1[[#This Row],[15]])-LEN(SUBSTITUTE(Tabela1[[#This Row],[15]],",",""))+1,1),"")</f>
        <v/>
      </c>
      <c r="AO492" t="str">
        <f>IF(Tabela1[[#This Row],[16]]&lt;&gt;"",IF(ISNUMBER(FIND(",",Tabela1[[#This Row],[16]])),LEN(Tabela1[[#This Row],[16]])-LEN(SUBSTITUTE(Tabela1[[#This Row],[16]],",",""))+1,1),"")</f>
        <v/>
      </c>
      <c r="AP492" t="str">
        <f>IF(Tabela1[[#This Row],[17]]&lt;&gt;"",IF(ISNUMBER(FIND(",",Tabela1[[#This Row],[17]])),LEN(Tabela1[[#This Row],[17]])-LEN(SUBSTITUTE(Tabela1[[#This Row],[17]],",",""))+1,1),"")</f>
        <v/>
      </c>
      <c r="AQ492" t="str">
        <f>IF(Tabela1[[#This Row],[18]]&lt;&gt;"",IF(ISNUMBER(FIND(",",Tabela1[[#This Row],[18]])),LEN(Tabela1[[#This Row],[18]])-LEN(SUBSTITUTE(Tabela1[[#This Row],[18]],",",""))+1,1),"")</f>
        <v/>
      </c>
      <c r="AR492" s="13" t="str">
        <f>IF(Tabela1[[#This Row],[19_LENGTH]]&lt;&gt;"",IF(ISNUMBER(FIND(",",Tabela1[[#This Row],[19_LENGTH]])),LEN(Tabela1[[#This Row],[19_LENGTH]])-LEN(SUBSTITUTE(Tabela1[[#This Row],[19_LENGTH]],",",""))+1,1),"")</f>
        <v/>
      </c>
      <c r="AS492" s="21">
        <f>SUM(Tabela1[[#This Row],[1_]:[19_]])</f>
        <v>1</v>
      </c>
    </row>
    <row r="493" spans="1:45" x14ac:dyDescent="0.25">
      <c r="A493" s="27" t="s">
        <v>1328</v>
      </c>
      <c r="B493" s="19" t="s">
        <v>857</v>
      </c>
      <c r="C493" s="19">
        <v>102</v>
      </c>
      <c r="D493" s="19" t="s">
        <v>1308</v>
      </c>
      <c r="E493" s="20">
        <v>43535</v>
      </c>
      <c r="F493" s="19"/>
      <c r="G493" s="19"/>
      <c r="H493" s="19"/>
      <c r="I493" s="19"/>
      <c r="J493" s="19">
        <v>35</v>
      </c>
      <c r="K493" s="19"/>
      <c r="L493" s="19"/>
      <c r="M493" s="19"/>
      <c r="N493" s="19"/>
      <c r="O493" s="19"/>
      <c r="P493" s="19"/>
      <c r="Q493" s="19"/>
      <c r="R493" s="19"/>
      <c r="S493" s="19"/>
      <c r="T493" s="19"/>
      <c r="U493" s="19"/>
      <c r="V493" s="19"/>
      <c r="W493" s="19"/>
      <c r="X493" s="19"/>
      <c r="Y493" s="19"/>
      <c r="Z493" t="str">
        <f>IF(Tabela1[[#This Row],[1]]&lt;&gt;"",IF(ISNUMBER(FIND(",",Tabela1[[#This Row],[1]])),LEN(Tabela1[[#This Row],[1]])-LEN(SUBSTITUTE(Tabela1[[#This Row],[1]],",",""))+1,1),"")</f>
        <v/>
      </c>
      <c r="AA493" t="str">
        <f>IF(Tabela1[[#This Row],[2]]&lt;&gt;"",IF(ISNUMBER(FIND(",",Tabela1[[#This Row],[2]])),LEN(Tabela1[[#This Row],[2]])-LEN(SUBSTITUTE(Tabela1[[#This Row],[2]],",",""))+1,1),"")</f>
        <v/>
      </c>
      <c r="AB493" t="str">
        <f>IF(Tabela1[[#This Row],[3]]&lt;&gt;"",IF(ISNUMBER(FIND(",",Tabela1[[#This Row],[3]])),LEN(Tabela1[[#This Row],[3]])-LEN(SUBSTITUTE(Tabela1[[#This Row],[3]],",",""))+1,1),"")</f>
        <v/>
      </c>
      <c r="AC493" t="str">
        <f>IF(Tabela1[[#This Row],[4]]&lt;&gt;"",IF(ISNUMBER(FIND(",",Tabela1[[#This Row],[4]])),LEN(Tabela1[[#This Row],[4]])-LEN(SUBSTITUTE(Tabela1[[#This Row],[4]],",",""))+1,1),"")</f>
        <v/>
      </c>
      <c r="AD493">
        <f>IF(Tabela1[[#This Row],[5]]&lt;&gt;"",IF(ISNUMBER(FIND(",",Tabela1[[#This Row],[5]])),LEN(Tabela1[[#This Row],[5]])-LEN(SUBSTITUTE(Tabela1[[#This Row],[5]],",",""))+1,1),"")</f>
        <v>1</v>
      </c>
      <c r="AE493" t="str">
        <f>IF(Tabela1[[#This Row],[6]]&lt;&gt;"",IF(ISNUMBER(FIND(",",Tabela1[[#This Row],[6]])),LEN(Tabela1[[#This Row],[6]])-LEN(SUBSTITUTE(Tabela1[[#This Row],[6]],",",""))+1,1),"")</f>
        <v/>
      </c>
      <c r="AF493" t="str">
        <f>IF(Tabela1[[#This Row],[7]]&lt;&gt;"",IF(ISNUMBER(FIND(",",Tabela1[[#This Row],[7]])),LEN(Tabela1[[#This Row],[7]])-LEN(SUBSTITUTE(Tabela1[[#This Row],[7]],",",""))+1,1),"")</f>
        <v/>
      </c>
      <c r="AG493" t="str">
        <f>IF(Tabela1[[#This Row],[8]]&lt;&gt;"",IF(ISNUMBER(FIND(",",Tabela1[[#This Row],[8]])),LEN(Tabela1[[#This Row],[8]])-LEN(SUBSTITUTE(Tabela1[[#This Row],[8]],",",""))+1,1),"")</f>
        <v/>
      </c>
      <c r="AH493" t="str">
        <f>IF(Tabela1[[#This Row],[9]]&lt;&gt;"",IF(ISNUMBER(FIND(",",Tabela1[[#This Row],[9]])),LEN(Tabela1[[#This Row],[9]])-LEN(SUBSTITUTE(Tabela1[[#This Row],[9]],",",""))+1,1),"")</f>
        <v/>
      </c>
      <c r="AI493" t="str">
        <f>IF(Tabela1[[#This Row],[10]]&lt;&gt;"",IF(ISNUMBER(FIND(",",Tabela1[[#This Row],[10]])),LEN(Tabela1[[#This Row],[10]])-LEN(SUBSTITUTE(Tabela1[[#This Row],[10]],",",""))+1,1),"")</f>
        <v/>
      </c>
      <c r="AJ493" t="str">
        <f>IF(Tabela1[[#This Row],[11]]&lt;&gt;"",IF(ISNUMBER(FIND(",",Tabela1[[#This Row],[11]])),LEN(Tabela1[[#This Row],[11]])-LEN(SUBSTITUTE(Tabela1[[#This Row],[11]],",",""))+1,1),"")</f>
        <v/>
      </c>
      <c r="AK493" t="str">
        <f>IF(Tabela1[[#This Row],[12]]&lt;&gt;"",IF(ISNUMBER(FIND(",",Tabela1[[#This Row],[12]])),LEN(Tabela1[[#This Row],[12]])-LEN(SUBSTITUTE(Tabela1[[#This Row],[12]],",",""))+1,1),"")</f>
        <v/>
      </c>
      <c r="AL493" t="str">
        <f>IF(Tabela1[[#This Row],[13]]&lt;&gt;"",IF(ISNUMBER(FIND(",",Tabela1[[#This Row],[13]])),LEN(Tabela1[[#This Row],[13]])-LEN(SUBSTITUTE(Tabela1[[#This Row],[13]],",",""))+1,1),"")</f>
        <v/>
      </c>
      <c r="AM493" t="str">
        <f>IF(Tabela1[[#This Row],[14]]&lt;&gt;"",IF(ISNUMBER(FIND(",",Tabela1[[#This Row],[14]])),LEN(Tabela1[[#This Row],[14]])-LEN(SUBSTITUTE(Tabela1[[#This Row],[14]],",",""))+1,1),"")</f>
        <v/>
      </c>
      <c r="AN493" t="str">
        <f>IF(Tabela1[[#This Row],[15]]&lt;&gt;"",IF(ISNUMBER(FIND(",",Tabela1[[#This Row],[15]])),LEN(Tabela1[[#This Row],[15]])-LEN(SUBSTITUTE(Tabela1[[#This Row],[15]],",",""))+1,1),"")</f>
        <v/>
      </c>
      <c r="AO493" t="str">
        <f>IF(Tabela1[[#This Row],[16]]&lt;&gt;"",IF(ISNUMBER(FIND(",",Tabela1[[#This Row],[16]])),LEN(Tabela1[[#This Row],[16]])-LEN(SUBSTITUTE(Tabela1[[#This Row],[16]],",",""))+1,1),"")</f>
        <v/>
      </c>
      <c r="AP493" t="str">
        <f>IF(Tabela1[[#This Row],[17]]&lt;&gt;"",IF(ISNUMBER(FIND(",",Tabela1[[#This Row],[17]])),LEN(Tabela1[[#This Row],[17]])-LEN(SUBSTITUTE(Tabela1[[#This Row],[17]],",",""))+1,1),"")</f>
        <v/>
      </c>
      <c r="AQ493" t="str">
        <f>IF(Tabela1[[#This Row],[18]]&lt;&gt;"",IF(ISNUMBER(FIND(",",Tabela1[[#This Row],[18]])),LEN(Tabela1[[#This Row],[18]])-LEN(SUBSTITUTE(Tabela1[[#This Row],[18]],",",""))+1,1),"")</f>
        <v/>
      </c>
      <c r="AR493" s="13" t="str">
        <f>IF(Tabela1[[#This Row],[19_LENGTH]]&lt;&gt;"",IF(ISNUMBER(FIND(",",Tabela1[[#This Row],[19_LENGTH]])),LEN(Tabela1[[#This Row],[19_LENGTH]])-LEN(SUBSTITUTE(Tabela1[[#This Row],[19_LENGTH]],",",""))+1,1),"")</f>
        <v/>
      </c>
      <c r="AS493" s="21">
        <f>SUM(Tabela1[[#This Row],[1_]:[19_]])</f>
        <v>1</v>
      </c>
    </row>
    <row r="494" spans="1:45" x14ac:dyDescent="0.25">
      <c r="A494" s="27" t="s">
        <v>1328</v>
      </c>
      <c r="B494" s="19" t="s">
        <v>858</v>
      </c>
      <c r="C494" s="19">
        <v>102</v>
      </c>
      <c r="D494" s="19" t="s">
        <v>1308</v>
      </c>
      <c r="E494" s="20">
        <v>43535</v>
      </c>
      <c r="F494" s="19"/>
      <c r="G494" s="19"/>
      <c r="H494" s="19"/>
      <c r="I494" s="19"/>
      <c r="J494" s="19"/>
      <c r="K494" s="19"/>
      <c r="L494" s="19"/>
      <c r="M494" s="19"/>
      <c r="N494" s="19"/>
      <c r="O494" s="19"/>
      <c r="P494" s="19"/>
      <c r="Q494" s="19"/>
      <c r="R494" s="19"/>
      <c r="S494" s="19"/>
      <c r="T494" s="19"/>
      <c r="U494" s="19"/>
      <c r="V494" s="19">
        <v>94</v>
      </c>
      <c r="W494" s="19"/>
      <c r="X494" s="19"/>
      <c r="Y494" s="19"/>
      <c r="Z494" t="str">
        <f>IF(Tabela1[[#This Row],[1]]&lt;&gt;"",IF(ISNUMBER(FIND(",",Tabela1[[#This Row],[1]])),LEN(Tabela1[[#This Row],[1]])-LEN(SUBSTITUTE(Tabela1[[#This Row],[1]],",",""))+1,1),"")</f>
        <v/>
      </c>
      <c r="AA494" t="str">
        <f>IF(Tabela1[[#This Row],[2]]&lt;&gt;"",IF(ISNUMBER(FIND(",",Tabela1[[#This Row],[2]])),LEN(Tabela1[[#This Row],[2]])-LEN(SUBSTITUTE(Tabela1[[#This Row],[2]],",",""))+1,1),"")</f>
        <v/>
      </c>
      <c r="AB494" t="str">
        <f>IF(Tabela1[[#This Row],[3]]&lt;&gt;"",IF(ISNUMBER(FIND(",",Tabela1[[#This Row],[3]])),LEN(Tabela1[[#This Row],[3]])-LEN(SUBSTITUTE(Tabela1[[#This Row],[3]],",",""))+1,1),"")</f>
        <v/>
      </c>
      <c r="AC494" t="str">
        <f>IF(Tabela1[[#This Row],[4]]&lt;&gt;"",IF(ISNUMBER(FIND(",",Tabela1[[#This Row],[4]])),LEN(Tabela1[[#This Row],[4]])-LEN(SUBSTITUTE(Tabela1[[#This Row],[4]],",",""))+1,1),"")</f>
        <v/>
      </c>
      <c r="AD494" t="str">
        <f>IF(Tabela1[[#This Row],[5]]&lt;&gt;"",IF(ISNUMBER(FIND(",",Tabela1[[#This Row],[5]])),LEN(Tabela1[[#This Row],[5]])-LEN(SUBSTITUTE(Tabela1[[#This Row],[5]],",",""))+1,1),"")</f>
        <v/>
      </c>
      <c r="AE494" t="str">
        <f>IF(Tabela1[[#This Row],[6]]&lt;&gt;"",IF(ISNUMBER(FIND(",",Tabela1[[#This Row],[6]])),LEN(Tabela1[[#This Row],[6]])-LEN(SUBSTITUTE(Tabela1[[#This Row],[6]],",",""))+1,1),"")</f>
        <v/>
      </c>
      <c r="AF494" t="str">
        <f>IF(Tabela1[[#This Row],[7]]&lt;&gt;"",IF(ISNUMBER(FIND(",",Tabela1[[#This Row],[7]])),LEN(Tabela1[[#This Row],[7]])-LEN(SUBSTITUTE(Tabela1[[#This Row],[7]],",",""))+1,1),"")</f>
        <v/>
      </c>
      <c r="AG494" t="str">
        <f>IF(Tabela1[[#This Row],[8]]&lt;&gt;"",IF(ISNUMBER(FIND(",",Tabela1[[#This Row],[8]])),LEN(Tabela1[[#This Row],[8]])-LEN(SUBSTITUTE(Tabela1[[#This Row],[8]],",",""))+1,1),"")</f>
        <v/>
      </c>
      <c r="AH494" t="str">
        <f>IF(Tabela1[[#This Row],[9]]&lt;&gt;"",IF(ISNUMBER(FIND(",",Tabela1[[#This Row],[9]])),LEN(Tabela1[[#This Row],[9]])-LEN(SUBSTITUTE(Tabela1[[#This Row],[9]],",",""))+1,1),"")</f>
        <v/>
      </c>
      <c r="AI494" t="str">
        <f>IF(Tabela1[[#This Row],[10]]&lt;&gt;"",IF(ISNUMBER(FIND(",",Tabela1[[#This Row],[10]])),LEN(Tabela1[[#This Row],[10]])-LEN(SUBSTITUTE(Tabela1[[#This Row],[10]],",",""))+1,1),"")</f>
        <v/>
      </c>
      <c r="AJ494" t="str">
        <f>IF(Tabela1[[#This Row],[11]]&lt;&gt;"",IF(ISNUMBER(FIND(",",Tabela1[[#This Row],[11]])),LEN(Tabela1[[#This Row],[11]])-LEN(SUBSTITUTE(Tabela1[[#This Row],[11]],",",""))+1,1),"")</f>
        <v/>
      </c>
      <c r="AK494" t="str">
        <f>IF(Tabela1[[#This Row],[12]]&lt;&gt;"",IF(ISNUMBER(FIND(",",Tabela1[[#This Row],[12]])),LEN(Tabela1[[#This Row],[12]])-LEN(SUBSTITUTE(Tabela1[[#This Row],[12]],",",""))+1,1),"")</f>
        <v/>
      </c>
      <c r="AL494" t="str">
        <f>IF(Tabela1[[#This Row],[13]]&lt;&gt;"",IF(ISNUMBER(FIND(",",Tabela1[[#This Row],[13]])),LEN(Tabela1[[#This Row],[13]])-LEN(SUBSTITUTE(Tabela1[[#This Row],[13]],",",""))+1,1),"")</f>
        <v/>
      </c>
      <c r="AM494" t="str">
        <f>IF(Tabela1[[#This Row],[14]]&lt;&gt;"",IF(ISNUMBER(FIND(",",Tabela1[[#This Row],[14]])),LEN(Tabela1[[#This Row],[14]])-LEN(SUBSTITUTE(Tabela1[[#This Row],[14]],",",""))+1,1),"")</f>
        <v/>
      </c>
      <c r="AN494" t="str">
        <f>IF(Tabela1[[#This Row],[15]]&lt;&gt;"",IF(ISNUMBER(FIND(",",Tabela1[[#This Row],[15]])),LEN(Tabela1[[#This Row],[15]])-LEN(SUBSTITUTE(Tabela1[[#This Row],[15]],",",""))+1,1),"")</f>
        <v/>
      </c>
      <c r="AO494" t="str">
        <f>IF(Tabela1[[#This Row],[16]]&lt;&gt;"",IF(ISNUMBER(FIND(",",Tabela1[[#This Row],[16]])),LEN(Tabela1[[#This Row],[16]])-LEN(SUBSTITUTE(Tabela1[[#This Row],[16]],",",""))+1,1),"")</f>
        <v/>
      </c>
      <c r="AP494">
        <f>IF(Tabela1[[#This Row],[17]]&lt;&gt;"",IF(ISNUMBER(FIND(",",Tabela1[[#This Row],[17]])),LEN(Tabela1[[#This Row],[17]])-LEN(SUBSTITUTE(Tabela1[[#This Row],[17]],",",""))+1,1),"")</f>
        <v>1</v>
      </c>
      <c r="AQ494" t="str">
        <f>IF(Tabela1[[#This Row],[18]]&lt;&gt;"",IF(ISNUMBER(FIND(",",Tabela1[[#This Row],[18]])),LEN(Tabela1[[#This Row],[18]])-LEN(SUBSTITUTE(Tabela1[[#This Row],[18]],",",""))+1,1),"")</f>
        <v/>
      </c>
      <c r="AR494" s="13" t="str">
        <f>IF(Tabela1[[#This Row],[19_LENGTH]]&lt;&gt;"",IF(ISNUMBER(FIND(",",Tabela1[[#This Row],[19_LENGTH]])),LEN(Tabela1[[#This Row],[19_LENGTH]])-LEN(SUBSTITUTE(Tabela1[[#This Row],[19_LENGTH]],",",""))+1,1),"")</f>
        <v/>
      </c>
      <c r="AS494" s="21">
        <f>SUM(Tabela1[[#This Row],[1_]:[19_]])</f>
        <v>1</v>
      </c>
    </row>
    <row r="495" spans="1:45" x14ac:dyDescent="0.25">
      <c r="A495" s="27" t="s">
        <v>1328</v>
      </c>
      <c r="B495" s="19" t="s">
        <v>563</v>
      </c>
      <c r="C495" s="19">
        <v>92</v>
      </c>
      <c r="D495" s="19" t="s">
        <v>1314</v>
      </c>
      <c r="E495" s="20">
        <v>43535</v>
      </c>
      <c r="F495" s="19"/>
      <c r="G495" s="19"/>
      <c r="H495" s="19"/>
      <c r="I495" s="19"/>
      <c r="J495" s="19"/>
      <c r="K495" s="19"/>
      <c r="L495" s="19"/>
      <c r="M495" s="19"/>
      <c r="N495" s="19"/>
      <c r="O495" s="19"/>
      <c r="P495" s="19"/>
      <c r="Q495" s="19"/>
      <c r="R495" s="19"/>
      <c r="S495" s="19"/>
      <c r="T495" s="19"/>
      <c r="U495" s="19">
        <v>22</v>
      </c>
      <c r="V495" s="19"/>
      <c r="W495" s="19"/>
      <c r="X495" s="19"/>
      <c r="Y495" s="19"/>
      <c r="Z495" t="str">
        <f>IF(Tabela1[[#This Row],[1]]&lt;&gt;"",IF(ISNUMBER(FIND(",",Tabela1[[#This Row],[1]])),LEN(Tabela1[[#This Row],[1]])-LEN(SUBSTITUTE(Tabela1[[#This Row],[1]],",",""))+1,1),"")</f>
        <v/>
      </c>
      <c r="AA495" t="str">
        <f>IF(Tabela1[[#This Row],[2]]&lt;&gt;"",IF(ISNUMBER(FIND(",",Tabela1[[#This Row],[2]])),LEN(Tabela1[[#This Row],[2]])-LEN(SUBSTITUTE(Tabela1[[#This Row],[2]],",",""))+1,1),"")</f>
        <v/>
      </c>
      <c r="AB495" t="str">
        <f>IF(Tabela1[[#This Row],[3]]&lt;&gt;"",IF(ISNUMBER(FIND(",",Tabela1[[#This Row],[3]])),LEN(Tabela1[[#This Row],[3]])-LEN(SUBSTITUTE(Tabela1[[#This Row],[3]],",",""))+1,1),"")</f>
        <v/>
      </c>
      <c r="AC495" t="str">
        <f>IF(Tabela1[[#This Row],[4]]&lt;&gt;"",IF(ISNUMBER(FIND(",",Tabela1[[#This Row],[4]])),LEN(Tabela1[[#This Row],[4]])-LEN(SUBSTITUTE(Tabela1[[#This Row],[4]],",",""))+1,1),"")</f>
        <v/>
      </c>
      <c r="AD495" t="str">
        <f>IF(Tabela1[[#This Row],[5]]&lt;&gt;"",IF(ISNUMBER(FIND(",",Tabela1[[#This Row],[5]])),LEN(Tabela1[[#This Row],[5]])-LEN(SUBSTITUTE(Tabela1[[#This Row],[5]],",",""))+1,1),"")</f>
        <v/>
      </c>
      <c r="AE495" t="str">
        <f>IF(Tabela1[[#This Row],[6]]&lt;&gt;"",IF(ISNUMBER(FIND(",",Tabela1[[#This Row],[6]])),LEN(Tabela1[[#This Row],[6]])-LEN(SUBSTITUTE(Tabela1[[#This Row],[6]],",",""))+1,1),"")</f>
        <v/>
      </c>
      <c r="AF495" t="str">
        <f>IF(Tabela1[[#This Row],[7]]&lt;&gt;"",IF(ISNUMBER(FIND(",",Tabela1[[#This Row],[7]])),LEN(Tabela1[[#This Row],[7]])-LEN(SUBSTITUTE(Tabela1[[#This Row],[7]],",",""))+1,1),"")</f>
        <v/>
      </c>
      <c r="AG495" t="str">
        <f>IF(Tabela1[[#This Row],[8]]&lt;&gt;"",IF(ISNUMBER(FIND(",",Tabela1[[#This Row],[8]])),LEN(Tabela1[[#This Row],[8]])-LEN(SUBSTITUTE(Tabela1[[#This Row],[8]],",",""))+1,1),"")</f>
        <v/>
      </c>
      <c r="AH495" t="str">
        <f>IF(Tabela1[[#This Row],[9]]&lt;&gt;"",IF(ISNUMBER(FIND(",",Tabela1[[#This Row],[9]])),LEN(Tabela1[[#This Row],[9]])-LEN(SUBSTITUTE(Tabela1[[#This Row],[9]],",",""))+1,1),"")</f>
        <v/>
      </c>
      <c r="AI495" t="str">
        <f>IF(Tabela1[[#This Row],[10]]&lt;&gt;"",IF(ISNUMBER(FIND(",",Tabela1[[#This Row],[10]])),LEN(Tabela1[[#This Row],[10]])-LEN(SUBSTITUTE(Tabela1[[#This Row],[10]],",",""))+1,1),"")</f>
        <v/>
      </c>
      <c r="AJ495" t="str">
        <f>IF(Tabela1[[#This Row],[11]]&lt;&gt;"",IF(ISNUMBER(FIND(",",Tabela1[[#This Row],[11]])),LEN(Tabela1[[#This Row],[11]])-LEN(SUBSTITUTE(Tabela1[[#This Row],[11]],",",""))+1,1),"")</f>
        <v/>
      </c>
      <c r="AK495" t="str">
        <f>IF(Tabela1[[#This Row],[12]]&lt;&gt;"",IF(ISNUMBER(FIND(",",Tabela1[[#This Row],[12]])),LEN(Tabela1[[#This Row],[12]])-LEN(SUBSTITUTE(Tabela1[[#This Row],[12]],",",""))+1,1),"")</f>
        <v/>
      </c>
      <c r="AL495" t="str">
        <f>IF(Tabela1[[#This Row],[13]]&lt;&gt;"",IF(ISNUMBER(FIND(",",Tabela1[[#This Row],[13]])),LEN(Tabela1[[#This Row],[13]])-LEN(SUBSTITUTE(Tabela1[[#This Row],[13]],",",""))+1,1),"")</f>
        <v/>
      </c>
      <c r="AM495" t="str">
        <f>IF(Tabela1[[#This Row],[14]]&lt;&gt;"",IF(ISNUMBER(FIND(",",Tabela1[[#This Row],[14]])),LEN(Tabela1[[#This Row],[14]])-LEN(SUBSTITUTE(Tabela1[[#This Row],[14]],",",""))+1,1),"")</f>
        <v/>
      </c>
      <c r="AN495" t="str">
        <f>IF(Tabela1[[#This Row],[15]]&lt;&gt;"",IF(ISNUMBER(FIND(",",Tabela1[[#This Row],[15]])),LEN(Tabela1[[#This Row],[15]])-LEN(SUBSTITUTE(Tabela1[[#This Row],[15]],",",""))+1,1),"")</f>
        <v/>
      </c>
      <c r="AO495">
        <f>IF(Tabela1[[#This Row],[16]]&lt;&gt;"",IF(ISNUMBER(FIND(",",Tabela1[[#This Row],[16]])),LEN(Tabela1[[#This Row],[16]])-LEN(SUBSTITUTE(Tabela1[[#This Row],[16]],",",""))+1,1),"")</f>
        <v>1</v>
      </c>
      <c r="AP495" t="str">
        <f>IF(Tabela1[[#This Row],[17]]&lt;&gt;"",IF(ISNUMBER(FIND(",",Tabela1[[#This Row],[17]])),LEN(Tabela1[[#This Row],[17]])-LEN(SUBSTITUTE(Tabela1[[#This Row],[17]],",",""))+1,1),"")</f>
        <v/>
      </c>
      <c r="AQ495" t="str">
        <f>IF(Tabela1[[#This Row],[18]]&lt;&gt;"",IF(ISNUMBER(FIND(",",Tabela1[[#This Row],[18]])),LEN(Tabela1[[#This Row],[18]])-LEN(SUBSTITUTE(Tabela1[[#This Row],[18]],",",""))+1,1),"")</f>
        <v/>
      </c>
      <c r="AR495" s="13" t="str">
        <f>IF(Tabela1[[#This Row],[19_LENGTH]]&lt;&gt;"",IF(ISNUMBER(FIND(",",Tabela1[[#This Row],[19_LENGTH]])),LEN(Tabela1[[#This Row],[19_LENGTH]])-LEN(SUBSTITUTE(Tabela1[[#This Row],[19_LENGTH]],",",""))+1,1),"")</f>
        <v/>
      </c>
      <c r="AS495" s="21">
        <f>SUM(Tabela1[[#This Row],[1_]:[19_]])</f>
        <v>1</v>
      </c>
    </row>
    <row r="496" spans="1:45" x14ac:dyDescent="0.25">
      <c r="A496" s="27" t="s">
        <v>1328</v>
      </c>
      <c r="B496" s="19" t="s">
        <v>564</v>
      </c>
      <c r="C496" s="19">
        <v>102</v>
      </c>
      <c r="D496" s="19" t="s">
        <v>1314</v>
      </c>
      <c r="E496" s="20">
        <v>43535</v>
      </c>
      <c r="F496" s="19"/>
      <c r="G496" s="19"/>
      <c r="H496" s="19"/>
      <c r="I496" s="19">
        <v>80</v>
      </c>
      <c r="J496" s="19"/>
      <c r="K496" s="19"/>
      <c r="L496" s="19"/>
      <c r="M496" s="19"/>
      <c r="N496" s="19"/>
      <c r="O496" s="19"/>
      <c r="P496" s="19"/>
      <c r="Q496" s="19"/>
      <c r="R496" s="19"/>
      <c r="S496" s="19"/>
      <c r="T496" s="19"/>
      <c r="U496" s="19"/>
      <c r="V496" s="19"/>
      <c r="W496" s="19"/>
      <c r="X496" s="19"/>
      <c r="Y496" s="19"/>
      <c r="Z496" t="str">
        <f>IF(Tabela1[[#This Row],[1]]&lt;&gt;"",IF(ISNUMBER(FIND(",",Tabela1[[#This Row],[1]])),LEN(Tabela1[[#This Row],[1]])-LEN(SUBSTITUTE(Tabela1[[#This Row],[1]],",",""))+1,1),"")</f>
        <v/>
      </c>
      <c r="AA496" t="str">
        <f>IF(Tabela1[[#This Row],[2]]&lt;&gt;"",IF(ISNUMBER(FIND(",",Tabela1[[#This Row],[2]])),LEN(Tabela1[[#This Row],[2]])-LEN(SUBSTITUTE(Tabela1[[#This Row],[2]],",",""))+1,1),"")</f>
        <v/>
      </c>
      <c r="AB496" t="str">
        <f>IF(Tabela1[[#This Row],[3]]&lt;&gt;"",IF(ISNUMBER(FIND(",",Tabela1[[#This Row],[3]])),LEN(Tabela1[[#This Row],[3]])-LEN(SUBSTITUTE(Tabela1[[#This Row],[3]],",",""))+1,1),"")</f>
        <v/>
      </c>
      <c r="AC496">
        <f>IF(Tabela1[[#This Row],[4]]&lt;&gt;"",IF(ISNUMBER(FIND(",",Tabela1[[#This Row],[4]])),LEN(Tabela1[[#This Row],[4]])-LEN(SUBSTITUTE(Tabela1[[#This Row],[4]],",",""))+1,1),"")</f>
        <v>1</v>
      </c>
      <c r="AD496" t="str">
        <f>IF(Tabela1[[#This Row],[5]]&lt;&gt;"",IF(ISNUMBER(FIND(",",Tabela1[[#This Row],[5]])),LEN(Tabela1[[#This Row],[5]])-LEN(SUBSTITUTE(Tabela1[[#This Row],[5]],",",""))+1,1),"")</f>
        <v/>
      </c>
      <c r="AE496" t="str">
        <f>IF(Tabela1[[#This Row],[6]]&lt;&gt;"",IF(ISNUMBER(FIND(",",Tabela1[[#This Row],[6]])),LEN(Tabela1[[#This Row],[6]])-LEN(SUBSTITUTE(Tabela1[[#This Row],[6]],",",""))+1,1),"")</f>
        <v/>
      </c>
      <c r="AF496" t="str">
        <f>IF(Tabela1[[#This Row],[7]]&lt;&gt;"",IF(ISNUMBER(FIND(",",Tabela1[[#This Row],[7]])),LEN(Tabela1[[#This Row],[7]])-LEN(SUBSTITUTE(Tabela1[[#This Row],[7]],",",""))+1,1),"")</f>
        <v/>
      </c>
      <c r="AG496" t="str">
        <f>IF(Tabela1[[#This Row],[8]]&lt;&gt;"",IF(ISNUMBER(FIND(",",Tabela1[[#This Row],[8]])),LEN(Tabela1[[#This Row],[8]])-LEN(SUBSTITUTE(Tabela1[[#This Row],[8]],",",""))+1,1),"")</f>
        <v/>
      </c>
      <c r="AH496" t="str">
        <f>IF(Tabela1[[#This Row],[9]]&lt;&gt;"",IF(ISNUMBER(FIND(",",Tabela1[[#This Row],[9]])),LEN(Tabela1[[#This Row],[9]])-LEN(SUBSTITUTE(Tabela1[[#This Row],[9]],",",""))+1,1),"")</f>
        <v/>
      </c>
      <c r="AI496" t="str">
        <f>IF(Tabela1[[#This Row],[10]]&lt;&gt;"",IF(ISNUMBER(FIND(",",Tabela1[[#This Row],[10]])),LEN(Tabela1[[#This Row],[10]])-LEN(SUBSTITUTE(Tabela1[[#This Row],[10]],",",""))+1,1),"")</f>
        <v/>
      </c>
      <c r="AJ496" t="str">
        <f>IF(Tabela1[[#This Row],[11]]&lt;&gt;"",IF(ISNUMBER(FIND(",",Tabela1[[#This Row],[11]])),LEN(Tabela1[[#This Row],[11]])-LEN(SUBSTITUTE(Tabela1[[#This Row],[11]],",",""))+1,1),"")</f>
        <v/>
      </c>
      <c r="AK496" t="str">
        <f>IF(Tabela1[[#This Row],[12]]&lt;&gt;"",IF(ISNUMBER(FIND(",",Tabela1[[#This Row],[12]])),LEN(Tabela1[[#This Row],[12]])-LEN(SUBSTITUTE(Tabela1[[#This Row],[12]],",",""))+1,1),"")</f>
        <v/>
      </c>
      <c r="AL496" t="str">
        <f>IF(Tabela1[[#This Row],[13]]&lt;&gt;"",IF(ISNUMBER(FIND(",",Tabela1[[#This Row],[13]])),LEN(Tabela1[[#This Row],[13]])-LEN(SUBSTITUTE(Tabela1[[#This Row],[13]],",",""))+1,1),"")</f>
        <v/>
      </c>
      <c r="AM496" t="str">
        <f>IF(Tabela1[[#This Row],[14]]&lt;&gt;"",IF(ISNUMBER(FIND(",",Tabela1[[#This Row],[14]])),LEN(Tabela1[[#This Row],[14]])-LEN(SUBSTITUTE(Tabela1[[#This Row],[14]],",",""))+1,1),"")</f>
        <v/>
      </c>
      <c r="AN496" t="str">
        <f>IF(Tabela1[[#This Row],[15]]&lt;&gt;"",IF(ISNUMBER(FIND(",",Tabela1[[#This Row],[15]])),LEN(Tabela1[[#This Row],[15]])-LEN(SUBSTITUTE(Tabela1[[#This Row],[15]],",",""))+1,1),"")</f>
        <v/>
      </c>
      <c r="AO496" t="str">
        <f>IF(Tabela1[[#This Row],[16]]&lt;&gt;"",IF(ISNUMBER(FIND(",",Tabela1[[#This Row],[16]])),LEN(Tabela1[[#This Row],[16]])-LEN(SUBSTITUTE(Tabela1[[#This Row],[16]],",",""))+1,1),"")</f>
        <v/>
      </c>
      <c r="AP496" t="str">
        <f>IF(Tabela1[[#This Row],[17]]&lt;&gt;"",IF(ISNUMBER(FIND(",",Tabela1[[#This Row],[17]])),LEN(Tabela1[[#This Row],[17]])-LEN(SUBSTITUTE(Tabela1[[#This Row],[17]],",",""))+1,1),"")</f>
        <v/>
      </c>
      <c r="AQ496" t="str">
        <f>IF(Tabela1[[#This Row],[18]]&lt;&gt;"",IF(ISNUMBER(FIND(",",Tabela1[[#This Row],[18]])),LEN(Tabela1[[#This Row],[18]])-LEN(SUBSTITUTE(Tabela1[[#This Row],[18]],",",""))+1,1),"")</f>
        <v/>
      </c>
      <c r="AR496" s="13" t="str">
        <f>IF(Tabela1[[#This Row],[19_LENGTH]]&lt;&gt;"",IF(ISNUMBER(FIND(",",Tabela1[[#This Row],[19_LENGTH]])),LEN(Tabela1[[#This Row],[19_LENGTH]])-LEN(SUBSTITUTE(Tabela1[[#This Row],[19_LENGTH]],",",""))+1,1),"")</f>
        <v/>
      </c>
      <c r="AS496" s="21">
        <f>SUM(Tabela1[[#This Row],[1_]:[19_]])</f>
        <v>1</v>
      </c>
    </row>
    <row r="497" spans="1:45" x14ac:dyDescent="0.25">
      <c r="A497" s="27" t="s">
        <v>1328</v>
      </c>
      <c r="B497" s="19" t="s">
        <v>565</v>
      </c>
      <c r="C497" s="19">
        <v>102</v>
      </c>
      <c r="D497" s="19" t="s">
        <v>1314</v>
      </c>
      <c r="E497" s="20">
        <v>43535</v>
      </c>
      <c r="F497" s="19"/>
      <c r="G497" s="19"/>
      <c r="H497" s="19"/>
      <c r="I497" s="19"/>
      <c r="J497" s="19">
        <v>71</v>
      </c>
      <c r="K497" s="19"/>
      <c r="L497" s="19"/>
      <c r="M497" s="19"/>
      <c r="N497" s="19"/>
      <c r="O497" s="19"/>
      <c r="P497" s="19"/>
      <c r="Q497" s="19"/>
      <c r="R497" s="19"/>
      <c r="S497" s="19"/>
      <c r="T497" s="19"/>
      <c r="U497" s="19"/>
      <c r="V497" s="19"/>
      <c r="W497" s="19"/>
      <c r="X497" s="19"/>
      <c r="Y497" s="19"/>
      <c r="Z497" t="str">
        <f>IF(Tabela1[[#This Row],[1]]&lt;&gt;"",IF(ISNUMBER(FIND(",",Tabela1[[#This Row],[1]])),LEN(Tabela1[[#This Row],[1]])-LEN(SUBSTITUTE(Tabela1[[#This Row],[1]],",",""))+1,1),"")</f>
        <v/>
      </c>
      <c r="AA497" t="str">
        <f>IF(Tabela1[[#This Row],[2]]&lt;&gt;"",IF(ISNUMBER(FIND(",",Tabela1[[#This Row],[2]])),LEN(Tabela1[[#This Row],[2]])-LEN(SUBSTITUTE(Tabela1[[#This Row],[2]],",",""))+1,1),"")</f>
        <v/>
      </c>
      <c r="AB497" t="str">
        <f>IF(Tabela1[[#This Row],[3]]&lt;&gt;"",IF(ISNUMBER(FIND(",",Tabela1[[#This Row],[3]])),LEN(Tabela1[[#This Row],[3]])-LEN(SUBSTITUTE(Tabela1[[#This Row],[3]],",",""))+1,1),"")</f>
        <v/>
      </c>
      <c r="AC497" t="str">
        <f>IF(Tabela1[[#This Row],[4]]&lt;&gt;"",IF(ISNUMBER(FIND(",",Tabela1[[#This Row],[4]])),LEN(Tabela1[[#This Row],[4]])-LEN(SUBSTITUTE(Tabela1[[#This Row],[4]],",",""))+1,1),"")</f>
        <v/>
      </c>
      <c r="AD497">
        <f>IF(Tabela1[[#This Row],[5]]&lt;&gt;"",IF(ISNUMBER(FIND(",",Tabela1[[#This Row],[5]])),LEN(Tabela1[[#This Row],[5]])-LEN(SUBSTITUTE(Tabela1[[#This Row],[5]],",",""))+1,1),"")</f>
        <v>1</v>
      </c>
      <c r="AE497" t="str">
        <f>IF(Tabela1[[#This Row],[6]]&lt;&gt;"",IF(ISNUMBER(FIND(",",Tabela1[[#This Row],[6]])),LEN(Tabela1[[#This Row],[6]])-LEN(SUBSTITUTE(Tabela1[[#This Row],[6]],",",""))+1,1),"")</f>
        <v/>
      </c>
      <c r="AF497" t="str">
        <f>IF(Tabela1[[#This Row],[7]]&lt;&gt;"",IF(ISNUMBER(FIND(",",Tabela1[[#This Row],[7]])),LEN(Tabela1[[#This Row],[7]])-LEN(SUBSTITUTE(Tabela1[[#This Row],[7]],",",""))+1,1),"")</f>
        <v/>
      </c>
      <c r="AG497" t="str">
        <f>IF(Tabela1[[#This Row],[8]]&lt;&gt;"",IF(ISNUMBER(FIND(",",Tabela1[[#This Row],[8]])),LEN(Tabela1[[#This Row],[8]])-LEN(SUBSTITUTE(Tabela1[[#This Row],[8]],",",""))+1,1),"")</f>
        <v/>
      </c>
      <c r="AH497" t="str">
        <f>IF(Tabela1[[#This Row],[9]]&lt;&gt;"",IF(ISNUMBER(FIND(",",Tabela1[[#This Row],[9]])),LEN(Tabela1[[#This Row],[9]])-LEN(SUBSTITUTE(Tabela1[[#This Row],[9]],",",""))+1,1),"")</f>
        <v/>
      </c>
      <c r="AI497" t="str">
        <f>IF(Tabela1[[#This Row],[10]]&lt;&gt;"",IF(ISNUMBER(FIND(",",Tabela1[[#This Row],[10]])),LEN(Tabela1[[#This Row],[10]])-LEN(SUBSTITUTE(Tabela1[[#This Row],[10]],",",""))+1,1),"")</f>
        <v/>
      </c>
      <c r="AJ497" t="str">
        <f>IF(Tabela1[[#This Row],[11]]&lt;&gt;"",IF(ISNUMBER(FIND(",",Tabela1[[#This Row],[11]])),LEN(Tabela1[[#This Row],[11]])-LEN(SUBSTITUTE(Tabela1[[#This Row],[11]],",",""))+1,1),"")</f>
        <v/>
      </c>
      <c r="AK497" t="str">
        <f>IF(Tabela1[[#This Row],[12]]&lt;&gt;"",IF(ISNUMBER(FIND(",",Tabela1[[#This Row],[12]])),LEN(Tabela1[[#This Row],[12]])-LEN(SUBSTITUTE(Tabela1[[#This Row],[12]],",",""))+1,1),"")</f>
        <v/>
      </c>
      <c r="AL497" t="str">
        <f>IF(Tabela1[[#This Row],[13]]&lt;&gt;"",IF(ISNUMBER(FIND(",",Tabela1[[#This Row],[13]])),LEN(Tabela1[[#This Row],[13]])-LEN(SUBSTITUTE(Tabela1[[#This Row],[13]],",",""))+1,1),"")</f>
        <v/>
      </c>
      <c r="AM497" t="str">
        <f>IF(Tabela1[[#This Row],[14]]&lt;&gt;"",IF(ISNUMBER(FIND(",",Tabela1[[#This Row],[14]])),LEN(Tabela1[[#This Row],[14]])-LEN(SUBSTITUTE(Tabela1[[#This Row],[14]],",",""))+1,1),"")</f>
        <v/>
      </c>
      <c r="AN497" t="str">
        <f>IF(Tabela1[[#This Row],[15]]&lt;&gt;"",IF(ISNUMBER(FIND(",",Tabela1[[#This Row],[15]])),LEN(Tabela1[[#This Row],[15]])-LEN(SUBSTITUTE(Tabela1[[#This Row],[15]],",",""))+1,1),"")</f>
        <v/>
      </c>
      <c r="AO497" t="str">
        <f>IF(Tabela1[[#This Row],[16]]&lt;&gt;"",IF(ISNUMBER(FIND(",",Tabela1[[#This Row],[16]])),LEN(Tabela1[[#This Row],[16]])-LEN(SUBSTITUTE(Tabela1[[#This Row],[16]],",",""))+1,1),"")</f>
        <v/>
      </c>
      <c r="AP497" t="str">
        <f>IF(Tabela1[[#This Row],[17]]&lt;&gt;"",IF(ISNUMBER(FIND(",",Tabela1[[#This Row],[17]])),LEN(Tabela1[[#This Row],[17]])-LEN(SUBSTITUTE(Tabela1[[#This Row],[17]],",",""))+1,1),"")</f>
        <v/>
      </c>
      <c r="AQ497" t="str">
        <f>IF(Tabela1[[#This Row],[18]]&lt;&gt;"",IF(ISNUMBER(FIND(",",Tabela1[[#This Row],[18]])),LEN(Tabela1[[#This Row],[18]])-LEN(SUBSTITUTE(Tabela1[[#This Row],[18]],",",""))+1,1),"")</f>
        <v/>
      </c>
      <c r="AR497" s="13" t="str">
        <f>IF(Tabela1[[#This Row],[19_LENGTH]]&lt;&gt;"",IF(ISNUMBER(FIND(",",Tabela1[[#This Row],[19_LENGTH]])),LEN(Tabela1[[#This Row],[19_LENGTH]])-LEN(SUBSTITUTE(Tabela1[[#This Row],[19_LENGTH]],",",""))+1,1),"")</f>
        <v/>
      </c>
      <c r="AS497" s="21">
        <f>SUM(Tabela1[[#This Row],[1_]:[19_]])</f>
        <v>1</v>
      </c>
    </row>
    <row r="498" spans="1:45" x14ac:dyDescent="0.25">
      <c r="A498" s="27" t="s">
        <v>1328</v>
      </c>
      <c r="B498" s="19" t="s">
        <v>945</v>
      </c>
      <c r="C498" s="19">
        <v>102</v>
      </c>
      <c r="D498" s="19" t="s">
        <v>1314</v>
      </c>
      <c r="E498" s="20">
        <v>43533</v>
      </c>
      <c r="F498" s="19"/>
      <c r="G498" s="19"/>
      <c r="H498" s="19"/>
      <c r="I498" s="19"/>
      <c r="J498" s="19"/>
      <c r="K498" s="19"/>
      <c r="L498" s="19"/>
      <c r="M498" s="19"/>
      <c r="N498" s="19"/>
      <c r="O498" s="19"/>
      <c r="P498" s="19"/>
      <c r="Q498" s="19"/>
      <c r="R498" s="19"/>
      <c r="S498" s="19"/>
      <c r="T498" s="19"/>
      <c r="U498" s="19"/>
      <c r="V498" s="19"/>
      <c r="W498" s="19">
        <v>45</v>
      </c>
      <c r="X498" s="19"/>
      <c r="Y498" s="19"/>
      <c r="Z498" t="str">
        <f>IF(Tabela1[[#This Row],[1]]&lt;&gt;"",IF(ISNUMBER(FIND(",",Tabela1[[#This Row],[1]])),LEN(Tabela1[[#This Row],[1]])-LEN(SUBSTITUTE(Tabela1[[#This Row],[1]],",",""))+1,1),"")</f>
        <v/>
      </c>
      <c r="AA498" t="str">
        <f>IF(Tabela1[[#This Row],[2]]&lt;&gt;"",IF(ISNUMBER(FIND(",",Tabela1[[#This Row],[2]])),LEN(Tabela1[[#This Row],[2]])-LEN(SUBSTITUTE(Tabela1[[#This Row],[2]],",",""))+1,1),"")</f>
        <v/>
      </c>
      <c r="AB498" t="str">
        <f>IF(Tabela1[[#This Row],[3]]&lt;&gt;"",IF(ISNUMBER(FIND(",",Tabela1[[#This Row],[3]])),LEN(Tabela1[[#This Row],[3]])-LEN(SUBSTITUTE(Tabela1[[#This Row],[3]],",",""))+1,1),"")</f>
        <v/>
      </c>
      <c r="AC498" t="str">
        <f>IF(Tabela1[[#This Row],[4]]&lt;&gt;"",IF(ISNUMBER(FIND(",",Tabela1[[#This Row],[4]])),LEN(Tabela1[[#This Row],[4]])-LEN(SUBSTITUTE(Tabela1[[#This Row],[4]],",",""))+1,1),"")</f>
        <v/>
      </c>
      <c r="AD498" t="str">
        <f>IF(Tabela1[[#This Row],[5]]&lt;&gt;"",IF(ISNUMBER(FIND(",",Tabela1[[#This Row],[5]])),LEN(Tabela1[[#This Row],[5]])-LEN(SUBSTITUTE(Tabela1[[#This Row],[5]],",",""))+1,1),"")</f>
        <v/>
      </c>
      <c r="AE498" t="str">
        <f>IF(Tabela1[[#This Row],[6]]&lt;&gt;"",IF(ISNUMBER(FIND(",",Tabela1[[#This Row],[6]])),LEN(Tabela1[[#This Row],[6]])-LEN(SUBSTITUTE(Tabela1[[#This Row],[6]],",",""))+1,1),"")</f>
        <v/>
      </c>
      <c r="AF498" t="str">
        <f>IF(Tabela1[[#This Row],[7]]&lt;&gt;"",IF(ISNUMBER(FIND(",",Tabela1[[#This Row],[7]])),LEN(Tabela1[[#This Row],[7]])-LEN(SUBSTITUTE(Tabela1[[#This Row],[7]],",",""))+1,1),"")</f>
        <v/>
      </c>
      <c r="AG498" t="str">
        <f>IF(Tabela1[[#This Row],[8]]&lt;&gt;"",IF(ISNUMBER(FIND(",",Tabela1[[#This Row],[8]])),LEN(Tabela1[[#This Row],[8]])-LEN(SUBSTITUTE(Tabela1[[#This Row],[8]],",",""))+1,1),"")</f>
        <v/>
      </c>
      <c r="AH498" t="str">
        <f>IF(Tabela1[[#This Row],[9]]&lt;&gt;"",IF(ISNUMBER(FIND(",",Tabela1[[#This Row],[9]])),LEN(Tabela1[[#This Row],[9]])-LEN(SUBSTITUTE(Tabela1[[#This Row],[9]],",",""))+1,1),"")</f>
        <v/>
      </c>
      <c r="AI498" t="str">
        <f>IF(Tabela1[[#This Row],[10]]&lt;&gt;"",IF(ISNUMBER(FIND(",",Tabela1[[#This Row],[10]])),LEN(Tabela1[[#This Row],[10]])-LEN(SUBSTITUTE(Tabela1[[#This Row],[10]],",",""))+1,1),"")</f>
        <v/>
      </c>
      <c r="AJ498" t="str">
        <f>IF(Tabela1[[#This Row],[11]]&lt;&gt;"",IF(ISNUMBER(FIND(",",Tabela1[[#This Row],[11]])),LEN(Tabela1[[#This Row],[11]])-LEN(SUBSTITUTE(Tabela1[[#This Row],[11]],",",""))+1,1),"")</f>
        <v/>
      </c>
      <c r="AK498" t="str">
        <f>IF(Tabela1[[#This Row],[12]]&lt;&gt;"",IF(ISNUMBER(FIND(",",Tabela1[[#This Row],[12]])),LEN(Tabela1[[#This Row],[12]])-LEN(SUBSTITUTE(Tabela1[[#This Row],[12]],",",""))+1,1),"")</f>
        <v/>
      </c>
      <c r="AL498" t="str">
        <f>IF(Tabela1[[#This Row],[13]]&lt;&gt;"",IF(ISNUMBER(FIND(",",Tabela1[[#This Row],[13]])),LEN(Tabela1[[#This Row],[13]])-LEN(SUBSTITUTE(Tabela1[[#This Row],[13]],",",""))+1,1),"")</f>
        <v/>
      </c>
      <c r="AM498" t="str">
        <f>IF(Tabela1[[#This Row],[14]]&lt;&gt;"",IF(ISNUMBER(FIND(",",Tabela1[[#This Row],[14]])),LEN(Tabela1[[#This Row],[14]])-LEN(SUBSTITUTE(Tabela1[[#This Row],[14]],",",""))+1,1),"")</f>
        <v/>
      </c>
      <c r="AN498" t="str">
        <f>IF(Tabela1[[#This Row],[15]]&lt;&gt;"",IF(ISNUMBER(FIND(",",Tabela1[[#This Row],[15]])),LEN(Tabela1[[#This Row],[15]])-LEN(SUBSTITUTE(Tabela1[[#This Row],[15]],",",""))+1,1),"")</f>
        <v/>
      </c>
      <c r="AO498" t="str">
        <f>IF(Tabela1[[#This Row],[16]]&lt;&gt;"",IF(ISNUMBER(FIND(",",Tabela1[[#This Row],[16]])),LEN(Tabela1[[#This Row],[16]])-LEN(SUBSTITUTE(Tabela1[[#This Row],[16]],",",""))+1,1),"")</f>
        <v/>
      </c>
      <c r="AP498" t="str">
        <f>IF(Tabela1[[#This Row],[17]]&lt;&gt;"",IF(ISNUMBER(FIND(",",Tabela1[[#This Row],[17]])),LEN(Tabela1[[#This Row],[17]])-LEN(SUBSTITUTE(Tabela1[[#This Row],[17]],",",""))+1,1),"")</f>
        <v/>
      </c>
      <c r="AQ498">
        <f>IF(Tabela1[[#This Row],[18]]&lt;&gt;"",IF(ISNUMBER(FIND(",",Tabela1[[#This Row],[18]])),LEN(Tabela1[[#This Row],[18]])-LEN(SUBSTITUTE(Tabela1[[#This Row],[18]],",",""))+1,1),"")</f>
        <v>1</v>
      </c>
      <c r="AR498" s="13" t="str">
        <f>IF(Tabela1[[#This Row],[19_LENGTH]]&lt;&gt;"",IF(ISNUMBER(FIND(",",Tabela1[[#This Row],[19_LENGTH]])),LEN(Tabela1[[#This Row],[19_LENGTH]])-LEN(SUBSTITUTE(Tabela1[[#This Row],[19_LENGTH]],",",""))+1,1),"")</f>
        <v/>
      </c>
      <c r="AS498" s="21">
        <f>SUM(Tabela1[[#This Row],[1_]:[19_]])</f>
        <v>1</v>
      </c>
    </row>
    <row r="499" spans="1:45" x14ac:dyDescent="0.25">
      <c r="A499" s="27" t="s">
        <v>1328</v>
      </c>
      <c r="B499" s="19" t="s">
        <v>946</v>
      </c>
      <c r="C499" s="19">
        <v>102</v>
      </c>
      <c r="D499" s="19" t="s">
        <v>1314</v>
      </c>
      <c r="E499" s="20">
        <v>43533</v>
      </c>
      <c r="F499" s="19"/>
      <c r="G499" s="19"/>
      <c r="H499" s="19"/>
      <c r="I499" s="19"/>
      <c r="J499" s="19"/>
      <c r="K499" s="19">
        <v>52</v>
      </c>
      <c r="L499" s="19"/>
      <c r="M499" s="19"/>
      <c r="N499" s="19"/>
      <c r="O499" s="19"/>
      <c r="P499" s="19"/>
      <c r="Q499" s="19"/>
      <c r="R499" s="19"/>
      <c r="S499" s="19"/>
      <c r="T499" s="19"/>
      <c r="U499" s="19"/>
      <c r="V499" s="19"/>
      <c r="W499" s="19"/>
      <c r="X499" s="19"/>
      <c r="Y499" s="19"/>
      <c r="Z499" t="str">
        <f>IF(Tabela1[[#This Row],[1]]&lt;&gt;"",IF(ISNUMBER(FIND(",",Tabela1[[#This Row],[1]])),LEN(Tabela1[[#This Row],[1]])-LEN(SUBSTITUTE(Tabela1[[#This Row],[1]],",",""))+1,1),"")</f>
        <v/>
      </c>
      <c r="AA499" t="str">
        <f>IF(Tabela1[[#This Row],[2]]&lt;&gt;"",IF(ISNUMBER(FIND(",",Tabela1[[#This Row],[2]])),LEN(Tabela1[[#This Row],[2]])-LEN(SUBSTITUTE(Tabela1[[#This Row],[2]],",",""))+1,1),"")</f>
        <v/>
      </c>
      <c r="AB499" t="str">
        <f>IF(Tabela1[[#This Row],[3]]&lt;&gt;"",IF(ISNUMBER(FIND(",",Tabela1[[#This Row],[3]])),LEN(Tabela1[[#This Row],[3]])-LEN(SUBSTITUTE(Tabela1[[#This Row],[3]],",",""))+1,1),"")</f>
        <v/>
      </c>
      <c r="AC499" t="str">
        <f>IF(Tabela1[[#This Row],[4]]&lt;&gt;"",IF(ISNUMBER(FIND(",",Tabela1[[#This Row],[4]])),LEN(Tabela1[[#This Row],[4]])-LEN(SUBSTITUTE(Tabela1[[#This Row],[4]],",",""))+1,1),"")</f>
        <v/>
      </c>
      <c r="AD499" t="str">
        <f>IF(Tabela1[[#This Row],[5]]&lt;&gt;"",IF(ISNUMBER(FIND(",",Tabela1[[#This Row],[5]])),LEN(Tabela1[[#This Row],[5]])-LEN(SUBSTITUTE(Tabela1[[#This Row],[5]],",",""))+1,1),"")</f>
        <v/>
      </c>
      <c r="AE499">
        <f>IF(Tabela1[[#This Row],[6]]&lt;&gt;"",IF(ISNUMBER(FIND(",",Tabela1[[#This Row],[6]])),LEN(Tabela1[[#This Row],[6]])-LEN(SUBSTITUTE(Tabela1[[#This Row],[6]],",",""))+1,1),"")</f>
        <v>1</v>
      </c>
      <c r="AF499" t="str">
        <f>IF(Tabela1[[#This Row],[7]]&lt;&gt;"",IF(ISNUMBER(FIND(",",Tabela1[[#This Row],[7]])),LEN(Tabela1[[#This Row],[7]])-LEN(SUBSTITUTE(Tabela1[[#This Row],[7]],",",""))+1,1),"")</f>
        <v/>
      </c>
      <c r="AG499" t="str">
        <f>IF(Tabela1[[#This Row],[8]]&lt;&gt;"",IF(ISNUMBER(FIND(",",Tabela1[[#This Row],[8]])),LEN(Tabela1[[#This Row],[8]])-LEN(SUBSTITUTE(Tabela1[[#This Row],[8]],",",""))+1,1),"")</f>
        <v/>
      </c>
      <c r="AH499" t="str">
        <f>IF(Tabela1[[#This Row],[9]]&lt;&gt;"",IF(ISNUMBER(FIND(",",Tabela1[[#This Row],[9]])),LEN(Tabela1[[#This Row],[9]])-LEN(SUBSTITUTE(Tabela1[[#This Row],[9]],",",""))+1,1),"")</f>
        <v/>
      </c>
      <c r="AI499" t="str">
        <f>IF(Tabela1[[#This Row],[10]]&lt;&gt;"",IF(ISNUMBER(FIND(",",Tabela1[[#This Row],[10]])),LEN(Tabela1[[#This Row],[10]])-LEN(SUBSTITUTE(Tabela1[[#This Row],[10]],",",""))+1,1),"")</f>
        <v/>
      </c>
      <c r="AJ499" t="str">
        <f>IF(Tabela1[[#This Row],[11]]&lt;&gt;"",IF(ISNUMBER(FIND(",",Tabela1[[#This Row],[11]])),LEN(Tabela1[[#This Row],[11]])-LEN(SUBSTITUTE(Tabela1[[#This Row],[11]],",",""))+1,1),"")</f>
        <v/>
      </c>
      <c r="AK499" t="str">
        <f>IF(Tabela1[[#This Row],[12]]&lt;&gt;"",IF(ISNUMBER(FIND(",",Tabela1[[#This Row],[12]])),LEN(Tabela1[[#This Row],[12]])-LEN(SUBSTITUTE(Tabela1[[#This Row],[12]],",",""))+1,1),"")</f>
        <v/>
      </c>
      <c r="AL499" t="str">
        <f>IF(Tabela1[[#This Row],[13]]&lt;&gt;"",IF(ISNUMBER(FIND(",",Tabela1[[#This Row],[13]])),LEN(Tabela1[[#This Row],[13]])-LEN(SUBSTITUTE(Tabela1[[#This Row],[13]],",",""))+1,1),"")</f>
        <v/>
      </c>
      <c r="AM499" t="str">
        <f>IF(Tabela1[[#This Row],[14]]&lt;&gt;"",IF(ISNUMBER(FIND(",",Tabela1[[#This Row],[14]])),LEN(Tabela1[[#This Row],[14]])-LEN(SUBSTITUTE(Tabela1[[#This Row],[14]],",",""))+1,1),"")</f>
        <v/>
      </c>
      <c r="AN499" t="str">
        <f>IF(Tabela1[[#This Row],[15]]&lt;&gt;"",IF(ISNUMBER(FIND(",",Tabela1[[#This Row],[15]])),LEN(Tabela1[[#This Row],[15]])-LEN(SUBSTITUTE(Tabela1[[#This Row],[15]],",",""))+1,1),"")</f>
        <v/>
      </c>
      <c r="AO499" t="str">
        <f>IF(Tabela1[[#This Row],[16]]&lt;&gt;"",IF(ISNUMBER(FIND(",",Tabela1[[#This Row],[16]])),LEN(Tabela1[[#This Row],[16]])-LEN(SUBSTITUTE(Tabela1[[#This Row],[16]],",",""))+1,1),"")</f>
        <v/>
      </c>
      <c r="AP499" t="str">
        <f>IF(Tabela1[[#This Row],[17]]&lt;&gt;"",IF(ISNUMBER(FIND(",",Tabela1[[#This Row],[17]])),LEN(Tabela1[[#This Row],[17]])-LEN(SUBSTITUTE(Tabela1[[#This Row],[17]],",",""))+1,1),"")</f>
        <v/>
      </c>
      <c r="AQ499" t="str">
        <f>IF(Tabela1[[#This Row],[18]]&lt;&gt;"",IF(ISNUMBER(FIND(",",Tabela1[[#This Row],[18]])),LEN(Tabela1[[#This Row],[18]])-LEN(SUBSTITUTE(Tabela1[[#This Row],[18]],",",""))+1,1),"")</f>
        <v/>
      </c>
      <c r="AR499" s="13" t="str">
        <f>IF(Tabela1[[#This Row],[19_LENGTH]]&lt;&gt;"",IF(ISNUMBER(FIND(",",Tabela1[[#This Row],[19_LENGTH]])),LEN(Tabela1[[#This Row],[19_LENGTH]])-LEN(SUBSTITUTE(Tabela1[[#This Row],[19_LENGTH]],",",""))+1,1),"")</f>
        <v/>
      </c>
      <c r="AS499" s="21">
        <f>SUM(Tabela1[[#This Row],[1_]:[19_]])</f>
        <v>1</v>
      </c>
    </row>
    <row r="500" spans="1:45" x14ac:dyDescent="0.25">
      <c r="A500" s="27" t="s">
        <v>1328</v>
      </c>
      <c r="B500" s="19" t="s">
        <v>947</v>
      </c>
      <c r="C500" s="19">
        <v>102</v>
      </c>
      <c r="D500" s="19" t="s">
        <v>1314</v>
      </c>
      <c r="E500" s="20">
        <v>43533</v>
      </c>
      <c r="F500" s="19"/>
      <c r="G500" s="19"/>
      <c r="H500" s="19"/>
      <c r="I500" s="19">
        <v>81</v>
      </c>
      <c r="J500" s="19"/>
      <c r="K500" s="19"/>
      <c r="L500" s="19"/>
      <c r="M500" s="19"/>
      <c r="N500" s="19"/>
      <c r="O500" s="19"/>
      <c r="P500" s="19"/>
      <c r="Q500" s="19"/>
      <c r="R500" s="19"/>
      <c r="S500" s="19"/>
      <c r="T500" s="19"/>
      <c r="U500" s="19"/>
      <c r="V500" s="19"/>
      <c r="W500" s="19"/>
      <c r="X500" s="19"/>
      <c r="Y500" s="19"/>
      <c r="Z500" t="str">
        <f>IF(Tabela1[[#This Row],[1]]&lt;&gt;"",IF(ISNUMBER(FIND(",",Tabela1[[#This Row],[1]])),LEN(Tabela1[[#This Row],[1]])-LEN(SUBSTITUTE(Tabela1[[#This Row],[1]],",",""))+1,1),"")</f>
        <v/>
      </c>
      <c r="AA500" t="str">
        <f>IF(Tabela1[[#This Row],[2]]&lt;&gt;"",IF(ISNUMBER(FIND(",",Tabela1[[#This Row],[2]])),LEN(Tabela1[[#This Row],[2]])-LEN(SUBSTITUTE(Tabela1[[#This Row],[2]],",",""))+1,1),"")</f>
        <v/>
      </c>
      <c r="AB500" t="str">
        <f>IF(Tabela1[[#This Row],[3]]&lt;&gt;"",IF(ISNUMBER(FIND(",",Tabela1[[#This Row],[3]])),LEN(Tabela1[[#This Row],[3]])-LEN(SUBSTITUTE(Tabela1[[#This Row],[3]],",",""))+1,1),"")</f>
        <v/>
      </c>
      <c r="AC500">
        <f>IF(Tabela1[[#This Row],[4]]&lt;&gt;"",IF(ISNUMBER(FIND(",",Tabela1[[#This Row],[4]])),LEN(Tabela1[[#This Row],[4]])-LEN(SUBSTITUTE(Tabela1[[#This Row],[4]],",",""))+1,1),"")</f>
        <v>1</v>
      </c>
      <c r="AD500" t="str">
        <f>IF(Tabela1[[#This Row],[5]]&lt;&gt;"",IF(ISNUMBER(FIND(",",Tabela1[[#This Row],[5]])),LEN(Tabela1[[#This Row],[5]])-LEN(SUBSTITUTE(Tabela1[[#This Row],[5]],",",""))+1,1),"")</f>
        <v/>
      </c>
      <c r="AE500" t="str">
        <f>IF(Tabela1[[#This Row],[6]]&lt;&gt;"",IF(ISNUMBER(FIND(",",Tabela1[[#This Row],[6]])),LEN(Tabela1[[#This Row],[6]])-LEN(SUBSTITUTE(Tabela1[[#This Row],[6]],",",""))+1,1),"")</f>
        <v/>
      </c>
      <c r="AF500" t="str">
        <f>IF(Tabela1[[#This Row],[7]]&lt;&gt;"",IF(ISNUMBER(FIND(",",Tabela1[[#This Row],[7]])),LEN(Tabela1[[#This Row],[7]])-LEN(SUBSTITUTE(Tabela1[[#This Row],[7]],",",""))+1,1),"")</f>
        <v/>
      </c>
      <c r="AG500" t="str">
        <f>IF(Tabela1[[#This Row],[8]]&lt;&gt;"",IF(ISNUMBER(FIND(",",Tabela1[[#This Row],[8]])),LEN(Tabela1[[#This Row],[8]])-LEN(SUBSTITUTE(Tabela1[[#This Row],[8]],",",""))+1,1),"")</f>
        <v/>
      </c>
      <c r="AH500" t="str">
        <f>IF(Tabela1[[#This Row],[9]]&lt;&gt;"",IF(ISNUMBER(FIND(",",Tabela1[[#This Row],[9]])),LEN(Tabela1[[#This Row],[9]])-LEN(SUBSTITUTE(Tabela1[[#This Row],[9]],",",""))+1,1),"")</f>
        <v/>
      </c>
      <c r="AI500" t="str">
        <f>IF(Tabela1[[#This Row],[10]]&lt;&gt;"",IF(ISNUMBER(FIND(",",Tabela1[[#This Row],[10]])),LEN(Tabela1[[#This Row],[10]])-LEN(SUBSTITUTE(Tabela1[[#This Row],[10]],",",""))+1,1),"")</f>
        <v/>
      </c>
      <c r="AJ500" t="str">
        <f>IF(Tabela1[[#This Row],[11]]&lt;&gt;"",IF(ISNUMBER(FIND(",",Tabela1[[#This Row],[11]])),LEN(Tabela1[[#This Row],[11]])-LEN(SUBSTITUTE(Tabela1[[#This Row],[11]],",",""))+1,1),"")</f>
        <v/>
      </c>
      <c r="AK500" t="str">
        <f>IF(Tabela1[[#This Row],[12]]&lt;&gt;"",IF(ISNUMBER(FIND(",",Tabela1[[#This Row],[12]])),LEN(Tabela1[[#This Row],[12]])-LEN(SUBSTITUTE(Tabela1[[#This Row],[12]],",",""))+1,1),"")</f>
        <v/>
      </c>
      <c r="AL500" t="str">
        <f>IF(Tabela1[[#This Row],[13]]&lt;&gt;"",IF(ISNUMBER(FIND(",",Tabela1[[#This Row],[13]])),LEN(Tabela1[[#This Row],[13]])-LEN(SUBSTITUTE(Tabela1[[#This Row],[13]],",",""))+1,1),"")</f>
        <v/>
      </c>
      <c r="AM500" t="str">
        <f>IF(Tabela1[[#This Row],[14]]&lt;&gt;"",IF(ISNUMBER(FIND(",",Tabela1[[#This Row],[14]])),LEN(Tabela1[[#This Row],[14]])-LEN(SUBSTITUTE(Tabela1[[#This Row],[14]],",",""))+1,1),"")</f>
        <v/>
      </c>
      <c r="AN500" t="str">
        <f>IF(Tabela1[[#This Row],[15]]&lt;&gt;"",IF(ISNUMBER(FIND(",",Tabela1[[#This Row],[15]])),LEN(Tabela1[[#This Row],[15]])-LEN(SUBSTITUTE(Tabela1[[#This Row],[15]],",",""))+1,1),"")</f>
        <v/>
      </c>
      <c r="AO500" t="str">
        <f>IF(Tabela1[[#This Row],[16]]&lt;&gt;"",IF(ISNUMBER(FIND(",",Tabela1[[#This Row],[16]])),LEN(Tabela1[[#This Row],[16]])-LEN(SUBSTITUTE(Tabela1[[#This Row],[16]],",",""))+1,1),"")</f>
        <v/>
      </c>
      <c r="AP500" t="str">
        <f>IF(Tabela1[[#This Row],[17]]&lt;&gt;"",IF(ISNUMBER(FIND(",",Tabela1[[#This Row],[17]])),LEN(Tabela1[[#This Row],[17]])-LEN(SUBSTITUTE(Tabela1[[#This Row],[17]],",",""))+1,1),"")</f>
        <v/>
      </c>
      <c r="AQ500" t="str">
        <f>IF(Tabela1[[#This Row],[18]]&lt;&gt;"",IF(ISNUMBER(FIND(",",Tabela1[[#This Row],[18]])),LEN(Tabela1[[#This Row],[18]])-LEN(SUBSTITUTE(Tabela1[[#This Row],[18]],",",""))+1,1),"")</f>
        <v/>
      </c>
      <c r="AR500" s="13" t="str">
        <f>IF(Tabela1[[#This Row],[19_LENGTH]]&lt;&gt;"",IF(ISNUMBER(FIND(",",Tabela1[[#This Row],[19_LENGTH]])),LEN(Tabela1[[#This Row],[19_LENGTH]])-LEN(SUBSTITUTE(Tabela1[[#This Row],[19_LENGTH]],",",""))+1,1),"")</f>
        <v/>
      </c>
      <c r="AS500" s="21">
        <f>SUM(Tabela1[[#This Row],[1_]:[19_]])</f>
        <v>1</v>
      </c>
    </row>
    <row r="501" spans="1:45" x14ac:dyDescent="0.25">
      <c r="A501" s="27" t="s">
        <v>1329</v>
      </c>
      <c r="B501" s="19" t="s">
        <v>566</v>
      </c>
      <c r="C501" s="19">
        <v>112</v>
      </c>
      <c r="D501" s="19" t="s">
        <v>1311</v>
      </c>
      <c r="E501" s="20">
        <v>43538</v>
      </c>
      <c r="F501" s="19"/>
      <c r="G501" s="19">
        <v>71</v>
      </c>
      <c r="H501" s="19"/>
      <c r="I501" s="19"/>
      <c r="J501" s="19">
        <v>55</v>
      </c>
      <c r="K501" s="19"/>
      <c r="L501" s="19"/>
      <c r="M501" s="19"/>
      <c r="N501" s="19"/>
      <c r="O501" s="19"/>
      <c r="P501" s="19"/>
      <c r="Q501" s="19"/>
      <c r="R501" s="19"/>
      <c r="S501" s="19"/>
      <c r="T501" s="19"/>
      <c r="U501" s="19"/>
      <c r="V501" s="19"/>
      <c r="W501" s="19"/>
      <c r="X501" s="19"/>
      <c r="Y501" s="19"/>
      <c r="Z501" t="str">
        <f>IF(Tabela1[[#This Row],[1]]&lt;&gt;"",IF(ISNUMBER(FIND(",",Tabela1[[#This Row],[1]])),LEN(Tabela1[[#This Row],[1]])-LEN(SUBSTITUTE(Tabela1[[#This Row],[1]],",",""))+1,1),"")</f>
        <v/>
      </c>
      <c r="AA501">
        <f>IF(Tabela1[[#This Row],[2]]&lt;&gt;"",IF(ISNUMBER(FIND(",",Tabela1[[#This Row],[2]])),LEN(Tabela1[[#This Row],[2]])-LEN(SUBSTITUTE(Tabela1[[#This Row],[2]],",",""))+1,1),"")</f>
        <v>1</v>
      </c>
      <c r="AB501" t="str">
        <f>IF(Tabela1[[#This Row],[3]]&lt;&gt;"",IF(ISNUMBER(FIND(",",Tabela1[[#This Row],[3]])),LEN(Tabela1[[#This Row],[3]])-LEN(SUBSTITUTE(Tabela1[[#This Row],[3]],",",""))+1,1),"")</f>
        <v/>
      </c>
      <c r="AC501" t="str">
        <f>IF(Tabela1[[#This Row],[4]]&lt;&gt;"",IF(ISNUMBER(FIND(",",Tabela1[[#This Row],[4]])),LEN(Tabela1[[#This Row],[4]])-LEN(SUBSTITUTE(Tabela1[[#This Row],[4]],",",""))+1,1),"")</f>
        <v/>
      </c>
      <c r="AD501">
        <f>IF(Tabela1[[#This Row],[5]]&lt;&gt;"",IF(ISNUMBER(FIND(",",Tabela1[[#This Row],[5]])),LEN(Tabela1[[#This Row],[5]])-LEN(SUBSTITUTE(Tabela1[[#This Row],[5]],",",""))+1,1),"")</f>
        <v>1</v>
      </c>
      <c r="AE501" t="str">
        <f>IF(Tabela1[[#This Row],[6]]&lt;&gt;"",IF(ISNUMBER(FIND(",",Tabela1[[#This Row],[6]])),LEN(Tabela1[[#This Row],[6]])-LEN(SUBSTITUTE(Tabela1[[#This Row],[6]],",",""))+1,1),"")</f>
        <v/>
      </c>
      <c r="AF501" t="str">
        <f>IF(Tabela1[[#This Row],[7]]&lt;&gt;"",IF(ISNUMBER(FIND(",",Tabela1[[#This Row],[7]])),LEN(Tabela1[[#This Row],[7]])-LEN(SUBSTITUTE(Tabela1[[#This Row],[7]],",",""))+1,1),"")</f>
        <v/>
      </c>
      <c r="AG501" t="str">
        <f>IF(Tabela1[[#This Row],[8]]&lt;&gt;"",IF(ISNUMBER(FIND(",",Tabela1[[#This Row],[8]])),LEN(Tabela1[[#This Row],[8]])-LEN(SUBSTITUTE(Tabela1[[#This Row],[8]],",",""))+1,1),"")</f>
        <v/>
      </c>
      <c r="AH501" t="str">
        <f>IF(Tabela1[[#This Row],[9]]&lt;&gt;"",IF(ISNUMBER(FIND(",",Tabela1[[#This Row],[9]])),LEN(Tabela1[[#This Row],[9]])-LEN(SUBSTITUTE(Tabela1[[#This Row],[9]],",",""))+1,1),"")</f>
        <v/>
      </c>
      <c r="AI501" t="str">
        <f>IF(Tabela1[[#This Row],[10]]&lt;&gt;"",IF(ISNUMBER(FIND(",",Tabela1[[#This Row],[10]])),LEN(Tabela1[[#This Row],[10]])-LEN(SUBSTITUTE(Tabela1[[#This Row],[10]],",",""))+1,1),"")</f>
        <v/>
      </c>
      <c r="AJ501" t="str">
        <f>IF(Tabela1[[#This Row],[11]]&lt;&gt;"",IF(ISNUMBER(FIND(",",Tabela1[[#This Row],[11]])),LEN(Tabela1[[#This Row],[11]])-LEN(SUBSTITUTE(Tabela1[[#This Row],[11]],",",""))+1,1),"")</f>
        <v/>
      </c>
      <c r="AK501" t="str">
        <f>IF(Tabela1[[#This Row],[12]]&lt;&gt;"",IF(ISNUMBER(FIND(",",Tabela1[[#This Row],[12]])),LEN(Tabela1[[#This Row],[12]])-LEN(SUBSTITUTE(Tabela1[[#This Row],[12]],",",""))+1,1),"")</f>
        <v/>
      </c>
      <c r="AL501" t="str">
        <f>IF(Tabela1[[#This Row],[13]]&lt;&gt;"",IF(ISNUMBER(FIND(",",Tabela1[[#This Row],[13]])),LEN(Tabela1[[#This Row],[13]])-LEN(SUBSTITUTE(Tabela1[[#This Row],[13]],",",""))+1,1),"")</f>
        <v/>
      </c>
      <c r="AM501" t="str">
        <f>IF(Tabela1[[#This Row],[14]]&lt;&gt;"",IF(ISNUMBER(FIND(",",Tabela1[[#This Row],[14]])),LEN(Tabela1[[#This Row],[14]])-LEN(SUBSTITUTE(Tabela1[[#This Row],[14]],",",""))+1,1),"")</f>
        <v/>
      </c>
      <c r="AN501" t="str">
        <f>IF(Tabela1[[#This Row],[15]]&lt;&gt;"",IF(ISNUMBER(FIND(",",Tabela1[[#This Row],[15]])),LEN(Tabela1[[#This Row],[15]])-LEN(SUBSTITUTE(Tabela1[[#This Row],[15]],",",""))+1,1),"")</f>
        <v/>
      </c>
      <c r="AO501" t="str">
        <f>IF(Tabela1[[#This Row],[16]]&lt;&gt;"",IF(ISNUMBER(FIND(",",Tabela1[[#This Row],[16]])),LEN(Tabela1[[#This Row],[16]])-LEN(SUBSTITUTE(Tabela1[[#This Row],[16]],",",""))+1,1),"")</f>
        <v/>
      </c>
      <c r="AP501" t="str">
        <f>IF(Tabela1[[#This Row],[17]]&lt;&gt;"",IF(ISNUMBER(FIND(",",Tabela1[[#This Row],[17]])),LEN(Tabela1[[#This Row],[17]])-LEN(SUBSTITUTE(Tabela1[[#This Row],[17]],",",""))+1,1),"")</f>
        <v/>
      </c>
      <c r="AQ501" t="str">
        <f>IF(Tabela1[[#This Row],[18]]&lt;&gt;"",IF(ISNUMBER(FIND(",",Tabela1[[#This Row],[18]])),LEN(Tabela1[[#This Row],[18]])-LEN(SUBSTITUTE(Tabela1[[#This Row],[18]],",",""))+1,1),"")</f>
        <v/>
      </c>
      <c r="AR501" s="13" t="str">
        <f>IF(Tabela1[[#This Row],[19_LENGTH]]&lt;&gt;"",IF(ISNUMBER(FIND(",",Tabela1[[#This Row],[19_LENGTH]])),LEN(Tabela1[[#This Row],[19_LENGTH]])-LEN(SUBSTITUTE(Tabela1[[#This Row],[19_LENGTH]],",",""))+1,1),"")</f>
        <v/>
      </c>
      <c r="AS501" s="21">
        <f>SUM(Tabela1[[#This Row],[1_]:[19_]])</f>
        <v>2</v>
      </c>
    </row>
    <row r="502" spans="1:45" x14ac:dyDescent="0.25">
      <c r="A502" s="27" t="s">
        <v>1329</v>
      </c>
      <c r="B502" s="19" t="s">
        <v>567</v>
      </c>
      <c r="C502" s="19">
        <v>102</v>
      </c>
      <c r="D502" s="19" t="s">
        <v>1311</v>
      </c>
      <c r="E502" s="20">
        <v>43538</v>
      </c>
      <c r="F502" s="19"/>
      <c r="G502" s="19">
        <v>85</v>
      </c>
      <c r="H502" s="19"/>
      <c r="I502" s="19"/>
      <c r="J502" s="19">
        <v>27</v>
      </c>
      <c r="K502" s="19"/>
      <c r="L502" s="19"/>
      <c r="M502" s="19"/>
      <c r="N502" s="19"/>
      <c r="O502" s="19"/>
      <c r="P502" s="19"/>
      <c r="Q502" s="19"/>
      <c r="R502" s="19"/>
      <c r="S502" s="19"/>
      <c r="T502" s="19"/>
      <c r="U502" s="19"/>
      <c r="V502" s="19"/>
      <c r="W502" s="19"/>
      <c r="X502" s="19"/>
      <c r="Y502" s="19"/>
      <c r="Z502" t="str">
        <f>IF(Tabela1[[#This Row],[1]]&lt;&gt;"",IF(ISNUMBER(FIND(",",Tabela1[[#This Row],[1]])),LEN(Tabela1[[#This Row],[1]])-LEN(SUBSTITUTE(Tabela1[[#This Row],[1]],",",""))+1,1),"")</f>
        <v/>
      </c>
      <c r="AA502">
        <f>IF(Tabela1[[#This Row],[2]]&lt;&gt;"",IF(ISNUMBER(FIND(",",Tabela1[[#This Row],[2]])),LEN(Tabela1[[#This Row],[2]])-LEN(SUBSTITUTE(Tabela1[[#This Row],[2]],",",""))+1,1),"")</f>
        <v>1</v>
      </c>
      <c r="AB502" t="str">
        <f>IF(Tabela1[[#This Row],[3]]&lt;&gt;"",IF(ISNUMBER(FIND(",",Tabela1[[#This Row],[3]])),LEN(Tabela1[[#This Row],[3]])-LEN(SUBSTITUTE(Tabela1[[#This Row],[3]],",",""))+1,1),"")</f>
        <v/>
      </c>
      <c r="AC502" t="str">
        <f>IF(Tabela1[[#This Row],[4]]&lt;&gt;"",IF(ISNUMBER(FIND(",",Tabela1[[#This Row],[4]])),LEN(Tabela1[[#This Row],[4]])-LEN(SUBSTITUTE(Tabela1[[#This Row],[4]],",",""))+1,1),"")</f>
        <v/>
      </c>
      <c r="AD502">
        <f>IF(Tabela1[[#This Row],[5]]&lt;&gt;"",IF(ISNUMBER(FIND(",",Tabela1[[#This Row],[5]])),LEN(Tabela1[[#This Row],[5]])-LEN(SUBSTITUTE(Tabela1[[#This Row],[5]],",",""))+1,1),"")</f>
        <v>1</v>
      </c>
      <c r="AE502" t="str">
        <f>IF(Tabela1[[#This Row],[6]]&lt;&gt;"",IF(ISNUMBER(FIND(",",Tabela1[[#This Row],[6]])),LEN(Tabela1[[#This Row],[6]])-LEN(SUBSTITUTE(Tabela1[[#This Row],[6]],",",""))+1,1),"")</f>
        <v/>
      </c>
      <c r="AF502" t="str">
        <f>IF(Tabela1[[#This Row],[7]]&lt;&gt;"",IF(ISNUMBER(FIND(",",Tabela1[[#This Row],[7]])),LEN(Tabela1[[#This Row],[7]])-LEN(SUBSTITUTE(Tabela1[[#This Row],[7]],",",""))+1,1),"")</f>
        <v/>
      </c>
      <c r="AG502" t="str">
        <f>IF(Tabela1[[#This Row],[8]]&lt;&gt;"",IF(ISNUMBER(FIND(",",Tabela1[[#This Row],[8]])),LEN(Tabela1[[#This Row],[8]])-LEN(SUBSTITUTE(Tabela1[[#This Row],[8]],",",""))+1,1),"")</f>
        <v/>
      </c>
      <c r="AH502" t="str">
        <f>IF(Tabela1[[#This Row],[9]]&lt;&gt;"",IF(ISNUMBER(FIND(",",Tabela1[[#This Row],[9]])),LEN(Tabela1[[#This Row],[9]])-LEN(SUBSTITUTE(Tabela1[[#This Row],[9]],",",""))+1,1),"")</f>
        <v/>
      </c>
      <c r="AI502" t="str">
        <f>IF(Tabela1[[#This Row],[10]]&lt;&gt;"",IF(ISNUMBER(FIND(",",Tabela1[[#This Row],[10]])),LEN(Tabela1[[#This Row],[10]])-LEN(SUBSTITUTE(Tabela1[[#This Row],[10]],",",""))+1,1),"")</f>
        <v/>
      </c>
      <c r="AJ502" t="str">
        <f>IF(Tabela1[[#This Row],[11]]&lt;&gt;"",IF(ISNUMBER(FIND(",",Tabela1[[#This Row],[11]])),LEN(Tabela1[[#This Row],[11]])-LEN(SUBSTITUTE(Tabela1[[#This Row],[11]],",",""))+1,1),"")</f>
        <v/>
      </c>
      <c r="AK502" t="str">
        <f>IF(Tabela1[[#This Row],[12]]&lt;&gt;"",IF(ISNUMBER(FIND(",",Tabela1[[#This Row],[12]])),LEN(Tabela1[[#This Row],[12]])-LEN(SUBSTITUTE(Tabela1[[#This Row],[12]],",",""))+1,1),"")</f>
        <v/>
      </c>
      <c r="AL502" t="str">
        <f>IF(Tabela1[[#This Row],[13]]&lt;&gt;"",IF(ISNUMBER(FIND(",",Tabela1[[#This Row],[13]])),LEN(Tabela1[[#This Row],[13]])-LEN(SUBSTITUTE(Tabela1[[#This Row],[13]],",",""))+1,1),"")</f>
        <v/>
      </c>
      <c r="AM502" t="str">
        <f>IF(Tabela1[[#This Row],[14]]&lt;&gt;"",IF(ISNUMBER(FIND(",",Tabela1[[#This Row],[14]])),LEN(Tabela1[[#This Row],[14]])-LEN(SUBSTITUTE(Tabela1[[#This Row],[14]],",",""))+1,1),"")</f>
        <v/>
      </c>
      <c r="AN502" t="str">
        <f>IF(Tabela1[[#This Row],[15]]&lt;&gt;"",IF(ISNUMBER(FIND(",",Tabela1[[#This Row],[15]])),LEN(Tabela1[[#This Row],[15]])-LEN(SUBSTITUTE(Tabela1[[#This Row],[15]],",",""))+1,1),"")</f>
        <v/>
      </c>
      <c r="AO502" t="str">
        <f>IF(Tabela1[[#This Row],[16]]&lt;&gt;"",IF(ISNUMBER(FIND(",",Tabela1[[#This Row],[16]])),LEN(Tabela1[[#This Row],[16]])-LEN(SUBSTITUTE(Tabela1[[#This Row],[16]],",",""))+1,1),"")</f>
        <v/>
      </c>
      <c r="AP502" t="str">
        <f>IF(Tabela1[[#This Row],[17]]&lt;&gt;"",IF(ISNUMBER(FIND(",",Tabela1[[#This Row],[17]])),LEN(Tabela1[[#This Row],[17]])-LEN(SUBSTITUTE(Tabela1[[#This Row],[17]],",",""))+1,1),"")</f>
        <v/>
      </c>
      <c r="AQ502" t="str">
        <f>IF(Tabela1[[#This Row],[18]]&lt;&gt;"",IF(ISNUMBER(FIND(",",Tabela1[[#This Row],[18]])),LEN(Tabela1[[#This Row],[18]])-LEN(SUBSTITUTE(Tabela1[[#This Row],[18]],",",""))+1,1),"")</f>
        <v/>
      </c>
      <c r="AR502" s="13" t="str">
        <f>IF(Tabela1[[#This Row],[19_LENGTH]]&lt;&gt;"",IF(ISNUMBER(FIND(",",Tabela1[[#This Row],[19_LENGTH]])),LEN(Tabela1[[#This Row],[19_LENGTH]])-LEN(SUBSTITUTE(Tabela1[[#This Row],[19_LENGTH]],",",""))+1,1),"")</f>
        <v/>
      </c>
      <c r="AS502" s="21">
        <f>SUM(Tabela1[[#This Row],[1_]:[19_]])</f>
        <v>2</v>
      </c>
    </row>
    <row r="503" spans="1:45" x14ac:dyDescent="0.25">
      <c r="A503" s="27" t="s">
        <v>1329</v>
      </c>
      <c r="B503" s="19" t="s">
        <v>568</v>
      </c>
      <c r="C503" s="19">
        <v>102</v>
      </c>
      <c r="D503" s="19" t="s">
        <v>1311</v>
      </c>
      <c r="E503" s="20">
        <v>43538</v>
      </c>
      <c r="F503" s="19"/>
      <c r="G503" s="19"/>
      <c r="H503" s="19"/>
      <c r="I503" s="19"/>
      <c r="J503" s="19">
        <v>48</v>
      </c>
      <c r="K503" s="19"/>
      <c r="L503" s="19"/>
      <c r="M503" s="19"/>
      <c r="N503" s="19"/>
      <c r="O503" s="19"/>
      <c r="P503" s="19"/>
      <c r="Q503" s="19"/>
      <c r="R503" s="19"/>
      <c r="S503" s="19"/>
      <c r="T503" s="19"/>
      <c r="U503" s="19"/>
      <c r="V503" s="19"/>
      <c r="W503" s="19"/>
      <c r="X503" s="19"/>
      <c r="Y503" s="19"/>
      <c r="Z503" t="str">
        <f>IF(Tabela1[[#This Row],[1]]&lt;&gt;"",IF(ISNUMBER(FIND(",",Tabela1[[#This Row],[1]])),LEN(Tabela1[[#This Row],[1]])-LEN(SUBSTITUTE(Tabela1[[#This Row],[1]],",",""))+1,1),"")</f>
        <v/>
      </c>
      <c r="AA503" t="str">
        <f>IF(Tabela1[[#This Row],[2]]&lt;&gt;"",IF(ISNUMBER(FIND(",",Tabela1[[#This Row],[2]])),LEN(Tabela1[[#This Row],[2]])-LEN(SUBSTITUTE(Tabela1[[#This Row],[2]],",",""))+1,1),"")</f>
        <v/>
      </c>
      <c r="AB503" t="str">
        <f>IF(Tabela1[[#This Row],[3]]&lt;&gt;"",IF(ISNUMBER(FIND(",",Tabela1[[#This Row],[3]])),LEN(Tabela1[[#This Row],[3]])-LEN(SUBSTITUTE(Tabela1[[#This Row],[3]],",",""))+1,1),"")</f>
        <v/>
      </c>
      <c r="AC503" t="str">
        <f>IF(Tabela1[[#This Row],[4]]&lt;&gt;"",IF(ISNUMBER(FIND(",",Tabela1[[#This Row],[4]])),LEN(Tabela1[[#This Row],[4]])-LEN(SUBSTITUTE(Tabela1[[#This Row],[4]],",",""))+1,1),"")</f>
        <v/>
      </c>
      <c r="AD503">
        <f>IF(Tabela1[[#This Row],[5]]&lt;&gt;"",IF(ISNUMBER(FIND(",",Tabela1[[#This Row],[5]])),LEN(Tabela1[[#This Row],[5]])-LEN(SUBSTITUTE(Tabela1[[#This Row],[5]],",",""))+1,1),"")</f>
        <v>1</v>
      </c>
      <c r="AE503" t="str">
        <f>IF(Tabela1[[#This Row],[6]]&lt;&gt;"",IF(ISNUMBER(FIND(",",Tabela1[[#This Row],[6]])),LEN(Tabela1[[#This Row],[6]])-LEN(SUBSTITUTE(Tabela1[[#This Row],[6]],",",""))+1,1),"")</f>
        <v/>
      </c>
      <c r="AF503" t="str">
        <f>IF(Tabela1[[#This Row],[7]]&lt;&gt;"",IF(ISNUMBER(FIND(",",Tabela1[[#This Row],[7]])),LEN(Tabela1[[#This Row],[7]])-LEN(SUBSTITUTE(Tabela1[[#This Row],[7]],",",""))+1,1),"")</f>
        <v/>
      </c>
      <c r="AG503" t="str">
        <f>IF(Tabela1[[#This Row],[8]]&lt;&gt;"",IF(ISNUMBER(FIND(",",Tabela1[[#This Row],[8]])),LEN(Tabela1[[#This Row],[8]])-LEN(SUBSTITUTE(Tabela1[[#This Row],[8]],",",""))+1,1),"")</f>
        <v/>
      </c>
      <c r="AH503" t="str">
        <f>IF(Tabela1[[#This Row],[9]]&lt;&gt;"",IF(ISNUMBER(FIND(",",Tabela1[[#This Row],[9]])),LEN(Tabela1[[#This Row],[9]])-LEN(SUBSTITUTE(Tabela1[[#This Row],[9]],",",""))+1,1),"")</f>
        <v/>
      </c>
      <c r="AI503" t="str">
        <f>IF(Tabela1[[#This Row],[10]]&lt;&gt;"",IF(ISNUMBER(FIND(",",Tabela1[[#This Row],[10]])),LEN(Tabela1[[#This Row],[10]])-LEN(SUBSTITUTE(Tabela1[[#This Row],[10]],",",""))+1,1),"")</f>
        <v/>
      </c>
      <c r="AJ503" t="str">
        <f>IF(Tabela1[[#This Row],[11]]&lt;&gt;"",IF(ISNUMBER(FIND(",",Tabela1[[#This Row],[11]])),LEN(Tabela1[[#This Row],[11]])-LEN(SUBSTITUTE(Tabela1[[#This Row],[11]],",",""))+1,1),"")</f>
        <v/>
      </c>
      <c r="AK503" t="str">
        <f>IF(Tabela1[[#This Row],[12]]&lt;&gt;"",IF(ISNUMBER(FIND(",",Tabela1[[#This Row],[12]])),LEN(Tabela1[[#This Row],[12]])-LEN(SUBSTITUTE(Tabela1[[#This Row],[12]],",",""))+1,1),"")</f>
        <v/>
      </c>
      <c r="AL503" t="str">
        <f>IF(Tabela1[[#This Row],[13]]&lt;&gt;"",IF(ISNUMBER(FIND(",",Tabela1[[#This Row],[13]])),LEN(Tabela1[[#This Row],[13]])-LEN(SUBSTITUTE(Tabela1[[#This Row],[13]],",",""))+1,1),"")</f>
        <v/>
      </c>
      <c r="AM503" t="str">
        <f>IF(Tabela1[[#This Row],[14]]&lt;&gt;"",IF(ISNUMBER(FIND(",",Tabela1[[#This Row],[14]])),LEN(Tabela1[[#This Row],[14]])-LEN(SUBSTITUTE(Tabela1[[#This Row],[14]],",",""))+1,1),"")</f>
        <v/>
      </c>
      <c r="AN503" t="str">
        <f>IF(Tabela1[[#This Row],[15]]&lt;&gt;"",IF(ISNUMBER(FIND(",",Tabela1[[#This Row],[15]])),LEN(Tabela1[[#This Row],[15]])-LEN(SUBSTITUTE(Tabela1[[#This Row],[15]],",",""))+1,1),"")</f>
        <v/>
      </c>
      <c r="AO503" t="str">
        <f>IF(Tabela1[[#This Row],[16]]&lt;&gt;"",IF(ISNUMBER(FIND(",",Tabela1[[#This Row],[16]])),LEN(Tabela1[[#This Row],[16]])-LEN(SUBSTITUTE(Tabela1[[#This Row],[16]],",",""))+1,1),"")</f>
        <v/>
      </c>
      <c r="AP503" t="str">
        <f>IF(Tabela1[[#This Row],[17]]&lt;&gt;"",IF(ISNUMBER(FIND(",",Tabela1[[#This Row],[17]])),LEN(Tabela1[[#This Row],[17]])-LEN(SUBSTITUTE(Tabela1[[#This Row],[17]],",",""))+1,1),"")</f>
        <v/>
      </c>
      <c r="AQ503" t="str">
        <f>IF(Tabela1[[#This Row],[18]]&lt;&gt;"",IF(ISNUMBER(FIND(",",Tabela1[[#This Row],[18]])),LEN(Tabela1[[#This Row],[18]])-LEN(SUBSTITUTE(Tabela1[[#This Row],[18]],",",""))+1,1),"")</f>
        <v/>
      </c>
      <c r="AR503" s="13" t="str">
        <f>IF(Tabela1[[#This Row],[19_LENGTH]]&lt;&gt;"",IF(ISNUMBER(FIND(",",Tabela1[[#This Row],[19_LENGTH]])),LEN(Tabela1[[#This Row],[19_LENGTH]])-LEN(SUBSTITUTE(Tabela1[[#This Row],[19_LENGTH]],",",""))+1,1),"")</f>
        <v/>
      </c>
      <c r="AS503" s="21">
        <f>SUM(Tabela1[[#This Row],[1_]:[19_]])</f>
        <v>1</v>
      </c>
    </row>
    <row r="504" spans="1:45" x14ac:dyDescent="0.25">
      <c r="A504" s="27" t="s">
        <v>1329</v>
      </c>
      <c r="B504" s="19" t="s">
        <v>569</v>
      </c>
      <c r="C504" s="19">
        <v>102</v>
      </c>
      <c r="D504" s="19" t="s">
        <v>1311</v>
      </c>
      <c r="E504" s="20">
        <v>43538</v>
      </c>
      <c r="F504" s="19"/>
      <c r="G504" s="19">
        <v>72</v>
      </c>
      <c r="H504" s="19"/>
      <c r="I504" s="19"/>
      <c r="J504" s="19"/>
      <c r="K504" s="19"/>
      <c r="L504" s="19"/>
      <c r="M504" s="19"/>
      <c r="N504" s="19"/>
      <c r="O504" s="19"/>
      <c r="P504" s="19"/>
      <c r="Q504" s="19"/>
      <c r="R504" s="19"/>
      <c r="S504" s="19"/>
      <c r="T504" s="19"/>
      <c r="U504" s="19"/>
      <c r="V504" s="19"/>
      <c r="W504" s="19"/>
      <c r="X504" s="19"/>
      <c r="Y504" s="19"/>
      <c r="Z504" t="str">
        <f>IF(Tabela1[[#This Row],[1]]&lt;&gt;"",IF(ISNUMBER(FIND(",",Tabela1[[#This Row],[1]])),LEN(Tabela1[[#This Row],[1]])-LEN(SUBSTITUTE(Tabela1[[#This Row],[1]],",",""))+1,1),"")</f>
        <v/>
      </c>
      <c r="AA504">
        <f>IF(Tabela1[[#This Row],[2]]&lt;&gt;"",IF(ISNUMBER(FIND(",",Tabela1[[#This Row],[2]])),LEN(Tabela1[[#This Row],[2]])-LEN(SUBSTITUTE(Tabela1[[#This Row],[2]],",",""))+1,1),"")</f>
        <v>1</v>
      </c>
      <c r="AB504" t="str">
        <f>IF(Tabela1[[#This Row],[3]]&lt;&gt;"",IF(ISNUMBER(FIND(",",Tabela1[[#This Row],[3]])),LEN(Tabela1[[#This Row],[3]])-LEN(SUBSTITUTE(Tabela1[[#This Row],[3]],",",""))+1,1),"")</f>
        <v/>
      </c>
      <c r="AC504" t="str">
        <f>IF(Tabela1[[#This Row],[4]]&lt;&gt;"",IF(ISNUMBER(FIND(",",Tabela1[[#This Row],[4]])),LEN(Tabela1[[#This Row],[4]])-LEN(SUBSTITUTE(Tabela1[[#This Row],[4]],",",""))+1,1),"")</f>
        <v/>
      </c>
      <c r="AD504" t="str">
        <f>IF(Tabela1[[#This Row],[5]]&lt;&gt;"",IF(ISNUMBER(FIND(",",Tabela1[[#This Row],[5]])),LEN(Tabela1[[#This Row],[5]])-LEN(SUBSTITUTE(Tabela1[[#This Row],[5]],",",""))+1,1),"")</f>
        <v/>
      </c>
      <c r="AE504" t="str">
        <f>IF(Tabela1[[#This Row],[6]]&lt;&gt;"",IF(ISNUMBER(FIND(",",Tabela1[[#This Row],[6]])),LEN(Tabela1[[#This Row],[6]])-LEN(SUBSTITUTE(Tabela1[[#This Row],[6]],",",""))+1,1),"")</f>
        <v/>
      </c>
      <c r="AF504" t="str">
        <f>IF(Tabela1[[#This Row],[7]]&lt;&gt;"",IF(ISNUMBER(FIND(",",Tabela1[[#This Row],[7]])),LEN(Tabela1[[#This Row],[7]])-LEN(SUBSTITUTE(Tabela1[[#This Row],[7]],",",""))+1,1),"")</f>
        <v/>
      </c>
      <c r="AG504" t="str">
        <f>IF(Tabela1[[#This Row],[8]]&lt;&gt;"",IF(ISNUMBER(FIND(",",Tabela1[[#This Row],[8]])),LEN(Tabela1[[#This Row],[8]])-LEN(SUBSTITUTE(Tabela1[[#This Row],[8]],",",""))+1,1),"")</f>
        <v/>
      </c>
      <c r="AH504" t="str">
        <f>IF(Tabela1[[#This Row],[9]]&lt;&gt;"",IF(ISNUMBER(FIND(",",Tabela1[[#This Row],[9]])),LEN(Tabela1[[#This Row],[9]])-LEN(SUBSTITUTE(Tabela1[[#This Row],[9]],",",""))+1,1),"")</f>
        <v/>
      </c>
      <c r="AI504" t="str">
        <f>IF(Tabela1[[#This Row],[10]]&lt;&gt;"",IF(ISNUMBER(FIND(",",Tabela1[[#This Row],[10]])),LEN(Tabela1[[#This Row],[10]])-LEN(SUBSTITUTE(Tabela1[[#This Row],[10]],",",""))+1,1),"")</f>
        <v/>
      </c>
      <c r="AJ504" t="str">
        <f>IF(Tabela1[[#This Row],[11]]&lt;&gt;"",IF(ISNUMBER(FIND(",",Tabela1[[#This Row],[11]])),LEN(Tabela1[[#This Row],[11]])-LEN(SUBSTITUTE(Tabela1[[#This Row],[11]],",",""))+1,1),"")</f>
        <v/>
      </c>
      <c r="AK504" t="str">
        <f>IF(Tabela1[[#This Row],[12]]&lt;&gt;"",IF(ISNUMBER(FIND(",",Tabela1[[#This Row],[12]])),LEN(Tabela1[[#This Row],[12]])-LEN(SUBSTITUTE(Tabela1[[#This Row],[12]],",",""))+1,1),"")</f>
        <v/>
      </c>
      <c r="AL504" t="str">
        <f>IF(Tabela1[[#This Row],[13]]&lt;&gt;"",IF(ISNUMBER(FIND(",",Tabela1[[#This Row],[13]])),LEN(Tabela1[[#This Row],[13]])-LEN(SUBSTITUTE(Tabela1[[#This Row],[13]],",",""))+1,1),"")</f>
        <v/>
      </c>
      <c r="AM504" t="str">
        <f>IF(Tabela1[[#This Row],[14]]&lt;&gt;"",IF(ISNUMBER(FIND(",",Tabela1[[#This Row],[14]])),LEN(Tabela1[[#This Row],[14]])-LEN(SUBSTITUTE(Tabela1[[#This Row],[14]],",",""))+1,1),"")</f>
        <v/>
      </c>
      <c r="AN504" t="str">
        <f>IF(Tabela1[[#This Row],[15]]&lt;&gt;"",IF(ISNUMBER(FIND(",",Tabela1[[#This Row],[15]])),LEN(Tabela1[[#This Row],[15]])-LEN(SUBSTITUTE(Tabela1[[#This Row],[15]],",",""))+1,1),"")</f>
        <v/>
      </c>
      <c r="AO504" t="str">
        <f>IF(Tabela1[[#This Row],[16]]&lt;&gt;"",IF(ISNUMBER(FIND(",",Tabela1[[#This Row],[16]])),LEN(Tabela1[[#This Row],[16]])-LEN(SUBSTITUTE(Tabela1[[#This Row],[16]],",",""))+1,1),"")</f>
        <v/>
      </c>
      <c r="AP504" t="str">
        <f>IF(Tabela1[[#This Row],[17]]&lt;&gt;"",IF(ISNUMBER(FIND(",",Tabela1[[#This Row],[17]])),LEN(Tabela1[[#This Row],[17]])-LEN(SUBSTITUTE(Tabela1[[#This Row],[17]],",",""))+1,1),"")</f>
        <v/>
      </c>
      <c r="AQ504" t="str">
        <f>IF(Tabela1[[#This Row],[18]]&lt;&gt;"",IF(ISNUMBER(FIND(",",Tabela1[[#This Row],[18]])),LEN(Tabela1[[#This Row],[18]])-LEN(SUBSTITUTE(Tabela1[[#This Row],[18]],",",""))+1,1),"")</f>
        <v/>
      </c>
      <c r="AR504" s="13" t="str">
        <f>IF(Tabela1[[#This Row],[19_LENGTH]]&lt;&gt;"",IF(ISNUMBER(FIND(",",Tabela1[[#This Row],[19_LENGTH]])),LEN(Tabela1[[#This Row],[19_LENGTH]])-LEN(SUBSTITUTE(Tabela1[[#This Row],[19_LENGTH]],",",""))+1,1),"")</f>
        <v/>
      </c>
      <c r="AS504" s="21">
        <f>SUM(Tabela1[[#This Row],[1_]:[19_]])</f>
        <v>1</v>
      </c>
    </row>
    <row r="505" spans="1:45" x14ac:dyDescent="0.25">
      <c r="A505" s="27" t="s">
        <v>1329</v>
      </c>
      <c r="B505" s="19" t="s">
        <v>570</v>
      </c>
      <c r="C505" s="19">
        <v>102</v>
      </c>
      <c r="D505" s="19" t="s">
        <v>1311</v>
      </c>
      <c r="E505" s="20">
        <v>43538</v>
      </c>
      <c r="F505" s="19"/>
      <c r="G505" s="19"/>
      <c r="H505" s="19"/>
      <c r="I505" s="19"/>
      <c r="J505" s="19">
        <v>44</v>
      </c>
      <c r="K505" s="19"/>
      <c r="L505" s="19"/>
      <c r="M505" s="19"/>
      <c r="N505" s="19"/>
      <c r="O505" s="19"/>
      <c r="P505" s="19"/>
      <c r="Q505" s="19"/>
      <c r="R505" s="19"/>
      <c r="S505" s="19"/>
      <c r="T505" s="19"/>
      <c r="U505" s="19"/>
      <c r="V505" s="19"/>
      <c r="W505" s="19"/>
      <c r="X505" s="19"/>
      <c r="Y505" s="19"/>
      <c r="Z505" t="str">
        <f>IF(Tabela1[[#This Row],[1]]&lt;&gt;"",IF(ISNUMBER(FIND(",",Tabela1[[#This Row],[1]])),LEN(Tabela1[[#This Row],[1]])-LEN(SUBSTITUTE(Tabela1[[#This Row],[1]],",",""))+1,1),"")</f>
        <v/>
      </c>
      <c r="AA505" t="str">
        <f>IF(Tabela1[[#This Row],[2]]&lt;&gt;"",IF(ISNUMBER(FIND(",",Tabela1[[#This Row],[2]])),LEN(Tabela1[[#This Row],[2]])-LEN(SUBSTITUTE(Tabela1[[#This Row],[2]],",",""))+1,1),"")</f>
        <v/>
      </c>
      <c r="AB505" t="str">
        <f>IF(Tabela1[[#This Row],[3]]&lt;&gt;"",IF(ISNUMBER(FIND(",",Tabela1[[#This Row],[3]])),LEN(Tabela1[[#This Row],[3]])-LEN(SUBSTITUTE(Tabela1[[#This Row],[3]],",",""))+1,1),"")</f>
        <v/>
      </c>
      <c r="AC505" t="str">
        <f>IF(Tabela1[[#This Row],[4]]&lt;&gt;"",IF(ISNUMBER(FIND(",",Tabela1[[#This Row],[4]])),LEN(Tabela1[[#This Row],[4]])-LEN(SUBSTITUTE(Tabela1[[#This Row],[4]],",",""))+1,1),"")</f>
        <v/>
      </c>
      <c r="AD505">
        <f>IF(Tabela1[[#This Row],[5]]&lt;&gt;"",IF(ISNUMBER(FIND(",",Tabela1[[#This Row],[5]])),LEN(Tabela1[[#This Row],[5]])-LEN(SUBSTITUTE(Tabela1[[#This Row],[5]],",",""))+1,1),"")</f>
        <v>1</v>
      </c>
      <c r="AE505" t="str">
        <f>IF(Tabela1[[#This Row],[6]]&lt;&gt;"",IF(ISNUMBER(FIND(",",Tabela1[[#This Row],[6]])),LEN(Tabela1[[#This Row],[6]])-LEN(SUBSTITUTE(Tabela1[[#This Row],[6]],",",""))+1,1),"")</f>
        <v/>
      </c>
      <c r="AF505" t="str">
        <f>IF(Tabela1[[#This Row],[7]]&lt;&gt;"",IF(ISNUMBER(FIND(",",Tabela1[[#This Row],[7]])),LEN(Tabela1[[#This Row],[7]])-LEN(SUBSTITUTE(Tabela1[[#This Row],[7]],",",""))+1,1),"")</f>
        <v/>
      </c>
      <c r="AG505" t="str">
        <f>IF(Tabela1[[#This Row],[8]]&lt;&gt;"",IF(ISNUMBER(FIND(",",Tabela1[[#This Row],[8]])),LEN(Tabela1[[#This Row],[8]])-LEN(SUBSTITUTE(Tabela1[[#This Row],[8]],",",""))+1,1),"")</f>
        <v/>
      </c>
      <c r="AH505" t="str">
        <f>IF(Tabela1[[#This Row],[9]]&lt;&gt;"",IF(ISNUMBER(FIND(",",Tabela1[[#This Row],[9]])),LEN(Tabela1[[#This Row],[9]])-LEN(SUBSTITUTE(Tabela1[[#This Row],[9]],",",""))+1,1),"")</f>
        <v/>
      </c>
      <c r="AI505" t="str">
        <f>IF(Tabela1[[#This Row],[10]]&lt;&gt;"",IF(ISNUMBER(FIND(",",Tabela1[[#This Row],[10]])),LEN(Tabela1[[#This Row],[10]])-LEN(SUBSTITUTE(Tabela1[[#This Row],[10]],",",""))+1,1),"")</f>
        <v/>
      </c>
      <c r="AJ505" t="str">
        <f>IF(Tabela1[[#This Row],[11]]&lt;&gt;"",IF(ISNUMBER(FIND(",",Tabela1[[#This Row],[11]])),LEN(Tabela1[[#This Row],[11]])-LEN(SUBSTITUTE(Tabela1[[#This Row],[11]],",",""))+1,1),"")</f>
        <v/>
      </c>
      <c r="AK505" t="str">
        <f>IF(Tabela1[[#This Row],[12]]&lt;&gt;"",IF(ISNUMBER(FIND(",",Tabela1[[#This Row],[12]])),LEN(Tabela1[[#This Row],[12]])-LEN(SUBSTITUTE(Tabela1[[#This Row],[12]],",",""))+1,1),"")</f>
        <v/>
      </c>
      <c r="AL505" t="str">
        <f>IF(Tabela1[[#This Row],[13]]&lt;&gt;"",IF(ISNUMBER(FIND(",",Tabela1[[#This Row],[13]])),LEN(Tabela1[[#This Row],[13]])-LEN(SUBSTITUTE(Tabela1[[#This Row],[13]],",",""))+1,1),"")</f>
        <v/>
      </c>
      <c r="AM505" t="str">
        <f>IF(Tabela1[[#This Row],[14]]&lt;&gt;"",IF(ISNUMBER(FIND(",",Tabela1[[#This Row],[14]])),LEN(Tabela1[[#This Row],[14]])-LEN(SUBSTITUTE(Tabela1[[#This Row],[14]],",",""))+1,1),"")</f>
        <v/>
      </c>
      <c r="AN505" t="str">
        <f>IF(Tabela1[[#This Row],[15]]&lt;&gt;"",IF(ISNUMBER(FIND(",",Tabela1[[#This Row],[15]])),LEN(Tabela1[[#This Row],[15]])-LEN(SUBSTITUTE(Tabela1[[#This Row],[15]],",",""))+1,1),"")</f>
        <v/>
      </c>
      <c r="AO505" t="str">
        <f>IF(Tabela1[[#This Row],[16]]&lt;&gt;"",IF(ISNUMBER(FIND(",",Tabela1[[#This Row],[16]])),LEN(Tabela1[[#This Row],[16]])-LEN(SUBSTITUTE(Tabela1[[#This Row],[16]],",",""))+1,1),"")</f>
        <v/>
      </c>
      <c r="AP505" t="str">
        <f>IF(Tabela1[[#This Row],[17]]&lt;&gt;"",IF(ISNUMBER(FIND(",",Tabela1[[#This Row],[17]])),LEN(Tabela1[[#This Row],[17]])-LEN(SUBSTITUTE(Tabela1[[#This Row],[17]],",",""))+1,1),"")</f>
        <v/>
      </c>
      <c r="AQ505" t="str">
        <f>IF(Tabela1[[#This Row],[18]]&lt;&gt;"",IF(ISNUMBER(FIND(",",Tabela1[[#This Row],[18]])),LEN(Tabela1[[#This Row],[18]])-LEN(SUBSTITUTE(Tabela1[[#This Row],[18]],",",""))+1,1),"")</f>
        <v/>
      </c>
      <c r="AR505" s="13" t="str">
        <f>IF(Tabela1[[#This Row],[19_LENGTH]]&lt;&gt;"",IF(ISNUMBER(FIND(",",Tabela1[[#This Row],[19_LENGTH]])),LEN(Tabela1[[#This Row],[19_LENGTH]])-LEN(SUBSTITUTE(Tabela1[[#This Row],[19_LENGTH]],",",""))+1,1),"")</f>
        <v/>
      </c>
      <c r="AS505" s="21">
        <f>SUM(Tabela1[[#This Row],[1_]:[19_]])</f>
        <v>1</v>
      </c>
    </row>
    <row r="506" spans="1:45" x14ac:dyDescent="0.25">
      <c r="A506" s="27" t="s">
        <v>1328</v>
      </c>
      <c r="B506" s="19" t="s">
        <v>859</v>
      </c>
      <c r="C506" s="19">
        <v>92</v>
      </c>
      <c r="D506" s="19" t="s">
        <v>1299</v>
      </c>
      <c r="E506" s="20">
        <v>43537</v>
      </c>
      <c r="F506" s="19"/>
      <c r="G506" s="19"/>
      <c r="H506" s="19"/>
      <c r="I506" s="19"/>
      <c r="J506" s="19"/>
      <c r="K506" s="19">
        <v>35</v>
      </c>
      <c r="L506" s="19"/>
      <c r="M506" s="19"/>
      <c r="N506" s="19"/>
      <c r="O506" s="19"/>
      <c r="P506" s="19"/>
      <c r="Q506" s="19"/>
      <c r="R506" s="19"/>
      <c r="S506" s="19"/>
      <c r="T506" s="19"/>
      <c r="U506" s="19"/>
      <c r="V506" s="19"/>
      <c r="W506" s="19"/>
      <c r="X506" s="19"/>
      <c r="Y506" s="19"/>
      <c r="Z506" t="str">
        <f>IF(Tabela1[[#This Row],[1]]&lt;&gt;"",IF(ISNUMBER(FIND(",",Tabela1[[#This Row],[1]])),LEN(Tabela1[[#This Row],[1]])-LEN(SUBSTITUTE(Tabela1[[#This Row],[1]],",",""))+1,1),"")</f>
        <v/>
      </c>
      <c r="AA506" t="str">
        <f>IF(Tabela1[[#This Row],[2]]&lt;&gt;"",IF(ISNUMBER(FIND(",",Tabela1[[#This Row],[2]])),LEN(Tabela1[[#This Row],[2]])-LEN(SUBSTITUTE(Tabela1[[#This Row],[2]],",",""))+1,1),"")</f>
        <v/>
      </c>
      <c r="AB506" t="str">
        <f>IF(Tabela1[[#This Row],[3]]&lt;&gt;"",IF(ISNUMBER(FIND(",",Tabela1[[#This Row],[3]])),LEN(Tabela1[[#This Row],[3]])-LEN(SUBSTITUTE(Tabela1[[#This Row],[3]],",",""))+1,1),"")</f>
        <v/>
      </c>
      <c r="AC506" t="str">
        <f>IF(Tabela1[[#This Row],[4]]&lt;&gt;"",IF(ISNUMBER(FIND(",",Tabela1[[#This Row],[4]])),LEN(Tabela1[[#This Row],[4]])-LEN(SUBSTITUTE(Tabela1[[#This Row],[4]],",",""))+1,1),"")</f>
        <v/>
      </c>
      <c r="AD506" t="str">
        <f>IF(Tabela1[[#This Row],[5]]&lt;&gt;"",IF(ISNUMBER(FIND(",",Tabela1[[#This Row],[5]])),LEN(Tabela1[[#This Row],[5]])-LEN(SUBSTITUTE(Tabela1[[#This Row],[5]],",",""))+1,1),"")</f>
        <v/>
      </c>
      <c r="AE506">
        <f>IF(Tabela1[[#This Row],[6]]&lt;&gt;"",IF(ISNUMBER(FIND(",",Tabela1[[#This Row],[6]])),LEN(Tabela1[[#This Row],[6]])-LEN(SUBSTITUTE(Tabela1[[#This Row],[6]],",",""))+1,1),"")</f>
        <v>1</v>
      </c>
      <c r="AF506" t="str">
        <f>IF(Tabela1[[#This Row],[7]]&lt;&gt;"",IF(ISNUMBER(FIND(",",Tabela1[[#This Row],[7]])),LEN(Tabela1[[#This Row],[7]])-LEN(SUBSTITUTE(Tabela1[[#This Row],[7]],",",""))+1,1),"")</f>
        <v/>
      </c>
      <c r="AG506" t="str">
        <f>IF(Tabela1[[#This Row],[8]]&lt;&gt;"",IF(ISNUMBER(FIND(",",Tabela1[[#This Row],[8]])),LEN(Tabela1[[#This Row],[8]])-LEN(SUBSTITUTE(Tabela1[[#This Row],[8]],",",""))+1,1),"")</f>
        <v/>
      </c>
      <c r="AH506" t="str">
        <f>IF(Tabela1[[#This Row],[9]]&lt;&gt;"",IF(ISNUMBER(FIND(",",Tabela1[[#This Row],[9]])),LEN(Tabela1[[#This Row],[9]])-LEN(SUBSTITUTE(Tabela1[[#This Row],[9]],",",""))+1,1),"")</f>
        <v/>
      </c>
      <c r="AI506" t="str">
        <f>IF(Tabela1[[#This Row],[10]]&lt;&gt;"",IF(ISNUMBER(FIND(",",Tabela1[[#This Row],[10]])),LEN(Tabela1[[#This Row],[10]])-LEN(SUBSTITUTE(Tabela1[[#This Row],[10]],",",""))+1,1),"")</f>
        <v/>
      </c>
      <c r="AJ506" t="str">
        <f>IF(Tabela1[[#This Row],[11]]&lt;&gt;"",IF(ISNUMBER(FIND(",",Tabela1[[#This Row],[11]])),LEN(Tabela1[[#This Row],[11]])-LEN(SUBSTITUTE(Tabela1[[#This Row],[11]],",",""))+1,1),"")</f>
        <v/>
      </c>
      <c r="AK506" t="str">
        <f>IF(Tabela1[[#This Row],[12]]&lt;&gt;"",IF(ISNUMBER(FIND(",",Tabela1[[#This Row],[12]])),LEN(Tabela1[[#This Row],[12]])-LEN(SUBSTITUTE(Tabela1[[#This Row],[12]],",",""))+1,1),"")</f>
        <v/>
      </c>
      <c r="AL506" t="str">
        <f>IF(Tabela1[[#This Row],[13]]&lt;&gt;"",IF(ISNUMBER(FIND(",",Tabela1[[#This Row],[13]])),LEN(Tabela1[[#This Row],[13]])-LEN(SUBSTITUTE(Tabela1[[#This Row],[13]],",",""))+1,1),"")</f>
        <v/>
      </c>
      <c r="AM506" t="str">
        <f>IF(Tabela1[[#This Row],[14]]&lt;&gt;"",IF(ISNUMBER(FIND(",",Tabela1[[#This Row],[14]])),LEN(Tabela1[[#This Row],[14]])-LEN(SUBSTITUTE(Tabela1[[#This Row],[14]],",",""))+1,1),"")</f>
        <v/>
      </c>
      <c r="AN506" t="str">
        <f>IF(Tabela1[[#This Row],[15]]&lt;&gt;"",IF(ISNUMBER(FIND(",",Tabela1[[#This Row],[15]])),LEN(Tabela1[[#This Row],[15]])-LEN(SUBSTITUTE(Tabela1[[#This Row],[15]],",",""))+1,1),"")</f>
        <v/>
      </c>
      <c r="AO506" t="str">
        <f>IF(Tabela1[[#This Row],[16]]&lt;&gt;"",IF(ISNUMBER(FIND(",",Tabela1[[#This Row],[16]])),LEN(Tabela1[[#This Row],[16]])-LEN(SUBSTITUTE(Tabela1[[#This Row],[16]],",",""))+1,1),"")</f>
        <v/>
      </c>
      <c r="AP506" t="str">
        <f>IF(Tabela1[[#This Row],[17]]&lt;&gt;"",IF(ISNUMBER(FIND(",",Tabela1[[#This Row],[17]])),LEN(Tabela1[[#This Row],[17]])-LEN(SUBSTITUTE(Tabela1[[#This Row],[17]],",",""))+1,1),"")</f>
        <v/>
      </c>
      <c r="AQ506" t="str">
        <f>IF(Tabela1[[#This Row],[18]]&lt;&gt;"",IF(ISNUMBER(FIND(",",Tabela1[[#This Row],[18]])),LEN(Tabela1[[#This Row],[18]])-LEN(SUBSTITUTE(Tabela1[[#This Row],[18]],",",""))+1,1),"")</f>
        <v/>
      </c>
      <c r="AR506" s="13" t="str">
        <f>IF(Tabela1[[#This Row],[19_LENGTH]]&lt;&gt;"",IF(ISNUMBER(FIND(",",Tabela1[[#This Row],[19_LENGTH]])),LEN(Tabela1[[#This Row],[19_LENGTH]])-LEN(SUBSTITUTE(Tabela1[[#This Row],[19_LENGTH]],",",""))+1,1),"")</f>
        <v/>
      </c>
      <c r="AS506" s="21">
        <f>SUM(Tabela1[[#This Row],[1_]:[19_]])</f>
        <v>1</v>
      </c>
    </row>
    <row r="507" spans="1:45" x14ac:dyDescent="0.25">
      <c r="A507" s="27" t="s">
        <v>1328</v>
      </c>
      <c r="B507" s="19" t="s">
        <v>860</v>
      </c>
      <c r="C507" s="19">
        <v>102</v>
      </c>
      <c r="D507" s="19" t="s">
        <v>1299</v>
      </c>
      <c r="E507" s="20">
        <v>43537</v>
      </c>
      <c r="F507" s="19"/>
      <c r="G507" s="19"/>
      <c r="H507" s="19"/>
      <c r="I507" s="19"/>
      <c r="J507" s="19"/>
      <c r="K507" s="19"/>
      <c r="L507" s="19"/>
      <c r="M507" s="19"/>
      <c r="N507" s="19"/>
      <c r="O507" s="19"/>
      <c r="P507" s="19"/>
      <c r="Q507" s="19"/>
      <c r="R507" s="19"/>
      <c r="S507" s="19"/>
      <c r="T507" s="19"/>
      <c r="U507" s="19">
        <v>51</v>
      </c>
      <c r="V507" s="19"/>
      <c r="W507" s="19"/>
      <c r="X507" s="19"/>
      <c r="Y507" s="19"/>
      <c r="Z507" t="str">
        <f>IF(Tabela1[[#This Row],[1]]&lt;&gt;"",IF(ISNUMBER(FIND(",",Tabela1[[#This Row],[1]])),LEN(Tabela1[[#This Row],[1]])-LEN(SUBSTITUTE(Tabela1[[#This Row],[1]],",",""))+1,1),"")</f>
        <v/>
      </c>
      <c r="AA507" t="str">
        <f>IF(Tabela1[[#This Row],[2]]&lt;&gt;"",IF(ISNUMBER(FIND(",",Tabela1[[#This Row],[2]])),LEN(Tabela1[[#This Row],[2]])-LEN(SUBSTITUTE(Tabela1[[#This Row],[2]],",",""))+1,1),"")</f>
        <v/>
      </c>
      <c r="AB507" t="str">
        <f>IF(Tabela1[[#This Row],[3]]&lt;&gt;"",IF(ISNUMBER(FIND(",",Tabela1[[#This Row],[3]])),LEN(Tabela1[[#This Row],[3]])-LEN(SUBSTITUTE(Tabela1[[#This Row],[3]],",",""))+1,1),"")</f>
        <v/>
      </c>
      <c r="AC507" t="str">
        <f>IF(Tabela1[[#This Row],[4]]&lt;&gt;"",IF(ISNUMBER(FIND(",",Tabela1[[#This Row],[4]])),LEN(Tabela1[[#This Row],[4]])-LEN(SUBSTITUTE(Tabela1[[#This Row],[4]],",",""))+1,1),"")</f>
        <v/>
      </c>
      <c r="AD507" t="str">
        <f>IF(Tabela1[[#This Row],[5]]&lt;&gt;"",IF(ISNUMBER(FIND(",",Tabela1[[#This Row],[5]])),LEN(Tabela1[[#This Row],[5]])-LEN(SUBSTITUTE(Tabela1[[#This Row],[5]],",",""))+1,1),"")</f>
        <v/>
      </c>
      <c r="AE507" t="str">
        <f>IF(Tabela1[[#This Row],[6]]&lt;&gt;"",IF(ISNUMBER(FIND(",",Tabela1[[#This Row],[6]])),LEN(Tabela1[[#This Row],[6]])-LEN(SUBSTITUTE(Tabela1[[#This Row],[6]],",",""))+1,1),"")</f>
        <v/>
      </c>
      <c r="AF507" t="str">
        <f>IF(Tabela1[[#This Row],[7]]&lt;&gt;"",IF(ISNUMBER(FIND(",",Tabela1[[#This Row],[7]])),LEN(Tabela1[[#This Row],[7]])-LEN(SUBSTITUTE(Tabela1[[#This Row],[7]],",",""))+1,1),"")</f>
        <v/>
      </c>
      <c r="AG507" t="str">
        <f>IF(Tabela1[[#This Row],[8]]&lt;&gt;"",IF(ISNUMBER(FIND(",",Tabela1[[#This Row],[8]])),LEN(Tabela1[[#This Row],[8]])-LEN(SUBSTITUTE(Tabela1[[#This Row],[8]],",",""))+1,1),"")</f>
        <v/>
      </c>
      <c r="AH507" t="str">
        <f>IF(Tabela1[[#This Row],[9]]&lt;&gt;"",IF(ISNUMBER(FIND(",",Tabela1[[#This Row],[9]])),LEN(Tabela1[[#This Row],[9]])-LEN(SUBSTITUTE(Tabela1[[#This Row],[9]],",",""))+1,1),"")</f>
        <v/>
      </c>
      <c r="AI507" t="str">
        <f>IF(Tabela1[[#This Row],[10]]&lt;&gt;"",IF(ISNUMBER(FIND(",",Tabela1[[#This Row],[10]])),LEN(Tabela1[[#This Row],[10]])-LEN(SUBSTITUTE(Tabela1[[#This Row],[10]],",",""))+1,1),"")</f>
        <v/>
      </c>
      <c r="AJ507" t="str">
        <f>IF(Tabela1[[#This Row],[11]]&lt;&gt;"",IF(ISNUMBER(FIND(",",Tabela1[[#This Row],[11]])),LEN(Tabela1[[#This Row],[11]])-LEN(SUBSTITUTE(Tabela1[[#This Row],[11]],",",""))+1,1),"")</f>
        <v/>
      </c>
      <c r="AK507" t="str">
        <f>IF(Tabela1[[#This Row],[12]]&lt;&gt;"",IF(ISNUMBER(FIND(",",Tabela1[[#This Row],[12]])),LEN(Tabela1[[#This Row],[12]])-LEN(SUBSTITUTE(Tabela1[[#This Row],[12]],",",""))+1,1),"")</f>
        <v/>
      </c>
      <c r="AL507" t="str">
        <f>IF(Tabela1[[#This Row],[13]]&lt;&gt;"",IF(ISNUMBER(FIND(",",Tabela1[[#This Row],[13]])),LEN(Tabela1[[#This Row],[13]])-LEN(SUBSTITUTE(Tabela1[[#This Row],[13]],",",""))+1,1),"")</f>
        <v/>
      </c>
      <c r="AM507" t="str">
        <f>IF(Tabela1[[#This Row],[14]]&lt;&gt;"",IF(ISNUMBER(FIND(",",Tabela1[[#This Row],[14]])),LEN(Tabela1[[#This Row],[14]])-LEN(SUBSTITUTE(Tabela1[[#This Row],[14]],",",""))+1,1),"")</f>
        <v/>
      </c>
      <c r="AN507" t="str">
        <f>IF(Tabela1[[#This Row],[15]]&lt;&gt;"",IF(ISNUMBER(FIND(",",Tabela1[[#This Row],[15]])),LEN(Tabela1[[#This Row],[15]])-LEN(SUBSTITUTE(Tabela1[[#This Row],[15]],",",""))+1,1),"")</f>
        <v/>
      </c>
      <c r="AO507">
        <f>IF(Tabela1[[#This Row],[16]]&lt;&gt;"",IF(ISNUMBER(FIND(",",Tabela1[[#This Row],[16]])),LEN(Tabela1[[#This Row],[16]])-LEN(SUBSTITUTE(Tabela1[[#This Row],[16]],",",""))+1,1),"")</f>
        <v>1</v>
      </c>
      <c r="AP507" t="str">
        <f>IF(Tabela1[[#This Row],[17]]&lt;&gt;"",IF(ISNUMBER(FIND(",",Tabela1[[#This Row],[17]])),LEN(Tabela1[[#This Row],[17]])-LEN(SUBSTITUTE(Tabela1[[#This Row],[17]],",",""))+1,1),"")</f>
        <v/>
      </c>
      <c r="AQ507" t="str">
        <f>IF(Tabela1[[#This Row],[18]]&lt;&gt;"",IF(ISNUMBER(FIND(",",Tabela1[[#This Row],[18]])),LEN(Tabela1[[#This Row],[18]])-LEN(SUBSTITUTE(Tabela1[[#This Row],[18]],",",""))+1,1),"")</f>
        <v/>
      </c>
      <c r="AR507" s="13" t="str">
        <f>IF(Tabela1[[#This Row],[19_LENGTH]]&lt;&gt;"",IF(ISNUMBER(FIND(",",Tabela1[[#This Row],[19_LENGTH]])),LEN(Tabela1[[#This Row],[19_LENGTH]])-LEN(SUBSTITUTE(Tabela1[[#This Row],[19_LENGTH]],",",""))+1,1),"")</f>
        <v/>
      </c>
      <c r="AS507" s="21">
        <f>SUM(Tabela1[[#This Row],[1_]:[19_]])</f>
        <v>1</v>
      </c>
    </row>
    <row r="508" spans="1:45" x14ac:dyDescent="0.25">
      <c r="A508" s="27" t="s">
        <v>1328</v>
      </c>
      <c r="B508" s="19" t="s">
        <v>861</v>
      </c>
      <c r="C508" s="19">
        <v>102</v>
      </c>
      <c r="D508" s="19" t="s">
        <v>1299</v>
      </c>
      <c r="E508" s="20">
        <v>43537</v>
      </c>
      <c r="F508" s="19"/>
      <c r="G508" s="19"/>
      <c r="H508" s="19"/>
      <c r="I508" s="19"/>
      <c r="J508" s="19"/>
      <c r="K508" s="19"/>
      <c r="L508" s="19"/>
      <c r="M508" s="19"/>
      <c r="N508" s="19"/>
      <c r="O508" s="19"/>
      <c r="P508" s="19"/>
      <c r="Q508" s="19"/>
      <c r="R508" s="19"/>
      <c r="S508" s="19"/>
      <c r="T508" s="19"/>
      <c r="U508" s="19">
        <v>22</v>
      </c>
      <c r="V508" s="19"/>
      <c r="W508" s="19"/>
      <c r="X508" s="19"/>
      <c r="Y508" s="19"/>
      <c r="Z508" t="str">
        <f>IF(Tabela1[[#This Row],[1]]&lt;&gt;"",IF(ISNUMBER(FIND(",",Tabela1[[#This Row],[1]])),LEN(Tabela1[[#This Row],[1]])-LEN(SUBSTITUTE(Tabela1[[#This Row],[1]],",",""))+1,1),"")</f>
        <v/>
      </c>
      <c r="AA508" t="str">
        <f>IF(Tabela1[[#This Row],[2]]&lt;&gt;"",IF(ISNUMBER(FIND(",",Tabela1[[#This Row],[2]])),LEN(Tabela1[[#This Row],[2]])-LEN(SUBSTITUTE(Tabela1[[#This Row],[2]],",",""))+1,1),"")</f>
        <v/>
      </c>
      <c r="AB508" t="str">
        <f>IF(Tabela1[[#This Row],[3]]&lt;&gt;"",IF(ISNUMBER(FIND(",",Tabela1[[#This Row],[3]])),LEN(Tabela1[[#This Row],[3]])-LEN(SUBSTITUTE(Tabela1[[#This Row],[3]],",",""))+1,1),"")</f>
        <v/>
      </c>
      <c r="AC508" t="str">
        <f>IF(Tabela1[[#This Row],[4]]&lt;&gt;"",IF(ISNUMBER(FIND(",",Tabela1[[#This Row],[4]])),LEN(Tabela1[[#This Row],[4]])-LEN(SUBSTITUTE(Tabela1[[#This Row],[4]],",",""))+1,1),"")</f>
        <v/>
      </c>
      <c r="AD508" t="str">
        <f>IF(Tabela1[[#This Row],[5]]&lt;&gt;"",IF(ISNUMBER(FIND(",",Tabela1[[#This Row],[5]])),LEN(Tabela1[[#This Row],[5]])-LEN(SUBSTITUTE(Tabela1[[#This Row],[5]],",",""))+1,1),"")</f>
        <v/>
      </c>
      <c r="AE508" t="str">
        <f>IF(Tabela1[[#This Row],[6]]&lt;&gt;"",IF(ISNUMBER(FIND(",",Tabela1[[#This Row],[6]])),LEN(Tabela1[[#This Row],[6]])-LEN(SUBSTITUTE(Tabela1[[#This Row],[6]],",",""))+1,1),"")</f>
        <v/>
      </c>
      <c r="AF508" t="str">
        <f>IF(Tabela1[[#This Row],[7]]&lt;&gt;"",IF(ISNUMBER(FIND(",",Tabela1[[#This Row],[7]])),LEN(Tabela1[[#This Row],[7]])-LEN(SUBSTITUTE(Tabela1[[#This Row],[7]],",",""))+1,1),"")</f>
        <v/>
      </c>
      <c r="AG508" t="str">
        <f>IF(Tabela1[[#This Row],[8]]&lt;&gt;"",IF(ISNUMBER(FIND(",",Tabela1[[#This Row],[8]])),LEN(Tabela1[[#This Row],[8]])-LEN(SUBSTITUTE(Tabela1[[#This Row],[8]],",",""))+1,1),"")</f>
        <v/>
      </c>
      <c r="AH508" t="str">
        <f>IF(Tabela1[[#This Row],[9]]&lt;&gt;"",IF(ISNUMBER(FIND(",",Tabela1[[#This Row],[9]])),LEN(Tabela1[[#This Row],[9]])-LEN(SUBSTITUTE(Tabela1[[#This Row],[9]],",",""))+1,1),"")</f>
        <v/>
      </c>
      <c r="AI508" t="str">
        <f>IF(Tabela1[[#This Row],[10]]&lt;&gt;"",IF(ISNUMBER(FIND(",",Tabela1[[#This Row],[10]])),LEN(Tabela1[[#This Row],[10]])-LEN(SUBSTITUTE(Tabela1[[#This Row],[10]],",",""))+1,1),"")</f>
        <v/>
      </c>
      <c r="AJ508" t="str">
        <f>IF(Tabela1[[#This Row],[11]]&lt;&gt;"",IF(ISNUMBER(FIND(",",Tabela1[[#This Row],[11]])),LEN(Tabela1[[#This Row],[11]])-LEN(SUBSTITUTE(Tabela1[[#This Row],[11]],",",""))+1,1),"")</f>
        <v/>
      </c>
      <c r="AK508" t="str">
        <f>IF(Tabela1[[#This Row],[12]]&lt;&gt;"",IF(ISNUMBER(FIND(",",Tabela1[[#This Row],[12]])),LEN(Tabela1[[#This Row],[12]])-LEN(SUBSTITUTE(Tabela1[[#This Row],[12]],",",""))+1,1),"")</f>
        <v/>
      </c>
      <c r="AL508" t="str">
        <f>IF(Tabela1[[#This Row],[13]]&lt;&gt;"",IF(ISNUMBER(FIND(",",Tabela1[[#This Row],[13]])),LEN(Tabela1[[#This Row],[13]])-LEN(SUBSTITUTE(Tabela1[[#This Row],[13]],",",""))+1,1),"")</f>
        <v/>
      </c>
      <c r="AM508" t="str">
        <f>IF(Tabela1[[#This Row],[14]]&lt;&gt;"",IF(ISNUMBER(FIND(",",Tabela1[[#This Row],[14]])),LEN(Tabela1[[#This Row],[14]])-LEN(SUBSTITUTE(Tabela1[[#This Row],[14]],",",""))+1,1),"")</f>
        <v/>
      </c>
      <c r="AN508" t="str">
        <f>IF(Tabela1[[#This Row],[15]]&lt;&gt;"",IF(ISNUMBER(FIND(",",Tabela1[[#This Row],[15]])),LEN(Tabela1[[#This Row],[15]])-LEN(SUBSTITUTE(Tabela1[[#This Row],[15]],",",""))+1,1),"")</f>
        <v/>
      </c>
      <c r="AO508">
        <f>IF(Tabela1[[#This Row],[16]]&lt;&gt;"",IF(ISNUMBER(FIND(",",Tabela1[[#This Row],[16]])),LEN(Tabela1[[#This Row],[16]])-LEN(SUBSTITUTE(Tabela1[[#This Row],[16]],",",""))+1,1),"")</f>
        <v>1</v>
      </c>
      <c r="AP508" t="str">
        <f>IF(Tabela1[[#This Row],[17]]&lt;&gt;"",IF(ISNUMBER(FIND(",",Tabela1[[#This Row],[17]])),LEN(Tabela1[[#This Row],[17]])-LEN(SUBSTITUTE(Tabela1[[#This Row],[17]],",",""))+1,1),"")</f>
        <v/>
      </c>
      <c r="AQ508" t="str">
        <f>IF(Tabela1[[#This Row],[18]]&lt;&gt;"",IF(ISNUMBER(FIND(",",Tabela1[[#This Row],[18]])),LEN(Tabela1[[#This Row],[18]])-LEN(SUBSTITUTE(Tabela1[[#This Row],[18]],",",""))+1,1),"")</f>
        <v/>
      </c>
      <c r="AR508" s="13" t="str">
        <f>IF(Tabela1[[#This Row],[19_LENGTH]]&lt;&gt;"",IF(ISNUMBER(FIND(",",Tabela1[[#This Row],[19_LENGTH]])),LEN(Tabela1[[#This Row],[19_LENGTH]])-LEN(SUBSTITUTE(Tabela1[[#This Row],[19_LENGTH]],",",""))+1,1),"")</f>
        <v/>
      </c>
      <c r="AS508" s="21">
        <f>SUM(Tabela1[[#This Row],[1_]:[19_]])</f>
        <v>1</v>
      </c>
    </row>
    <row r="509" spans="1:45" x14ac:dyDescent="0.25">
      <c r="A509" s="27" t="s">
        <v>1328</v>
      </c>
      <c r="B509" s="19" t="s">
        <v>862</v>
      </c>
      <c r="C509" s="19">
        <v>102</v>
      </c>
      <c r="D509" s="19" t="s">
        <v>1299</v>
      </c>
      <c r="E509" s="20">
        <v>43537</v>
      </c>
      <c r="F509" s="19"/>
      <c r="G509" s="19"/>
      <c r="H509" s="19"/>
      <c r="I509" s="19"/>
      <c r="J509" s="19"/>
      <c r="K509" s="19"/>
      <c r="L509" s="19"/>
      <c r="M509" s="19"/>
      <c r="N509" s="19"/>
      <c r="O509" s="19"/>
      <c r="P509" s="19"/>
      <c r="Q509" s="19"/>
      <c r="R509" s="19"/>
      <c r="S509" s="19"/>
      <c r="T509" s="19"/>
      <c r="U509" s="19" t="s">
        <v>199</v>
      </c>
      <c r="V509" s="19"/>
      <c r="W509" s="19"/>
      <c r="X509" s="19"/>
      <c r="Y509" s="19"/>
      <c r="Z509" t="str">
        <f>IF(Tabela1[[#This Row],[1]]&lt;&gt;"",IF(ISNUMBER(FIND(",",Tabela1[[#This Row],[1]])),LEN(Tabela1[[#This Row],[1]])-LEN(SUBSTITUTE(Tabela1[[#This Row],[1]],",",""))+1,1),"")</f>
        <v/>
      </c>
      <c r="AA509" t="str">
        <f>IF(Tabela1[[#This Row],[2]]&lt;&gt;"",IF(ISNUMBER(FIND(",",Tabela1[[#This Row],[2]])),LEN(Tabela1[[#This Row],[2]])-LEN(SUBSTITUTE(Tabela1[[#This Row],[2]],",",""))+1,1),"")</f>
        <v/>
      </c>
      <c r="AB509" t="str">
        <f>IF(Tabela1[[#This Row],[3]]&lt;&gt;"",IF(ISNUMBER(FIND(",",Tabela1[[#This Row],[3]])),LEN(Tabela1[[#This Row],[3]])-LEN(SUBSTITUTE(Tabela1[[#This Row],[3]],",",""))+1,1),"")</f>
        <v/>
      </c>
      <c r="AC509" t="str">
        <f>IF(Tabela1[[#This Row],[4]]&lt;&gt;"",IF(ISNUMBER(FIND(",",Tabela1[[#This Row],[4]])),LEN(Tabela1[[#This Row],[4]])-LEN(SUBSTITUTE(Tabela1[[#This Row],[4]],",",""))+1,1),"")</f>
        <v/>
      </c>
      <c r="AD509" t="str">
        <f>IF(Tabela1[[#This Row],[5]]&lt;&gt;"",IF(ISNUMBER(FIND(",",Tabela1[[#This Row],[5]])),LEN(Tabela1[[#This Row],[5]])-LEN(SUBSTITUTE(Tabela1[[#This Row],[5]],",",""))+1,1),"")</f>
        <v/>
      </c>
      <c r="AE509" t="str">
        <f>IF(Tabela1[[#This Row],[6]]&lt;&gt;"",IF(ISNUMBER(FIND(",",Tabela1[[#This Row],[6]])),LEN(Tabela1[[#This Row],[6]])-LEN(SUBSTITUTE(Tabela1[[#This Row],[6]],",",""))+1,1),"")</f>
        <v/>
      </c>
      <c r="AF509" t="str">
        <f>IF(Tabela1[[#This Row],[7]]&lt;&gt;"",IF(ISNUMBER(FIND(",",Tabela1[[#This Row],[7]])),LEN(Tabela1[[#This Row],[7]])-LEN(SUBSTITUTE(Tabela1[[#This Row],[7]],",",""))+1,1),"")</f>
        <v/>
      </c>
      <c r="AG509" t="str">
        <f>IF(Tabela1[[#This Row],[8]]&lt;&gt;"",IF(ISNUMBER(FIND(",",Tabela1[[#This Row],[8]])),LEN(Tabela1[[#This Row],[8]])-LEN(SUBSTITUTE(Tabela1[[#This Row],[8]],",",""))+1,1),"")</f>
        <v/>
      </c>
      <c r="AH509" t="str">
        <f>IF(Tabela1[[#This Row],[9]]&lt;&gt;"",IF(ISNUMBER(FIND(",",Tabela1[[#This Row],[9]])),LEN(Tabela1[[#This Row],[9]])-LEN(SUBSTITUTE(Tabela1[[#This Row],[9]],",",""))+1,1),"")</f>
        <v/>
      </c>
      <c r="AI509" t="str">
        <f>IF(Tabela1[[#This Row],[10]]&lt;&gt;"",IF(ISNUMBER(FIND(",",Tabela1[[#This Row],[10]])),LEN(Tabela1[[#This Row],[10]])-LEN(SUBSTITUTE(Tabela1[[#This Row],[10]],",",""))+1,1),"")</f>
        <v/>
      </c>
      <c r="AJ509" t="str">
        <f>IF(Tabela1[[#This Row],[11]]&lt;&gt;"",IF(ISNUMBER(FIND(",",Tabela1[[#This Row],[11]])),LEN(Tabela1[[#This Row],[11]])-LEN(SUBSTITUTE(Tabela1[[#This Row],[11]],",",""))+1,1),"")</f>
        <v/>
      </c>
      <c r="AK509" t="str">
        <f>IF(Tabela1[[#This Row],[12]]&lt;&gt;"",IF(ISNUMBER(FIND(",",Tabela1[[#This Row],[12]])),LEN(Tabela1[[#This Row],[12]])-LEN(SUBSTITUTE(Tabela1[[#This Row],[12]],",",""))+1,1),"")</f>
        <v/>
      </c>
      <c r="AL509" t="str">
        <f>IF(Tabela1[[#This Row],[13]]&lt;&gt;"",IF(ISNUMBER(FIND(",",Tabela1[[#This Row],[13]])),LEN(Tabela1[[#This Row],[13]])-LEN(SUBSTITUTE(Tabela1[[#This Row],[13]],",",""))+1,1),"")</f>
        <v/>
      </c>
      <c r="AM509" t="str">
        <f>IF(Tabela1[[#This Row],[14]]&lt;&gt;"",IF(ISNUMBER(FIND(",",Tabela1[[#This Row],[14]])),LEN(Tabela1[[#This Row],[14]])-LEN(SUBSTITUTE(Tabela1[[#This Row],[14]],",",""))+1,1),"")</f>
        <v/>
      </c>
      <c r="AN509" t="str">
        <f>IF(Tabela1[[#This Row],[15]]&lt;&gt;"",IF(ISNUMBER(FIND(",",Tabela1[[#This Row],[15]])),LEN(Tabela1[[#This Row],[15]])-LEN(SUBSTITUTE(Tabela1[[#This Row],[15]],",",""))+1,1),"")</f>
        <v/>
      </c>
      <c r="AO509">
        <f>IF(Tabela1[[#This Row],[16]]&lt;&gt;"",IF(ISNUMBER(FIND(",",Tabela1[[#This Row],[16]])),LEN(Tabela1[[#This Row],[16]])-LEN(SUBSTITUTE(Tabela1[[#This Row],[16]],",",""))+1,1),"")</f>
        <v>3</v>
      </c>
      <c r="AP509" t="str">
        <f>IF(Tabela1[[#This Row],[17]]&lt;&gt;"",IF(ISNUMBER(FIND(",",Tabela1[[#This Row],[17]])),LEN(Tabela1[[#This Row],[17]])-LEN(SUBSTITUTE(Tabela1[[#This Row],[17]],",",""))+1,1),"")</f>
        <v/>
      </c>
      <c r="AQ509" t="str">
        <f>IF(Tabela1[[#This Row],[18]]&lt;&gt;"",IF(ISNUMBER(FIND(",",Tabela1[[#This Row],[18]])),LEN(Tabela1[[#This Row],[18]])-LEN(SUBSTITUTE(Tabela1[[#This Row],[18]],",",""))+1,1),"")</f>
        <v/>
      </c>
      <c r="AR509" s="13" t="str">
        <f>IF(Tabela1[[#This Row],[19_LENGTH]]&lt;&gt;"",IF(ISNUMBER(FIND(",",Tabela1[[#This Row],[19_LENGTH]])),LEN(Tabela1[[#This Row],[19_LENGTH]])-LEN(SUBSTITUTE(Tabela1[[#This Row],[19_LENGTH]],",",""))+1,1),"")</f>
        <v/>
      </c>
      <c r="AS509" s="21">
        <f>SUM(Tabela1[[#This Row],[1_]:[19_]])</f>
        <v>3</v>
      </c>
    </row>
    <row r="510" spans="1:45" x14ac:dyDescent="0.25">
      <c r="A510" s="27" t="s">
        <v>1328</v>
      </c>
      <c r="B510" s="19" t="s">
        <v>863</v>
      </c>
      <c r="C510" s="19">
        <v>102</v>
      </c>
      <c r="D510" s="19" t="s">
        <v>1299</v>
      </c>
      <c r="E510" s="20">
        <v>43537</v>
      </c>
      <c r="F510" s="19"/>
      <c r="G510" s="19">
        <v>43</v>
      </c>
      <c r="H510" s="19"/>
      <c r="I510" s="19"/>
      <c r="J510" s="19"/>
      <c r="K510" s="19"/>
      <c r="L510" s="19"/>
      <c r="M510" s="19"/>
      <c r="N510" s="19"/>
      <c r="O510" s="19"/>
      <c r="P510" s="19"/>
      <c r="Q510" s="19"/>
      <c r="R510" s="19"/>
      <c r="S510" s="19"/>
      <c r="T510" s="19"/>
      <c r="U510" s="19" t="s">
        <v>200</v>
      </c>
      <c r="V510" s="19"/>
      <c r="W510" s="19"/>
      <c r="X510" s="19"/>
      <c r="Y510" s="19"/>
      <c r="Z510" t="str">
        <f>IF(Tabela1[[#This Row],[1]]&lt;&gt;"",IF(ISNUMBER(FIND(",",Tabela1[[#This Row],[1]])),LEN(Tabela1[[#This Row],[1]])-LEN(SUBSTITUTE(Tabela1[[#This Row],[1]],",",""))+1,1),"")</f>
        <v/>
      </c>
      <c r="AA510">
        <f>IF(Tabela1[[#This Row],[2]]&lt;&gt;"",IF(ISNUMBER(FIND(",",Tabela1[[#This Row],[2]])),LEN(Tabela1[[#This Row],[2]])-LEN(SUBSTITUTE(Tabela1[[#This Row],[2]],",",""))+1,1),"")</f>
        <v>1</v>
      </c>
      <c r="AB510" t="str">
        <f>IF(Tabela1[[#This Row],[3]]&lt;&gt;"",IF(ISNUMBER(FIND(",",Tabela1[[#This Row],[3]])),LEN(Tabela1[[#This Row],[3]])-LEN(SUBSTITUTE(Tabela1[[#This Row],[3]],",",""))+1,1),"")</f>
        <v/>
      </c>
      <c r="AC510" t="str">
        <f>IF(Tabela1[[#This Row],[4]]&lt;&gt;"",IF(ISNUMBER(FIND(",",Tabela1[[#This Row],[4]])),LEN(Tabela1[[#This Row],[4]])-LEN(SUBSTITUTE(Tabela1[[#This Row],[4]],",",""))+1,1),"")</f>
        <v/>
      </c>
      <c r="AD510" t="str">
        <f>IF(Tabela1[[#This Row],[5]]&lt;&gt;"",IF(ISNUMBER(FIND(",",Tabela1[[#This Row],[5]])),LEN(Tabela1[[#This Row],[5]])-LEN(SUBSTITUTE(Tabela1[[#This Row],[5]],",",""))+1,1),"")</f>
        <v/>
      </c>
      <c r="AE510" t="str">
        <f>IF(Tabela1[[#This Row],[6]]&lt;&gt;"",IF(ISNUMBER(FIND(",",Tabela1[[#This Row],[6]])),LEN(Tabela1[[#This Row],[6]])-LEN(SUBSTITUTE(Tabela1[[#This Row],[6]],",",""))+1,1),"")</f>
        <v/>
      </c>
      <c r="AF510" t="str">
        <f>IF(Tabela1[[#This Row],[7]]&lt;&gt;"",IF(ISNUMBER(FIND(",",Tabela1[[#This Row],[7]])),LEN(Tabela1[[#This Row],[7]])-LEN(SUBSTITUTE(Tabela1[[#This Row],[7]],",",""))+1,1),"")</f>
        <v/>
      </c>
      <c r="AG510" t="str">
        <f>IF(Tabela1[[#This Row],[8]]&lt;&gt;"",IF(ISNUMBER(FIND(",",Tabela1[[#This Row],[8]])),LEN(Tabela1[[#This Row],[8]])-LEN(SUBSTITUTE(Tabela1[[#This Row],[8]],",",""))+1,1),"")</f>
        <v/>
      </c>
      <c r="AH510" t="str">
        <f>IF(Tabela1[[#This Row],[9]]&lt;&gt;"",IF(ISNUMBER(FIND(",",Tabela1[[#This Row],[9]])),LEN(Tabela1[[#This Row],[9]])-LEN(SUBSTITUTE(Tabela1[[#This Row],[9]],",",""))+1,1),"")</f>
        <v/>
      </c>
      <c r="AI510" t="str">
        <f>IF(Tabela1[[#This Row],[10]]&lt;&gt;"",IF(ISNUMBER(FIND(",",Tabela1[[#This Row],[10]])),LEN(Tabela1[[#This Row],[10]])-LEN(SUBSTITUTE(Tabela1[[#This Row],[10]],",",""))+1,1),"")</f>
        <v/>
      </c>
      <c r="AJ510" t="str">
        <f>IF(Tabela1[[#This Row],[11]]&lt;&gt;"",IF(ISNUMBER(FIND(",",Tabela1[[#This Row],[11]])),LEN(Tabela1[[#This Row],[11]])-LEN(SUBSTITUTE(Tabela1[[#This Row],[11]],",",""))+1,1),"")</f>
        <v/>
      </c>
      <c r="AK510" t="str">
        <f>IF(Tabela1[[#This Row],[12]]&lt;&gt;"",IF(ISNUMBER(FIND(",",Tabela1[[#This Row],[12]])),LEN(Tabela1[[#This Row],[12]])-LEN(SUBSTITUTE(Tabela1[[#This Row],[12]],",",""))+1,1),"")</f>
        <v/>
      </c>
      <c r="AL510" t="str">
        <f>IF(Tabela1[[#This Row],[13]]&lt;&gt;"",IF(ISNUMBER(FIND(",",Tabela1[[#This Row],[13]])),LEN(Tabela1[[#This Row],[13]])-LEN(SUBSTITUTE(Tabela1[[#This Row],[13]],",",""))+1,1),"")</f>
        <v/>
      </c>
      <c r="AM510" t="str">
        <f>IF(Tabela1[[#This Row],[14]]&lt;&gt;"",IF(ISNUMBER(FIND(",",Tabela1[[#This Row],[14]])),LEN(Tabela1[[#This Row],[14]])-LEN(SUBSTITUTE(Tabela1[[#This Row],[14]],",",""))+1,1),"")</f>
        <v/>
      </c>
      <c r="AN510" t="str">
        <f>IF(Tabela1[[#This Row],[15]]&lt;&gt;"",IF(ISNUMBER(FIND(",",Tabela1[[#This Row],[15]])),LEN(Tabela1[[#This Row],[15]])-LEN(SUBSTITUTE(Tabela1[[#This Row],[15]],",",""))+1,1),"")</f>
        <v/>
      </c>
      <c r="AO510">
        <f>IF(Tabela1[[#This Row],[16]]&lt;&gt;"",IF(ISNUMBER(FIND(",",Tabela1[[#This Row],[16]])),LEN(Tabela1[[#This Row],[16]])-LEN(SUBSTITUTE(Tabela1[[#This Row],[16]],",",""))+1,1),"")</f>
        <v>3</v>
      </c>
      <c r="AP510" t="str">
        <f>IF(Tabela1[[#This Row],[17]]&lt;&gt;"",IF(ISNUMBER(FIND(",",Tabela1[[#This Row],[17]])),LEN(Tabela1[[#This Row],[17]])-LEN(SUBSTITUTE(Tabela1[[#This Row],[17]],",",""))+1,1),"")</f>
        <v/>
      </c>
      <c r="AQ510" t="str">
        <f>IF(Tabela1[[#This Row],[18]]&lt;&gt;"",IF(ISNUMBER(FIND(",",Tabela1[[#This Row],[18]])),LEN(Tabela1[[#This Row],[18]])-LEN(SUBSTITUTE(Tabela1[[#This Row],[18]],",",""))+1,1),"")</f>
        <v/>
      </c>
      <c r="AR510" s="13" t="str">
        <f>IF(Tabela1[[#This Row],[19_LENGTH]]&lt;&gt;"",IF(ISNUMBER(FIND(",",Tabela1[[#This Row],[19_LENGTH]])),LEN(Tabela1[[#This Row],[19_LENGTH]])-LEN(SUBSTITUTE(Tabela1[[#This Row],[19_LENGTH]],",",""))+1,1),"")</f>
        <v/>
      </c>
      <c r="AS510" s="21">
        <f>SUM(Tabela1[[#This Row],[1_]:[19_]])</f>
        <v>4</v>
      </c>
    </row>
    <row r="511" spans="1:45" x14ac:dyDescent="0.25">
      <c r="A511" s="27" t="s">
        <v>1328</v>
      </c>
      <c r="B511" s="19" t="s">
        <v>864</v>
      </c>
      <c r="C511" s="19">
        <v>102</v>
      </c>
      <c r="D511" s="19" t="s">
        <v>1299</v>
      </c>
      <c r="E511" s="20">
        <v>43537</v>
      </c>
      <c r="F511" s="19"/>
      <c r="G511" s="19"/>
      <c r="H511" s="19"/>
      <c r="I511" s="19"/>
      <c r="J511" s="19"/>
      <c r="K511" s="19"/>
      <c r="L511" s="19"/>
      <c r="M511" s="19"/>
      <c r="N511" s="19"/>
      <c r="O511" s="19"/>
      <c r="P511" s="19"/>
      <c r="Q511" s="19"/>
      <c r="R511" s="19"/>
      <c r="S511" s="19"/>
      <c r="T511" s="19"/>
      <c r="U511" s="19">
        <v>75</v>
      </c>
      <c r="V511" s="19"/>
      <c r="W511" s="19"/>
      <c r="X511" s="19"/>
      <c r="Y511" s="19"/>
      <c r="Z511" t="str">
        <f>IF(Tabela1[[#This Row],[1]]&lt;&gt;"",IF(ISNUMBER(FIND(",",Tabela1[[#This Row],[1]])),LEN(Tabela1[[#This Row],[1]])-LEN(SUBSTITUTE(Tabela1[[#This Row],[1]],",",""))+1,1),"")</f>
        <v/>
      </c>
      <c r="AA511" t="str">
        <f>IF(Tabela1[[#This Row],[2]]&lt;&gt;"",IF(ISNUMBER(FIND(",",Tabela1[[#This Row],[2]])),LEN(Tabela1[[#This Row],[2]])-LEN(SUBSTITUTE(Tabela1[[#This Row],[2]],",",""))+1,1),"")</f>
        <v/>
      </c>
      <c r="AB511" t="str">
        <f>IF(Tabela1[[#This Row],[3]]&lt;&gt;"",IF(ISNUMBER(FIND(",",Tabela1[[#This Row],[3]])),LEN(Tabela1[[#This Row],[3]])-LEN(SUBSTITUTE(Tabela1[[#This Row],[3]],",",""))+1,1),"")</f>
        <v/>
      </c>
      <c r="AC511" t="str">
        <f>IF(Tabela1[[#This Row],[4]]&lt;&gt;"",IF(ISNUMBER(FIND(",",Tabela1[[#This Row],[4]])),LEN(Tabela1[[#This Row],[4]])-LEN(SUBSTITUTE(Tabela1[[#This Row],[4]],",",""))+1,1),"")</f>
        <v/>
      </c>
      <c r="AD511" t="str">
        <f>IF(Tabela1[[#This Row],[5]]&lt;&gt;"",IF(ISNUMBER(FIND(",",Tabela1[[#This Row],[5]])),LEN(Tabela1[[#This Row],[5]])-LEN(SUBSTITUTE(Tabela1[[#This Row],[5]],",",""))+1,1),"")</f>
        <v/>
      </c>
      <c r="AE511" t="str">
        <f>IF(Tabela1[[#This Row],[6]]&lt;&gt;"",IF(ISNUMBER(FIND(",",Tabela1[[#This Row],[6]])),LEN(Tabela1[[#This Row],[6]])-LEN(SUBSTITUTE(Tabela1[[#This Row],[6]],",",""))+1,1),"")</f>
        <v/>
      </c>
      <c r="AF511" t="str">
        <f>IF(Tabela1[[#This Row],[7]]&lt;&gt;"",IF(ISNUMBER(FIND(",",Tabela1[[#This Row],[7]])),LEN(Tabela1[[#This Row],[7]])-LEN(SUBSTITUTE(Tabela1[[#This Row],[7]],",",""))+1,1),"")</f>
        <v/>
      </c>
      <c r="AG511" t="str">
        <f>IF(Tabela1[[#This Row],[8]]&lt;&gt;"",IF(ISNUMBER(FIND(",",Tabela1[[#This Row],[8]])),LEN(Tabela1[[#This Row],[8]])-LEN(SUBSTITUTE(Tabela1[[#This Row],[8]],",",""))+1,1),"")</f>
        <v/>
      </c>
      <c r="AH511" t="str">
        <f>IF(Tabela1[[#This Row],[9]]&lt;&gt;"",IF(ISNUMBER(FIND(",",Tabela1[[#This Row],[9]])),LEN(Tabela1[[#This Row],[9]])-LEN(SUBSTITUTE(Tabela1[[#This Row],[9]],",",""))+1,1),"")</f>
        <v/>
      </c>
      <c r="AI511" t="str">
        <f>IF(Tabela1[[#This Row],[10]]&lt;&gt;"",IF(ISNUMBER(FIND(",",Tabela1[[#This Row],[10]])),LEN(Tabela1[[#This Row],[10]])-LEN(SUBSTITUTE(Tabela1[[#This Row],[10]],",",""))+1,1),"")</f>
        <v/>
      </c>
      <c r="AJ511" t="str">
        <f>IF(Tabela1[[#This Row],[11]]&lt;&gt;"",IF(ISNUMBER(FIND(",",Tabela1[[#This Row],[11]])),LEN(Tabela1[[#This Row],[11]])-LEN(SUBSTITUTE(Tabela1[[#This Row],[11]],",",""))+1,1),"")</f>
        <v/>
      </c>
      <c r="AK511" t="str">
        <f>IF(Tabela1[[#This Row],[12]]&lt;&gt;"",IF(ISNUMBER(FIND(",",Tabela1[[#This Row],[12]])),LEN(Tabela1[[#This Row],[12]])-LEN(SUBSTITUTE(Tabela1[[#This Row],[12]],",",""))+1,1),"")</f>
        <v/>
      </c>
      <c r="AL511" t="str">
        <f>IF(Tabela1[[#This Row],[13]]&lt;&gt;"",IF(ISNUMBER(FIND(",",Tabela1[[#This Row],[13]])),LEN(Tabela1[[#This Row],[13]])-LEN(SUBSTITUTE(Tabela1[[#This Row],[13]],",",""))+1,1),"")</f>
        <v/>
      </c>
      <c r="AM511" t="str">
        <f>IF(Tabela1[[#This Row],[14]]&lt;&gt;"",IF(ISNUMBER(FIND(",",Tabela1[[#This Row],[14]])),LEN(Tabela1[[#This Row],[14]])-LEN(SUBSTITUTE(Tabela1[[#This Row],[14]],",",""))+1,1),"")</f>
        <v/>
      </c>
      <c r="AN511" t="str">
        <f>IF(Tabela1[[#This Row],[15]]&lt;&gt;"",IF(ISNUMBER(FIND(",",Tabela1[[#This Row],[15]])),LEN(Tabela1[[#This Row],[15]])-LEN(SUBSTITUTE(Tabela1[[#This Row],[15]],",",""))+1,1),"")</f>
        <v/>
      </c>
      <c r="AO511">
        <f>IF(Tabela1[[#This Row],[16]]&lt;&gt;"",IF(ISNUMBER(FIND(",",Tabela1[[#This Row],[16]])),LEN(Tabela1[[#This Row],[16]])-LEN(SUBSTITUTE(Tabela1[[#This Row],[16]],",",""))+1,1),"")</f>
        <v>1</v>
      </c>
      <c r="AP511" t="str">
        <f>IF(Tabela1[[#This Row],[17]]&lt;&gt;"",IF(ISNUMBER(FIND(",",Tabela1[[#This Row],[17]])),LEN(Tabela1[[#This Row],[17]])-LEN(SUBSTITUTE(Tabela1[[#This Row],[17]],",",""))+1,1),"")</f>
        <v/>
      </c>
      <c r="AQ511" t="str">
        <f>IF(Tabela1[[#This Row],[18]]&lt;&gt;"",IF(ISNUMBER(FIND(",",Tabela1[[#This Row],[18]])),LEN(Tabela1[[#This Row],[18]])-LEN(SUBSTITUTE(Tabela1[[#This Row],[18]],",",""))+1,1),"")</f>
        <v/>
      </c>
      <c r="AR511" s="13" t="str">
        <f>IF(Tabela1[[#This Row],[19_LENGTH]]&lt;&gt;"",IF(ISNUMBER(FIND(",",Tabela1[[#This Row],[19_LENGTH]])),LEN(Tabela1[[#This Row],[19_LENGTH]])-LEN(SUBSTITUTE(Tabela1[[#This Row],[19_LENGTH]],",",""))+1,1),"")</f>
        <v/>
      </c>
      <c r="AS511" s="21">
        <f>SUM(Tabela1[[#This Row],[1_]:[19_]])</f>
        <v>1</v>
      </c>
    </row>
    <row r="512" spans="1:45" x14ac:dyDescent="0.25">
      <c r="A512" s="27" t="s">
        <v>1325</v>
      </c>
      <c r="B512" s="19" t="s">
        <v>571</v>
      </c>
      <c r="C512" s="19">
        <v>202</v>
      </c>
      <c r="D512" s="19" t="s">
        <v>1298</v>
      </c>
      <c r="E512" s="20">
        <v>43539</v>
      </c>
      <c r="F512" s="19"/>
      <c r="G512" s="19">
        <v>99</v>
      </c>
      <c r="H512" s="19"/>
      <c r="I512" s="19"/>
      <c r="J512" s="19"/>
      <c r="K512" s="19"/>
      <c r="L512" s="19"/>
      <c r="M512" s="19"/>
      <c r="N512" s="19"/>
      <c r="O512" s="19"/>
      <c r="P512" s="19"/>
      <c r="Q512" s="19"/>
      <c r="R512" s="19"/>
      <c r="S512" s="19"/>
      <c r="T512" s="19"/>
      <c r="U512" s="19"/>
      <c r="V512" s="19"/>
      <c r="W512" s="19"/>
      <c r="X512" s="19"/>
      <c r="Y512" s="19"/>
      <c r="Z512" t="str">
        <f>IF(Tabela1[[#This Row],[1]]&lt;&gt;"",IF(ISNUMBER(FIND(",",Tabela1[[#This Row],[1]])),LEN(Tabela1[[#This Row],[1]])-LEN(SUBSTITUTE(Tabela1[[#This Row],[1]],",",""))+1,1),"")</f>
        <v/>
      </c>
      <c r="AA512">
        <f>IF(Tabela1[[#This Row],[2]]&lt;&gt;"",IF(ISNUMBER(FIND(",",Tabela1[[#This Row],[2]])),LEN(Tabela1[[#This Row],[2]])-LEN(SUBSTITUTE(Tabela1[[#This Row],[2]],",",""))+1,1),"")</f>
        <v>1</v>
      </c>
      <c r="AB512" t="str">
        <f>IF(Tabela1[[#This Row],[3]]&lt;&gt;"",IF(ISNUMBER(FIND(",",Tabela1[[#This Row],[3]])),LEN(Tabela1[[#This Row],[3]])-LEN(SUBSTITUTE(Tabela1[[#This Row],[3]],",",""))+1,1),"")</f>
        <v/>
      </c>
      <c r="AC512" t="str">
        <f>IF(Tabela1[[#This Row],[4]]&lt;&gt;"",IF(ISNUMBER(FIND(",",Tabela1[[#This Row],[4]])),LEN(Tabela1[[#This Row],[4]])-LEN(SUBSTITUTE(Tabela1[[#This Row],[4]],",",""))+1,1),"")</f>
        <v/>
      </c>
      <c r="AD512" t="str">
        <f>IF(Tabela1[[#This Row],[5]]&lt;&gt;"",IF(ISNUMBER(FIND(",",Tabela1[[#This Row],[5]])),LEN(Tabela1[[#This Row],[5]])-LEN(SUBSTITUTE(Tabela1[[#This Row],[5]],",",""))+1,1),"")</f>
        <v/>
      </c>
      <c r="AE512" t="str">
        <f>IF(Tabela1[[#This Row],[6]]&lt;&gt;"",IF(ISNUMBER(FIND(",",Tabela1[[#This Row],[6]])),LEN(Tabela1[[#This Row],[6]])-LEN(SUBSTITUTE(Tabela1[[#This Row],[6]],",",""))+1,1),"")</f>
        <v/>
      </c>
      <c r="AF512" t="str">
        <f>IF(Tabela1[[#This Row],[7]]&lt;&gt;"",IF(ISNUMBER(FIND(",",Tabela1[[#This Row],[7]])),LEN(Tabela1[[#This Row],[7]])-LEN(SUBSTITUTE(Tabela1[[#This Row],[7]],",",""))+1,1),"")</f>
        <v/>
      </c>
      <c r="AG512" t="str">
        <f>IF(Tabela1[[#This Row],[8]]&lt;&gt;"",IF(ISNUMBER(FIND(",",Tabela1[[#This Row],[8]])),LEN(Tabela1[[#This Row],[8]])-LEN(SUBSTITUTE(Tabela1[[#This Row],[8]],",",""))+1,1),"")</f>
        <v/>
      </c>
      <c r="AH512" t="str">
        <f>IF(Tabela1[[#This Row],[9]]&lt;&gt;"",IF(ISNUMBER(FIND(",",Tabela1[[#This Row],[9]])),LEN(Tabela1[[#This Row],[9]])-LEN(SUBSTITUTE(Tabela1[[#This Row],[9]],",",""))+1,1),"")</f>
        <v/>
      </c>
      <c r="AI512" t="str">
        <f>IF(Tabela1[[#This Row],[10]]&lt;&gt;"",IF(ISNUMBER(FIND(",",Tabela1[[#This Row],[10]])),LEN(Tabela1[[#This Row],[10]])-LEN(SUBSTITUTE(Tabela1[[#This Row],[10]],",",""))+1,1),"")</f>
        <v/>
      </c>
      <c r="AJ512" t="str">
        <f>IF(Tabela1[[#This Row],[11]]&lt;&gt;"",IF(ISNUMBER(FIND(",",Tabela1[[#This Row],[11]])),LEN(Tabela1[[#This Row],[11]])-LEN(SUBSTITUTE(Tabela1[[#This Row],[11]],",",""))+1,1),"")</f>
        <v/>
      </c>
      <c r="AK512" t="str">
        <f>IF(Tabela1[[#This Row],[12]]&lt;&gt;"",IF(ISNUMBER(FIND(",",Tabela1[[#This Row],[12]])),LEN(Tabela1[[#This Row],[12]])-LEN(SUBSTITUTE(Tabela1[[#This Row],[12]],",",""))+1,1),"")</f>
        <v/>
      </c>
      <c r="AL512" t="str">
        <f>IF(Tabela1[[#This Row],[13]]&lt;&gt;"",IF(ISNUMBER(FIND(",",Tabela1[[#This Row],[13]])),LEN(Tabela1[[#This Row],[13]])-LEN(SUBSTITUTE(Tabela1[[#This Row],[13]],",",""))+1,1),"")</f>
        <v/>
      </c>
      <c r="AM512" t="str">
        <f>IF(Tabela1[[#This Row],[14]]&lt;&gt;"",IF(ISNUMBER(FIND(",",Tabela1[[#This Row],[14]])),LEN(Tabela1[[#This Row],[14]])-LEN(SUBSTITUTE(Tabela1[[#This Row],[14]],",",""))+1,1),"")</f>
        <v/>
      </c>
      <c r="AN512" t="str">
        <f>IF(Tabela1[[#This Row],[15]]&lt;&gt;"",IF(ISNUMBER(FIND(",",Tabela1[[#This Row],[15]])),LEN(Tabela1[[#This Row],[15]])-LEN(SUBSTITUTE(Tabela1[[#This Row],[15]],",",""))+1,1),"")</f>
        <v/>
      </c>
      <c r="AO512" t="str">
        <f>IF(Tabela1[[#This Row],[16]]&lt;&gt;"",IF(ISNUMBER(FIND(",",Tabela1[[#This Row],[16]])),LEN(Tabela1[[#This Row],[16]])-LEN(SUBSTITUTE(Tabela1[[#This Row],[16]],",",""))+1,1),"")</f>
        <v/>
      </c>
      <c r="AP512" t="str">
        <f>IF(Tabela1[[#This Row],[17]]&lt;&gt;"",IF(ISNUMBER(FIND(",",Tabela1[[#This Row],[17]])),LEN(Tabela1[[#This Row],[17]])-LEN(SUBSTITUTE(Tabela1[[#This Row],[17]],",",""))+1,1),"")</f>
        <v/>
      </c>
      <c r="AQ512" t="str">
        <f>IF(Tabela1[[#This Row],[18]]&lt;&gt;"",IF(ISNUMBER(FIND(",",Tabela1[[#This Row],[18]])),LEN(Tabela1[[#This Row],[18]])-LEN(SUBSTITUTE(Tabela1[[#This Row],[18]],",",""))+1,1),"")</f>
        <v/>
      </c>
      <c r="AR512" s="13" t="str">
        <f>IF(Tabela1[[#This Row],[19_LENGTH]]&lt;&gt;"",IF(ISNUMBER(FIND(",",Tabela1[[#This Row],[19_LENGTH]])),LEN(Tabela1[[#This Row],[19_LENGTH]])-LEN(SUBSTITUTE(Tabela1[[#This Row],[19_LENGTH]],",",""))+1,1),"")</f>
        <v/>
      </c>
      <c r="AS512" s="21">
        <f>SUM(Tabela1[[#This Row],[1_]:[19_]])</f>
        <v>1</v>
      </c>
    </row>
    <row r="513" spans="1:45" x14ac:dyDescent="0.25">
      <c r="A513" s="27" t="s">
        <v>1328</v>
      </c>
      <c r="B513" s="19" t="s">
        <v>865</v>
      </c>
      <c r="C513" s="19">
        <v>102</v>
      </c>
      <c r="D513" s="19" t="s">
        <v>1314</v>
      </c>
      <c r="E513" s="20">
        <v>43539</v>
      </c>
      <c r="F513" s="19"/>
      <c r="G513" s="19"/>
      <c r="H513" s="19"/>
      <c r="I513" s="19"/>
      <c r="J513" s="19">
        <v>35</v>
      </c>
      <c r="K513" s="19"/>
      <c r="L513" s="19"/>
      <c r="M513" s="19"/>
      <c r="N513" s="19"/>
      <c r="O513" s="19"/>
      <c r="P513" s="19"/>
      <c r="Q513" s="19"/>
      <c r="R513" s="19"/>
      <c r="S513" s="19"/>
      <c r="T513" s="19"/>
      <c r="U513" s="19"/>
      <c r="V513" s="19"/>
      <c r="W513" s="19"/>
      <c r="X513" s="19"/>
      <c r="Y513" s="19"/>
      <c r="Z513" t="str">
        <f>IF(Tabela1[[#This Row],[1]]&lt;&gt;"",IF(ISNUMBER(FIND(",",Tabela1[[#This Row],[1]])),LEN(Tabela1[[#This Row],[1]])-LEN(SUBSTITUTE(Tabela1[[#This Row],[1]],",",""))+1,1),"")</f>
        <v/>
      </c>
      <c r="AA513" t="str">
        <f>IF(Tabela1[[#This Row],[2]]&lt;&gt;"",IF(ISNUMBER(FIND(",",Tabela1[[#This Row],[2]])),LEN(Tabela1[[#This Row],[2]])-LEN(SUBSTITUTE(Tabela1[[#This Row],[2]],",",""))+1,1),"")</f>
        <v/>
      </c>
      <c r="AB513" t="str">
        <f>IF(Tabela1[[#This Row],[3]]&lt;&gt;"",IF(ISNUMBER(FIND(",",Tabela1[[#This Row],[3]])),LEN(Tabela1[[#This Row],[3]])-LEN(SUBSTITUTE(Tabela1[[#This Row],[3]],",",""))+1,1),"")</f>
        <v/>
      </c>
      <c r="AC513" t="str">
        <f>IF(Tabela1[[#This Row],[4]]&lt;&gt;"",IF(ISNUMBER(FIND(",",Tabela1[[#This Row],[4]])),LEN(Tabela1[[#This Row],[4]])-LEN(SUBSTITUTE(Tabela1[[#This Row],[4]],",",""))+1,1),"")</f>
        <v/>
      </c>
      <c r="AD513">
        <f>IF(Tabela1[[#This Row],[5]]&lt;&gt;"",IF(ISNUMBER(FIND(",",Tabela1[[#This Row],[5]])),LEN(Tabela1[[#This Row],[5]])-LEN(SUBSTITUTE(Tabela1[[#This Row],[5]],",",""))+1,1),"")</f>
        <v>1</v>
      </c>
      <c r="AE513" t="str">
        <f>IF(Tabela1[[#This Row],[6]]&lt;&gt;"",IF(ISNUMBER(FIND(",",Tabela1[[#This Row],[6]])),LEN(Tabela1[[#This Row],[6]])-LEN(SUBSTITUTE(Tabela1[[#This Row],[6]],",",""))+1,1),"")</f>
        <v/>
      </c>
      <c r="AF513" t="str">
        <f>IF(Tabela1[[#This Row],[7]]&lt;&gt;"",IF(ISNUMBER(FIND(",",Tabela1[[#This Row],[7]])),LEN(Tabela1[[#This Row],[7]])-LEN(SUBSTITUTE(Tabela1[[#This Row],[7]],",",""))+1,1),"")</f>
        <v/>
      </c>
      <c r="AG513" t="str">
        <f>IF(Tabela1[[#This Row],[8]]&lt;&gt;"",IF(ISNUMBER(FIND(",",Tabela1[[#This Row],[8]])),LEN(Tabela1[[#This Row],[8]])-LEN(SUBSTITUTE(Tabela1[[#This Row],[8]],",",""))+1,1),"")</f>
        <v/>
      </c>
      <c r="AH513" t="str">
        <f>IF(Tabela1[[#This Row],[9]]&lt;&gt;"",IF(ISNUMBER(FIND(",",Tabela1[[#This Row],[9]])),LEN(Tabela1[[#This Row],[9]])-LEN(SUBSTITUTE(Tabela1[[#This Row],[9]],",",""))+1,1),"")</f>
        <v/>
      </c>
      <c r="AI513" t="str">
        <f>IF(Tabela1[[#This Row],[10]]&lt;&gt;"",IF(ISNUMBER(FIND(",",Tabela1[[#This Row],[10]])),LEN(Tabela1[[#This Row],[10]])-LEN(SUBSTITUTE(Tabela1[[#This Row],[10]],",",""))+1,1),"")</f>
        <v/>
      </c>
      <c r="AJ513" t="str">
        <f>IF(Tabela1[[#This Row],[11]]&lt;&gt;"",IF(ISNUMBER(FIND(",",Tabela1[[#This Row],[11]])),LEN(Tabela1[[#This Row],[11]])-LEN(SUBSTITUTE(Tabela1[[#This Row],[11]],",",""))+1,1),"")</f>
        <v/>
      </c>
      <c r="AK513" t="str">
        <f>IF(Tabela1[[#This Row],[12]]&lt;&gt;"",IF(ISNUMBER(FIND(",",Tabela1[[#This Row],[12]])),LEN(Tabela1[[#This Row],[12]])-LEN(SUBSTITUTE(Tabela1[[#This Row],[12]],",",""))+1,1),"")</f>
        <v/>
      </c>
      <c r="AL513" t="str">
        <f>IF(Tabela1[[#This Row],[13]]&lt;&gt;"",IF(ISNUMBER(FIND(",",Tabela1[[#This Row],[13]])),LEN(Tabela1[[#This Row],[13]])-LEN(SUBSTITUTE(Tabela1[[#This Row],[13]],",",""))+1,1),"")</f>
        <v/>
      </c>
      <c r="AM513" t="str">
        <f>IF(Tabela1[[#This Row],[14]]&lt;&gt;"",IF(ISNUMBER(FIND(",",Tabela1[[#This Row],[14]])),LEN(Tabela1[[#This Row],[14]])-LEN(SUBSTITUTE(Tabela1[[#This Row],[14]],",",""))+1,1),"")</f>
        <v/>
      </c>
      <c r="AN513" t="str">
        <f>IF(Tabela1[[#This Row],[15]]&lt;&gt;"",IF(ISNUMBER(FIND(",",Tabela1[[#This Row],[15]])),LEN(Tabela1[[#This Row],[15]])-LEN(SUBSTITUTE(Tabela1[[#This Row],[15]],",",""))+1,1),"")</f>
        <v/>
      </c>
      <c r="AO513" t="str">
        <f>IF(Tabela1[[#This Row],[16]]&lt;&gt;"",IF(ISNUMBER(FIND(",",Tabela1[[#This Row],[16]])),LEN(Tabela1[[#This Row],[16]])-LEN(SUBSTITUTE(Tabela1[[#This Row],[16]],",",""))+1,1),"")</f>
        <v/>
      </c>
      <c r="AP513" t="str">
        <f>IF(Tabela1[[#This Row],[17]]&lt;&gt;"",IF(ISNUMBER(FIND(",",Tabela1[[#This Row],[17]])),LEN(Tabela1[[#This Row],[17]])-LEN(SUBSTITUTE(Tabela1[[#This Row],[17]],",",""))+1,1),"")</f>
        <v/>
      </c>
      <c r="AQ513" t="str">
        <f>IF(Tabela1[[#This Row],[18]]&lt;&gt;"",IF(ISNUMBER(FIND(",",Tabela1[[#This Row],[18]])),LEN(Tabela1[[#This Row],[18]])-LEN(SUBSTITUTE(Tabela1[[#This Row],[18]],",",""))+1,1),"")</f>
        <v/>
      </c>
      <c r="AR513" s="13" t="str">
        <f>IF(Tabela1[[#This Row],[19_LENGTH]]&lt;&gt;"",IF(ISNUMBER(FIND(",",Tabela1[[#This Row],[19_LENGTH]])),LEN(Tabela1[[#This Row],[19_LENGTH]])-LEN(SUBSTITUTE(Tabela1[[#This Row],[19_LENGTH]],",",""))+1,1),"")</f>
        <v/>
      </c>
      <c r="AS513" s="21">
        <f>SUM(Tabela1[[#This Row],[1_]:[19_]])</f>
        <v>1</v>
      </c>
    </row>
    <row r="514" spans="1:45" x14ac:dyDescent="0.25">
      <c r="A514" s="27" t="s">
        <v>1328</v>
      </c>
      <c r="B514" s="19" t="s">
        <v>866</v>
      </c>
      <c r="C514" s="19">
        <v>102</v>
      </c>
      <c r="D514" s="19" t="s">
        <v>1314</v>
      </c>
      <c r="E514" s="20">
        <v>43538</v>
      </c>
      <c r="F514" s="19"/>
      <c r="G514" s="19"/>
      <c r="H514" s="19"/>
      <c r="I514" s="19">
        <v>19</v>
      </c>
      <c r="J514" s="19"/>
      <c r="K514" s="19">
        <v>18</v>
      </c>
      <c r="L514" s="19"/>
      <c r="M514" s="19"/>
      <c r="N514" s="19"/>
      <c r="O514" s="19"/>
      <c r="P514" s="19"/>
      <c r="Q514" s="19"/>
      <c r="R514" s="19"/>
      <c r="S514" s="19"/>
      <c r="T514" s="19"/>
      <c r="U514" s="19"/>
      <c r="V514" s="19"/>
      <c r="W514" s="19"/>
      <c r="X514" s="19"/>
      <c r="Y514" s="19"/>
      <c r="Z514" t="str">
        <f>IF(Tabela1[[#This Row],[1]]&lt;&gt;"",IF(ISNUMBER(FIND(",",Tabela1[[#This Row],[1]])),LEN(Tabela1[[#This Row],[1]])-LEN(SUBSTITUTE(Tabela1[[#This Row],[1]],",",""))+1,1),"")</f>
        <v/>
      </c>
      <c r="AA514" t="str">
        <f>IF(Tabela1[[#This Row],[2]]&lt;&gt;"",IF(ISNUMBER(FIND(",",Tabela1[[#This Row],[2]])),LEN(Tabela1[[#This Row],[2]])-LEN(SUBSTITUTE(Tabela1[[#This Row],[2]],",",""))+1,1),"")</f>
        <v/>
      </c>
      <c r="AB514" t="str">
        <f>IF(Tabela1[[#This Row],[3]]&lt;&gt;"",IF(ISNUMBER(FIND(",",Tabela1[[#This Row],[3]])),LEN(Tabela1[[#This Row],[3]])-LEN(SUBSTITUTE(Tabela1[[#This Row],[3]],",",""))+1,1),"")</f>
        <v/>
      </c>
      <c r="AC514">
        <f>IF(Tabela1[[#This Row],[4]]&lt;&gt;"",IF(ISNUMBER(FIND(",",Tabela1[[#This Row],[4]])),LEN(Tabela1[[#This Row],[4]])-LEN(SUBSTITUTE(Tabela1[[#This Row],[4]],",",""))+1,1),"")</f>
        <v>1</v>
      </c>
      <c r="AD514" t="str">
        <f>IF(Tabela1[[#This Row],[5]]&lt;&gt;"",IF(ISNUMBER(FIND(",",Tabela1[[#This Row],[5]])),LEN(Tabela1[[#This Row],[5]])-LEN(SUBSTITUTE(Tabela1[[#This Row],[5]],",",""))+1,1),"")</f>
        <v/>
      </c>
      <c r="AE514">
        <f>IF(Tabela1[[#This Row],[6]]&lt;&gt;"",IF(ISNUMBER(FIND(",",Tabela1[[#This Row],[6]])),LEN(Tabela1[[#This Row],[6]])-LEN(SUBSTITUTE(Tabela1[[#This Row],[6]],",",""))+1,1),"")</f>
        <v>1</v>
      </c>
      <c r="AF514" t="str">
        <f>IF(Tabela1[[#This Row],[7]]&lt;&gt;"",IF(ISNUMBER(FIND(",",Tabela1[[#This Row],[7]])),LEN(Tabela1[[#This Row],[7]])-LEN(SUBSTITUTE(Tabela1[[#This Row],[7]],",",""))+1,1),"")</f>
        <v/>
      </c>
      <c r="AG514" t="str">
        <f>IF(Tabela1[[#This Row],[8]]&lt;&gt;"",IF(ISNUMBER(FIND(",",Tabela1[[#This Row],[8]])),LEN(Tabela1[[#This Row],[8]])-LEN(SUBSTITUTE(Tabela1[[#This Row],[8]],",",""))+1,1),"")</f>
        <v/>
      </c>
      <c r="AH514" t="str">
        <f>IF(Tabela1[[#This Row],[9]]&lt;&gt;"",IF(ISNUMBER(FIND(",",Tabela1[[#This Row],[9]])),LEN(Tabela1[[#This Row],[9]])-LEN(SUBSTITUTE(Tabela1[[#This Row],[9]],",",""))+1,1),"")</f>
        <v/>
      </c>
      <c r="AI514" t="str">
        <f>IF(Tabela1[[#This Row],[10]]&lt;&gt;"",IF(ISNUMBER(FIND(",",Tabela1[[#This Row],[10]])),LEN(Tabela1[[#This Row],[10]])-LEN(SUBSTITUTE(Tabela1[[#This Row],[10]],",",""))+1,1),"")</f>
        <v/>
      </c>
      <c r="AJ514" t="str">
        <f>IF(Tabela1[[#This Row],[11]]&lt;&gt;"",IF(ISNUMBER(FIND(",",Tabela1[[#This Row],[11]])),LEN(Tabela1[[#This Row],[11]])-LEN(SUBSTITUTE(Tabela1[[#This Row],[11]],",",""))+1,1),"")</f>
        <v/>
      </c>
      <c r="AK514" t="str">
        <f>IF(Tabela1[[#This Row],[12]]&lt;&gt;"",IF(ISNUMBER(FIND(",",Tabela1[[#This Row],[12]])),LEN(Tabela1[[#This Row],[12]])-LEN(SUBSTITUTE(Tabela1[[#This Row],[12]],",",""))+1,1),"")</f>
        <v/>
      </c>
      <c r="AL514" t="str">
        <f>IF(Tabela1[[#This Row],[13]]&lt;&gt;"",IF(ISNUMBER(FIND(",",Tabela1[[#This Row],[13]])),LEN(Tabela1[[#This Row],[13]])-LEN(SUBSTITUTE(Tabela1[[#This Row],[13]],",",""))+1,1),"")</f>
        <v/>
      </c>
      <c r="AM514" t="str">
        <f>IF(Tabela1[[#This Row],[14]]&lt;&gt;"",IF(ISNUMBER(FIND(",",Tabela1[[#This Row],[14]])),LEN(Tabela1[[#This Row],[14]])-LEN(SUBSTITUTE(Tabela1[[#This Row],[14]],",",""))+1,1),"")</f>
        <v/>
      </c>
      <c r="AN514" t="str">
        <f>IF(Tabela1[[#This Row],[15]]&lt;&gt;"",IF(ISNUMBER(FIND(",",Tabela1[[#This Row],[15]])),LEN(Tabela1[[#This Row],[15]])-LEN(SUBSTITUTE(Tabela1[[#This Row],[15]],",",""))+1,1),"")</f>
        <v/>
      </c>
      <c r="AO514" t="str">
        <f>IF(Tabela1[[#This Row],[16]]&lt;&gt;"",IF(ISNUMBER(FIND(",",Tabela1[[#This Row],[16]])),LEN(Tabela1[[#This Row],[16]])-LEN(SUBSTITUTE(Tabela1[[#This Row],[16]],",",""))+1,1),"")</f>
        <v/>
      </c>
      <c r="AP514" t="str">
        <f>IF(Tabela1[[#This Row],[17]]&lt;&gt;"",IF(ISNUMBER(FIND(",",Tabela1[[#This Row],[17]])),LEN(Tabela1[[#This Row],[17]])-LEN(SUBSTITUTE(Tabela1[[#This Row],[17]],",",""))+1,1),"")</f>
        <v/>
      </c>
      <c r="AQ514" t="str">
        <f>IF(Tabela1[[#This Row],[18]]&lt;&gt;"",IF(ISNUMBER(FIND(",",Tabela1[[#This Row],[18]])),LEN(Tabela1[[#This Row],[18]])-LEN(SUBSTITUTE(Tabela1[[#This Row],[18]],",",""))+1,1),"")</f>
        <v/>
      </c>
      <c r="AR514" s="13" t="str">
        <f>IF(Tabela1[[#This Row],[19_LENGTH]]&lt;&gt;"",IF(ISNUMBER(FIND(",",Tabela1[[#This Row],[19_LENGTH]])),LEN(Tabela1[[#This Row],[19_LENGTH]])-LEN(SUBSTITUTE(Tabela1[[#This Row],[19_LENGTH]],",",""))+1,1),"")</f>
        <v/>
      </c>
      <c r="AS514" s="21">
        <f>SUM(Tabela1[[#This Row],[1_]:[19_]])</f>
        <v>2</v>
      </c>
    </row>
    <row r="515" spans="1:45" x14ac:dyDescent="0.25">
      <c r="A515" s="27" t="s">
        <v>1325</v>
      </c>
      <c r="B515" s="19" t="s">
        <v>572</v>
      </c>
      <c r="C515" s="19">
        <v>202</v>
      </c>
      <c r="D515" s="19" t="s">
        <v>1315</v>
      </c>
      <c r="E515" s="20">
        <v>43538</v>
      </c>
      <c r="F515" s="19"/>
      <c r="G515" s="19"/>
      <c r="H515" s="19"/>
      <c r="I515" s="19"/>
      <c r="J515" s="19"/>
      <c r="K515" s="19"/>
      <c r="L515" s="19"/>
      <c r="M515" s="19"/>
      <c r="N515" s="19"/>
      <c r="O515" s="19"/>
      <c r="P515" s="19"/>
      <c r="Q515" s="19"/>
      <c r="R515" s="19"/>
      <c r="S515" s="19"/>
      <c r="T515" s="19"/>
      <c r="U515" s="19"/>
      <c r="V515" s="19">
        <v>11</v>
      </c>
      <c r="W515" s="19"/>
      <c r="X515" s="19"/>
      <c r="Y515" s="19"/>
      <c r="Z515" t="str">
        <f>IF(Tabela1[[#This Row],[1]]&lt;&gt;"",IF(ISNUMBER(FIND(",",Tabela1[[#This Row],[1]])),LEN(Tabela1[[#This Row],[1]])-LEN(SUBSTITUTE(Tabela1[[#This Row],[1]],",",""))+1,1),"")</f>
        <v/>
      </c>
      <c r="AA515" t="str">
        <f>IF(Tabela1[[#This Row],[2]]&lt;&gt;"",IF(ISNUMBER(FIND(",",Tabela1[[#This Row],[2]])),LEN(Tabela1[[#This Row],[2]])-LEN(SUBSTITUTE(Tabela1[[#This Row],[2]],",",""))+1,1),"")</f>
        <v/>
      </c>
      <c r="AB515" t="str">
        <f>IF(Tabela1[[#This Row],[3]]&lt;&gt;"",IF(ISNUMBER(FIND(",",Tabela1[[#This Row],[3]])),LEN(Tabela1[[#This Row],[3]])-LEN(SUBSTITUTE(Tabela1[[#This Row],[3]],",",""))+1,1),"")</f>
        <v/>
      </c>
      <c r="AC515" t="str">
        <f>IF(Tabela1[[#This Row],[4]]&lt;&gt;"",IF(ISNUMBER(FIND(",",Tabela1[[#This Row],[4]])),LEN(Tabela1[[#This Row],[4]])-LEN(SUBSTITUTE(Tabela1[[#This Row],[4]],",",""))+1,1),"")</f>
        <v/>
      </c>
      <c r="AD515" t="str">
        <f>IF(Tabela1[[#This Row],[5]]&lt;&gt;"",IF(ISNUMBER(FIND(",",Tabela1[[#This Row],[5]])),LEN(Tabela1[[#This Row],[5]])-LEN(SUBSTITUTE(Tabela1[[#This Row],[5]],",",""))+1,1),"")</f>
        <v/>
      </c>
      <c r="AE515" t="str">
        <f>IF(Tabela1[[#This Row],[6]]&lt;&gt;"",IF(ISNUMBER(FIND(",",Tabela1[[#This Row],[6]])),LEN(Tabela1[[#This Row],[6]])-LEN(SUBSTITUTE(Tabela1[[#This Row],[6]],",",""))+1,1),"")</f>
        <v/>
      </c>
      <c r="AF515" t="str">
        <f>IF(Tabela1[[#This Row],[7]]&lt;&gt;"",IF(ISNUMBER(FIND(",",Tabela1[[#This Row],[7]])),LEN(Tabela1[[#This Row],[7]])-LEN(SUBSTITUTE(Tabela1[[#This Row],[7]],",",""))+1,1),"")</f>
        <v/>
      </c>
      <c r="AG515" t="str">
        <f>IF(Tabela1[[#This Row],[8]]&lt;&gt;"",IF(ISNUMBER(FIND(",",Tabela1[[#This Row],[8]])),LEN(Tabela1[[#This Row],[8]])-LEN(SUBSTITUTE(Tabela1[[#This Row],[8]],",",""))+1,1),"")</f>
        <v/>
      </c>
      <c r="AH515" t="str">
        <f>IF(Tabela1[[#This Row],[9]]&lt;&gt;"",IF(ISNUMBER(FIND(",",Tabela1[[#This Row],[9]])),LEN(Tabela1[[#This Row],[9]])-LEN(SUBSTITUTE(Tabela1[[#This Row],[9]],",",""))+1,1),"")</f>
        <v/>
      </c>
      <c r="AI515" t="str">
        <f>IF(Tabela1[[#This Row],[10]]&lt;&gt;"",IF(ISNUMBER(FIND(",",Tabela1[[#This Row],[10]])),LEN(Tabela1[[#This Row],[10]])-LEN(SUBSTITUTE(Tabela1[[#This Row],[10]],",",""))+1,1),"")</f>
        <v/>
      </c>
      <c r="AJ515" t="str">
        <f>IF(Tabela1[[#This Row],[11]]&lt;&gt;"",IF(ISNUMBER(FIND(",",Tabela1[[#This Row],[11]])),LEN(Tabela1[[#This Row],[11]])-LEN(SUBSTITUTE(Tabela1[[#This Row],[11]],",",""))+1,1),"")</f>
        <v/>
      </c>
      <c r="AK515" t="str">
        <f>IF(Tabela1[[#This Row],[12]]&lt;&gt;"",IF(ISNUMBER(FIND(",",Tabela1[[#This Row],[12]])),LEN(Tabela1[[#This Row],[12]])-LEN(SUBSTITUTE(Tabela1[[#This Row],[12]],",",""))+1,1),"")</f>
        <v/>
      </c>
      <c r="AL515" t="str">
        <f>IF(Tabela1[[#This Row],[13]]&lt;&gt;"",IF(ISNUMBER(FIND(",",Tabela1[[#This Row],[13]])),LEN(Tabela1[[#This Row],[13]])-LEN(SUBSTITUTE(Tabela1[[#This Row],[13]],",",""))+1,1),"")</f>
        <v/>
      </c>
      <c r="AM515" t="str">
        <f>IF(Tabela1[[#This Row],[14]]&lt;&gt;"",IF(ISNUMBER(FIND(",",Tabela1[[#This Row],[14]])),LEN(Tabela1[[#This Row],[14]])-LEN(SUBSTITUTE(Tabela1[[#This Row],[14]],",",""))+1,1),"")</f>
        <v/>
      </c>
      <c r="AN515" t="str">
        <f>IF(Tabela1[[#This Row],[15]]&lt;&gt;"",IF(ISNUMBER(FIND(",",Tabela1[[#This Row],[15]])),LEN(Tabela1[[#This Row],[15]])-LEN(SUBSTITUTE(Tabela1[[#This Row],[15]],",",""))+1,1),"")</f>
        <v/>
      </c>
      <c r="AO515" t="str">
        <f>IF(Tabela1[[#This Row],[16]]&lt;&gt;"",IF(ISNUMBER(FIND(",",Tabela1[[#This Row],[16]])),LEN(Tabela1[[#This Row],[16]])-LEN(SUBSTITUTE(Tabela1[[#This Row],[16]],",",""))+1,1),"")</f>
        <v/>
      </c>
      <c r="AP515">
        <f>IF(Tabela1[[#This Row],[17]]&lt;&gt;"",IF(ISNUMBER(FIND(",",Tabela1[[#This Row],[17]])),LEN(Tabela1[[#This Row],[17]])-LEN(SUBSTITUTE(Tabela1[[#This Row],[17]],",",""))+1,1),"")</f>
        <v>1</v>
      </c>
      <c r="AQ515" t="str">
        <f>IF(Tabela1[[#This Row],[18]]&lt;&gt;"",IF(ISNUMBER(FIND(",",Tabela1[[#This Row],[18]])),LEN(Tabela1[[#This Row],[18]])-LEN(SUBSTITUTE(Tabela1[[#This Row],[18]],",",""))+1,1),"")</f>
        <v/>
      </c>
      <c r="AR515" s="13" t="str">
        <f>IF(Tabela1[[#This Row],[19_LENGTH]]&lt;&gt;"",IF(ISNUMBER(FIND(",",Tabela1[[#This Row],[19_LENGTH]])),LEN(Tabela1[[#This Row],[19_LENGTH]])-LEN(SUBSTITUTE(Tabela1[[#This Row],[19_LENGTH]],",",""))+1,1),"")</f>
        <v/>
      </c>
      <c r="AS515" s="21">
        <f>SUM(Tabela1[[#This Row],[1_]:[19_]])</f>
        <v>1</v>
      </c>
    </row>
    <row r="516" spans="1:45" x14ac:dyDescent="0.25">
      <c r="A516" s="27" t="s">
        <v>1325</v>
      </c>
      <c r="B516" s="19" t="s">
        <v>573</v>
      </c>
      <c r="C516" s="19">
        <v>202</v>
      </c>
      <c r="D516" s="19" t="s">
        <v>1315</v>
      </c>
      <c r="E516" s="20">
        <v>43538</v>
      </c>
      <c r="F516" s="19"/>
      <c r="G516" s="19"/>
      <c r="H516" s="19" t="s">
        <v>203</v>
      </c>
      <c r="I516" s="19" t="s">
        <v>201</v>
      </c>
      <c r="J516" s="19"/>
      <c r="K516" s="19"/>
      <c r="L516" s="19"/>
      <c r="M516" s="19"/>
      <c r="N516" s="19"/>
      <c r="O516" s="19"/>
      <c r="P516" s="19"/>
      <c r="Q516" s="19"/>
      <c r="R516" s="19"/>
      <c r="S516" s="19"/>
      <c r="T516" s="19"/>
      <c r="U516" s="19" t="s">
        <v>202</v>
      </c>
      <c r="V516" s="19"/>
      <c r="W516" s="19"/>
      <c r="X516" s="19"/>
      <c r="Y516" s="19"/>
      <c r="Z516" t="str">
        <f>IF(Tabela1[[#This Row],[1]]&lt;&gt;"",IF(ISNUMBER(FIND(",",Tabela1[[#This Row],[1]])),LEN(Tabela1[[#This Row],[1]])-LEN(SUBSTITUTE(Tabela1[[#This Row],[1]],",",""))+1,1),"")</f>
        <v/>
      </c>
      <c r="AA516" t="str">
        <f>IF(Tabela1[[#This Row],[2]]&lt;&gt;"",IF(ISNUMBER(FIND(",",Tabela1[[#This Row],[2]])),LEN(Tabela1[[#This Row],[2]])-LEN(SUBSTITUTE(Tabela1[[#This Row],[2]],",",""))+1,1),"")</f>
        <v/>
      </c>
      <c r="AB516">
        <f>IF(Tabela1[[#This Row],[3]]&lt;&gt;"",IF(ISNUMBER(FIND(",",Tabela1[[#This Row],[3]])),LEN(Tabela1[[#This Row],[3]])-LEN(SUBSTITUTE(Tabela1[[#This Row],[3]],",",""))+1,1),"")</f>
        <v>2</v>
      </c>
      <c r="AC516">
        <f>IF(Tabela1[[#This Row],[4]]&lt;&gt;"",IF(ISNUMBER(FIND(",",Tabela1[[#This Row],[4]])),LEN(Tabela1[[#This Row],[4]])-LEN(SUBSTITUTE(Tabela1[[#This Row],[4]],",",""))+1,1),"")</f>
        <v>2</v>
      </c>
      <c r="AD516" t="str">
        <f>IF(Tabela1[[#This Row],[5]]&lt;&gt;"",IF(ISNUMBER(FIND(",",Tabela1[[#This Row],[5]])),LEN(Tabela1[[#This Row],[5]])-LEN(SUBSTITUTE(Tabela1[[#This Row],[5]],",",""))+1,1),"")</f>
        <v/>
      </c>
      <c r="AE516" t="str">
        <f>IF(Tabela1[[#This Row],[6]]&lt;&gt;"",IF(ISNUMBER(FIND(",",Tabela1[[#This Row],[6]])),LEN(Tabela1[[#This Row],[6]])-LEN(SUBSTITUTE(Tabela1[[#This Row],[6]],",",""))+1,1),"")</f>
        <v/>
      </c>
      <c r="AF516" t="str">
        <f>IF(Tabela1[[#This Row],[7]]&lt;&gt;"",IF(ISNUMBER(FIND(",",Tabela1[[#This Row],[7]])),LEN(Tabela1[[#This Row],[7]])-LEN(SUBSTITUTE(Tabela1[[#This Row],[7]],",",""))+1,1),"")</f>
        <v/>
      </c>
      <c r="AG516" t="str">
        <f>IF(Tabela1[[#This Row],[8]]&lt;&gt;"",IF(ISNUMBER(FIND(",",Tabela1[[#This Row],[8]])),LEN(Tabela1[[#This Row],[8]])-LEN(SUBSTITUTE(Tabela1[[#This Row],[8]],",",""))+1,1),"")</f>
        <v/>
      </c>
      <c r="AH516" t="str">
        <f>IF(Tabela1[[#This Row],[9]]&lt;&gt;"",IF(ISNUMBER(FIND(",",Tabela1[[#This Row],[9]])),LEN(Tabela1[[#This Row],[9]])-LEN(SUBSTITUTE(Tabela1[[#This Row],[9]],",",""))+1,1),"")</f>
        <v/>
      </c>
      <c r="AI516" t="str">
        <f>IF(Tabela1[[#This Row],[10]]&lt;&gt;"",IF(ISNUMBER(FIND(",",Tabela1[[#This Row],[10]])),LEN(Tabela1[[#This Row],[10]])-LEN(SUBSTITUTE(Tabela1[[#This Row],[10]],",",""))+1,1),"")</f>
        <v/>
      </c>
      <c r="AJ516" t="str">
        <f>IF(Tabela1[[#This Row],[11]]&lt;&gt;"",IF(ISNUMBER(FIND(",",Tabela1[[#This Row],[11]])),LEN(Tabela1[[#This Row],[11]])-LEN(SUBSTITUTE(Tabela1[[#This Row],[11]],",",""))+1,1),"")</f>
        <v/>
      </c>
      <c r="AK516" t="str">
        <f>IF(Tabela1[[#This Row],[12]]&lt;&gt;"",IF(ISNUMBER(FIND(",",Tabela1[[#This Row],[12]])),LEN(Tabela1[[#This Row],[12]])-LEN(SUBSTITUTE(Tabela1[[#This Row],[12]],",",""))+1,1),"")</f>
        <v/>
      </c>
      <c r="AL516" t="str">
        <f>IF(Tabela1[[#This Row],[13]]&lt;&gt;"",IF(ISNUMBER(FIND(",",Tabela1[[#This Row],[13]])),LEN(Tabela1[[#This Row],[13]])-LEN(SUBSTITUTE(Tabela1[[#This Row],[13]],",",""))+1,1),"")</f>
        <v/>
      </c>
      <c r="AM516" t="str">
        <f>IF(Tabela1[[#This Row],[14]]&lt;&gt;"",IF(ISNUMBER(FIND(",",Tabela1[[#This Row],[14]])),LEN(Tabela1[[#This Row],[14]])-LEN(SUBSTITUTE(Tabela1[[#This Row],[14]],",",""))+1,1),"")</f>
        <v/>
      </c>
      <c r="AN516" t="str">
        <f>IF(Tabela1[[#This Row],[15]]&lt;&gt;"",IF(ISNUMBER(FIND(",",Tabela1[[#This Row],[15]])),LEN(Tabela1[[#This Row],[15]])-LEN(SUBSTITUTE(Tabela1[[#This Row],[15]],",",""))+1,1),"")</f>
        <v/>
      </c>
      <c r="AO516">
        <f>IF(Tabela1[[#This Row],[16]]&lt;&gt;"",IF(ISNUMBER(FIND(",",Tabela1[[#This Row],[16]])),LEN(Tabela1[[#This Row],[16]])-LEN(SUBSTITUTE(Tabela1[[#This Row],[16]],",",""))+1,1),"")</f>
        <v>3</v>
      </c>
      <c r="AP516" t="str">
        <f>IF(Tabela1[[#This Row],[17]]&lt;&gt;"",IF(ISNUMBER(FIND(",",Tabela1[[#This Row],[17]])),LEN(Tabela1[[#This Row],[17]])-LEN(SUBSTITUTE(Tabela1[[#This Row],[17]],",",""))+1,1),"")</f>
        <v/>
      </c>
      <c r="AQ516" t="str">
        <f>IF(Tabela1[[#This Row],[18]]&lt;&gt;"",IF(ISNUMBER(FIND(",",Tabela1[[#This Row],[18]])),LEN(Tabela1[[#This Row],[18]])-LEN(SUBSTITUTE(Tabela1[[#This Row],[18]],",",""))+1,1),"")</f>
        <v/>
      </c>
      <c r="AR516" s="13" t="str">
        <f>IF(Tabela1[[#This Row],[19_LENGTH]]&lt;&gt;"",IF(ISNUMBER(FIND(",",Tabela1[[#This Row],[19_LENGTH]])),LEN(Tabela1[[#This Row],[19_LENGTH]])-LEN(SUBSTITUTE(Tabela1[[#This Row],[19_LENGTH]],",",""))+1,1),"")</f>
        <v/>
      </c>
      <c r="AS516" s="21">
        <f>SUM(Tabela1[[#This Row],[1_]:[19_]])</f>
        <v>7</v>
      </c>
    </row>
    <row r="517" spans="1:45" x14ac:dyDescent="0.25">
      <c r="A517" s="27" t="s">
        <v>1325</v>
      </c>
      <c r="B517" s="19" t="s">
        <v>574</v>
      </c>
      <c r="C517" s="19">
        <v>216</v>
      </c>
      <c r="D517" s="19" t="s">
        <v>1315</v>
      </c>
      <c r="E517" s="20">
        <v>43538</v>
      </c>
      <c r="F517" s="19"/>
      <c r="G517" s="19"/>
      <c r="H517" s="19"/>
      <c r="I517" s="19"/>
      <c r="J517" s="19"/>
      <c r="K517" s="19"/>
      <c r="L517" s="19"/>
      <c r="M517" s="19">
        <v>7</v>
      </c>
      <c r="N517" s="19"/>
      <c r="O517" s="19">
        <v>130</v>
      </c>
      <c r="P517" s="19"/>
      <c r="Q517" s="19"/>
      <c r="R517" s="19"/>
      <c r="S517" s="19"/>
      <c r="T517" s="19"/>
      <c r="U517" s="19"/>
      <c r="V517" s="19">
        <v>202</v>
      </c>
      <c r="W517" s="19"/>
      <c r="X517" s="19"/>
      <c r="Y517" s="19"/>
      <c r="Z517" t="str">
        <f>IF(Tabela1[[#This Row],[1]]&lt;&gt;"",IF(ISNUMBER(FIND(",",Tabela1[[#This Row],[1]])),LEN(Tabela1[[#This Row],[1]])-LEN(SUBSTITUTE(Tabela1[[#This Row],[1]],",",""))+1,1),"")</f>
        <v/>
      </c>
      <c r="AA517" t="str">
        <f>IF(Tabela1[[#This Row],[2]]&lt;&gt;"",IF(ISNUMBER(FIND(",",Tabela1[[#This Row],[2]])),LEN(Tabela1[[#This Row],[2]])-LEN(SUBSTITUTE(Tabela1[[#This Row],[2]],",",""))+1,1),"")</f>
        <v/>
      </c>
      <c r="AB517" t="str">
        <f>IF(Tabela1[[#This Row],[3]]&lt;&gt;"",IF(ISNUMBER(FIND(",",Tabela1[[#This Row],[3]])),LEN(Tabela1[[#This Row],[3]])-LEN(SUBSTITUTE(Tabela1[[#This Row],[3]],",",""))+1,1),"")</f>
        <v/>
      </c>
      <c r="AC517" t="str">
        <f>IF(Tabela1[[#This Row],[4]]&lt;&gt;"",IF(ISNUMBER(FIND(",",Tabela1[[#This Row],[4]])),LEN(Tabela1[[#This Row],[4]])-LEN(SUBSTITUTE(Tabela1[[#This Row],[4]],",",""))+1,1),"")</f>
        <v/>
      </c>
      <c r="AD517" t="str">
        <f>IF(Tabela1[[#This Row],[5]]&lt;&gt;"",IF(ISNUMBER(FIND(",",Tabela1[[#This Row],[5]])),LEN(Tabela1[[#This Row],[5]])-LEN(SUBSTITUTE(Tabela1[[#This Row],[5]],",",""))+1,1),"")</f>
        <v/>
      </c>
      <c r="AE517" t="str">
        <f>IF(Tabela1[[#This Row],[6]]&lt;&gt;"",IF(ISNUMBER(FIND(",",Tabela1[[#This Row],[6]])),LEN(Tabela1[[#This Row],[6]])-LEN(SUBSTITUTE(Tabela1[[#This Row],[6]],",",""))+1,1),"")</f>
        <v/>
      </c>
      <c r="AF517" t="str">
        <f>IF(Tabela1[[#This Row],[7]]&lt;&gt;"",IF(ISNUMBER(FIND(",",Tabela1[[#This Row],[7]])),LEN(Tabela1[[#This Row],[7]])-LEN(SUBSTITUTE(Tabela1[[#This Row],[7]],",",""))+1,1),"")</f>
        <v/>
      </c>
      <c r="AG517">
        <f>IF(Tabela1[[#This Row],[8]]&lt;&gt;"",IF(ISNUMBER(FIND(",",Tabela1[[#This Row],[8]])),LEN(Tabela1[[#This Row],[8]])-LEN(SUBSTITUTE(Tabela1[[#This Row],[8]],",",""))+1,1),"")</f>
        <v>1</v>
      </c>
      <c r="AH517" t="str">
        <f>IF(Tabela1[[#This Row],[9]]&lt;&gt;"",IF(ISNUMBER(FIND(",",Tabela1[[#This Row],[9]])),LEN(Tabela1[[#This Row],[9]])-LEN(SUBSTITUTE(Tabela1[[#This Row],[9]],",",""))+1,1),"")</f>
        <v/>
      </c>
      <c r="AI517">
        <f>IF(Tabela1[[#This Row],[10]]&lt;&gt;"",IF(ISNUMBER(FIND(",",Tabela1[[#This Row],[10]])),LEN(Tabela1[[#This Row],[10]])-LEN(SUBSTITUTE(Tabela1[[#This Row],[10]],",",""))+1,1),"")</f>
        <v>1</v>
      </c>
      <c r="AJ517" t="str">
        <f>IF(Tabela1[[#This Row],[11]]&lt;&gt;"",IF(ISNUMBER(FIND(",",Tabela1[[#This Row],[11]])),LEN(Tabela1[[#This Row],[11]])-LEN(SUBSTITUTE(Tabela1[[#This Row],[11]],",",""))+1,1),"")</f>
        <v/>
      </c>
      <c r="AK517" t="str">
        <f>IF(Tabela1[[#This Row],[12]]&lt;&gt;"",IF(ISNUMBER(FIND(",",Tabela1[[#This Row],[12]])),LEN(Tabela1[[#This Row],[12]])-LEN(SUBSTITUTE(Tabela1[[#This Row],[12]],",",""))+1,1),"")</f>
        <v/>
      </c>
      <c r="AL517" t="str">
        <f>IF(Tabela1[[#This Row],[13]]&lt;&gt;"",IF(ISNUMBER(FIND(",",Tabela1[[#This Row],[13]])),LEN(Tabela1[[#This Row],[13]])-LEN(SUBSTITUTE(Tabela1[[#This Row],[13]],",",""))+1,1),"")</f>
        <v/>
      </c>
      <c r="AM517" t="str">
        <f>IF(Tabela1[[#This Row],[14]]&lt;&gt;"",IF(ISNUMBER(FIND(",",Tabela1[[#This Row],[14]])),LEN(Tabela1[[#This Row],[14]])-LEN(SUBSTITUTE(Tabela1[[#This Row],[14]],",",""))+1,1),"")</f>
        <v/>
      </c>
      <c r="AN517" t="str">
        <f>IF(Tabela1[[#This Row],[15]]&lt;&gt;"",IF(ISNUMBER(FIND(",",Tabela1[[#This Row],[15]])),LEN(Tabela1[[#This Row],[15]])-LEN(SUBSTITUTE(Tabela1[[#This Row],[15]],",",""))+1,1),"")</f>
        <v/>
      </c>
      <c r="AO517" t="str">
        <f>IF(Tabela1[[#This Row],[16]]&lt;&gt;"",IF(ISNUMBER(FIND(",",Tabela1[[#This Row],[16]])),LEN(Tabela1[[#This Row],[16]])-LEN(SUBSTITUTE(Tabela1[[#This Row],[16]],",",""))+1,1),"")</f>
        <v/>
      </c>
      <c r="AP517">
        <f>IF(Tabela1[[#This Row],[17]]&lt;&gt;"",IF(ISNUMBER(FIND(",",Tabela1[[#This Row],[17]])),LEN(Tabela1[[#This Row],[17]])-LEN(SUBSTITUTE(Tabela1[[#This Row],[17]],",",""))+1,1),"")</f>
        <v>1</v>
      </c>
      <c r="AQ517" t="str">
        <f>IF(Tabela1[[#This Row],[18]]&lt;&gt;"",IF(ISNUMBER(FIND(",",Tabela1[[#This Row],[18]])),LEN(Tabela1[[#This Row],[18]])-LEN(SUBSTITUTE(Tabela1[[#This Row],[18]],",",""))+1,1),"")</f>
        <v/>
      </c>
      <c r="AR517" s="13" t="str">
        <f>IF(Tabela1[[#This Row],[19_LENGTH]]&lt;&gt;"",IF(ISNUMBER(FIND(",",Tabela1[[#This Row],[19_LENGTH]])),LEN(Tabela1[[#This Row],[19_LENGTH]])-LEN(SUBSTITUTE(Tabela1[[#This Row],[19_LENGTH]],",",""))+1,1),"")</f>
        <v/>
      </c>
      <c r="AS517" s="21">
        <f>SUM(Tabela1[[#This Row],[1_]:[19_]])</f>
        <v>3</v>
      </c>
    </row>
    <row r="518" spans="1:45" x14ac:dyDescent="0.25">
      <c r="A518" s="27" t="s">
        <v>1325</v>
      </c>
      <c r="B518" s="19" t="s">
        <v>867</v>
      </c>
      <c r="C518" s="19">
        <v>202</v>
      </c>
      <c r="D518" s="19" t="s">
        <v>1315</v>
      </c>
      <c r="E518" s="20">
        <v>43538</v>
      </c>
      <c r="F518" s="19"/>
      <c r="G518" s="19"/>
      <c r="H518" s="19"/>
      <c r="I518" s="19">
        <v>112</v>
      </c>
      <c r="J518" s="19">
        <v>137</v>
      </c>
      <c r="K518" s="19"/>
      <c r="L518" s="19"/>
      <c r="M518" s="19"/>
      <c r="N518" s="19"/>
      <c r="O518" s="19"/>
      <c r="P518" s="19"/>
      <c r="Q518" s="19"/>
      <c r="R518" s="19"/>
      <c r="S518" s="19"/>
      <c r="T518" s="19"/>
      <c r="U518" s="19"/>
      <c r="V518" s="19"/>
      <c r="W518" s="19"/>
      <c r="X518" s="19"/>
      <c r="Y518" s="19"/>
      <c r="Z518" t="str">
        <f>IF(Tabela1[[#This Row],[1]]&lt;&gt;"",IF(ISNUMBER(FIND(",",Tabela1[[#This Row],[1]])),LEN(Tabela1[[#This Row],[1]])-LEN(SUBSTITUTE(Tabela1[[#This Row],[1]],",",""))+1,1),"")</f>
        <v/>
      </c>
      <c r="AA518" t="str">
        <f>IF(Tabela1[[#This Row],[2]]&lt;&gt;"",IF(ISNUMBER(FIND(",",Tabela1[[#This Row],[2]])),LEN(Tabela1[[#This Row],[2]])-LEN(SUBSTITUTE(Tabela1[[#This Row],[2]],",",""))+1,1),"")</f>
        <v/>
      </c>
      <c r="AB518" t="str">
        <f>IF(Tabela1[[#This Row],[3]]&lt;&gt;"",IF(ISNUMBER(FIND(",",Tabela1[[#This Row],[3]])),LEN(Tabela1[[#This Row],[3]])-LEN(SUBSTITUTE(Tabela1[[#This Row],[3]],",",""))+1,1),"")</f>
        <v/>
      </c>
      <c r="AC518">
        <f>IF(Tabela1[[#This Row],[4]]&lt;&gt;"",IF(ISNUMBER(FIND(",",Tabela1[[#This Row],[4]])),LEN(Tabela1[[#This Row],[4]])-LEN(SUBSTITUTE(Tabela1[[#This Row],[4]],",",""))+1,1),"")</f>
        <v>1</v>
      </c>
      <c r="AD518">
        <f>IF(Tabela1[[#This Row],[5]]&lt;&gt;"",IF(ISNUMBER(FIND(",",Tabela1[[#This Row],[5]])),LEN(Tabela1[[#This Row],[5]])-LEN(SUBSTITUTE(Tabela1[[#This Row],[5]],",",""))+1,1),"")</f>
        <v>1</v>
      </c>
      <c r="AE518" t="str">
        <f>IF(Tabela1[[#This Row],[6]]&lt;&gt;"",IF(ISNUMBER(FIND(",",Tabela1[[#This Row],[6]])),LEN(Tabela1[[#This Row],[6]])-LEN(SUBSTITUTE(Tabela1[[#This Row],[6]],",",""))+1,1),"")</f>
        <v/>
      </c>
      <c r="AF518" t="str">
        <f>IF(Tabela1[[#This Row],[7]]&lt;&gt;"",IF(ISNUMBER(FIND(",",Tabela1[[#This Row],[7]])),LEN(Tabela1[[#This Row],[7]])-LEN(SUBSTITUTE(Tabela1[[#This Row],[7]],",",""))+1,1),"")</f>
        <v/>
      </c>
      <c r="AG518" t="str">
        <f>IF(Tabela1[[#This Row],[8]]&lt;&gt;"",IF(ISNUMBER(FIND(",",Tabela1[[#This Row],[8]])),LEN(Tabela1[[#This Row],[8]])-LEN(SUBSTITUTE(Tabela1[[#This Row],[8]],",",""))+1,1),"")</f>
        <v/>
      </c>
      <c r="AH518" t="str">
        <f>IF(Tabela1[[#This Row],[9]]&lt;&gt;"",IF(ISNUMBER(FIND(",",Tabela1[[#This Row],[9]])),LEN(Tabela1[[#This Row],[9]])-LEN(SUBSTITUTE(Tabela1[[#This Row],[9]],",",""))+1,1),"")</f>
        <v/>
      </c>
      <c r="AI518" t="str">
        <f>IF(Tabela1[[#This Row],[10]]&lt;&gt;"",IF(ISNUMBER(FIND(",",Tabela1[[#This Row],[10]])),LEN(Tabela1[[#This Row],[10]])-LEN(SUBSTITUTE(Tabela1[[#This Row],[10]],",",""))+1,1),"")</f>
        <v/>
      </c>
      <c r="AJ518" t="str">
        <f>IF(Tabela1[[#This Row],[11]]&lt;&gt;"",IF(ISNUMBER(FIND(",",Tabela1[[#This Row],[11]])),LEN(Tabela1[[#This Row],[11]])-LEN(SUBSTITUTE(Tabela1[[#This Row],[11]],",",""))+1,1),"")</f>
        <v/>
      </c>
      <c r="AK518" t="str">
        <f>IF(Tabela1[[#This Row],[12]]&lt;&gt;"",IF(ISNUMBER(FIND(",",Tabela1[[#This Row],[12]])),LEN(Tabela1[[#This Row],[12]])-LEN(SUBSTITUTE(Tabela1[[#This Row],[12]],",",""))+1,1),"")</f>
        <v/>
      </c>
      <c r="AL518" t="str">
        <f>IF(Tabela1[[#This Row],[13]]&lt;&gt;"",IF(ISNUMBER(FIND(",",Tabela1[[#This Row],[13]])),LEN(Tabela1[[#This Row],[13]])-LEN(SUBSTITUTE(Tabela1[[#This Row],[13]],",",""))+1,1),"")</f>
        <v/>
      </c>
      <c r="AM518" t="str">
        <f>IF(Tabela1[[#This Row],[14]]&lt;&gt;"",IF(ISNUMBER(FIND(",",Tabela1[[#This Row],[14]])),LEN(Tabela1[[#This Row],[14]])-LEN(SUBSTITUTE(Tabela1[[#This Row],[14]],",",""))+1,1),"")</f>
        <v/>
      </c>
      <c r="AN518" t="str">
        <f>IF(Tabela1[[#This Row],[15]]&lt;&gt;"",IF(ISNUMBER(FIND(",",Tabela1[[#This Row],[15]])),LEN(Tabela1[[#This Row],[15]])-LEN(SUBSTITUTE(Tabela1[[#This Row],[15]],",",""))+1,1),"")</f>
        <v/>
      </c>
      <c r="AO518" t="str">
        <f>IF(Tabela1[[#This Row],[16]]&lt;&gt;"",IF(ISNUMBER(FIND(",",Tabela1[[#This Row],[16]])),LEN(Tabela1[[#This Row],[16]])-LEN(SUBSTITUTE(Tabela1[[#This Row],[16]],",",""))+1,1),"")</f>
        <v/>
      </c>
      <c r="AP518" t="str">
        <f>IF(Tabela1[[#This Row],[17]]&lt;&gt;"",IF(ISNUMBER(FIND(",",Tabela1[[#This Row],[17]])),LEN(Tabela1[[#This Row],[17]])-LEN(SUBSTITUTE(Tabela1[[#This Row],[17]],",",""))+1,1),"")</f>
        <v/>
      </c>
      <c r="AQ518" t="str">
        <f>IF(Tabela1[[#This Row],[18]]&lt;&gt;"",IF(ISNUMBER(FIND(",",Tabela1[[#This Row],[18]])),LEN(Tabela1[[#This Row],[18]])-LEN(SUBSTITUTE(Tabela1[[#This Row],[18]],",",""))+1,1),"")</f>
        <v/>
      </c>
      <c r="AR518" s="13" t="str">
        <f>IF(Tabela1[[#This Row],[19_LENGTH]]&lt;&gt;"",IF(ISNUMBER(FIND(",",Tabela1[[#This Row],[19_LENGTH]])),LEN(Tabela1[[#This Row],[19_LENGTH]])-LEN(SUBSTITUTE(Tabela1[[#This Row],[19_LENGTH]],",",""))+1,1),"")</f>
        <v/>
      </c>
      <c r="AS518" s="21">
        <f>SUM(Tabela1[[#This Row],[1_]:[19_]])</f>
        <v>2</v>
      </c>
    </row>
    <row r="519" spans="1:45" x14ac:dyDescent="0.25">
      <c r="A519" s="27" t="s">
        <v>1325</v>
      </c>
      <c r="B519" s="19" t="s">
        <v>868</v>
      </c>
      <c r="C519" s="19">
        <v>202</v>
      </c>
      <c r="D519" s="19" t="s">
        <v>1315</v>
      </c>
      <c r="E519" s="20">
        <v>43538</v>
      </c>
      <c r="F519" s="19"/>
      <c r="G519" s="19"/>
      <c r="H519" s="19"/>
      <c r="I519" s="19">
        <v>46</v>
      </c>
      <c r="J519" s="19">
        <v>70</v>
      </c>
      <c r="K519" s="19"/>
      <c r="L519" s="19"/>
      <c r="M519" s="19"/>
      <c r="N519" s="19"/>
      <c r="O519" s="19"/>
      <c r="P519" s="19"/>
      <c r="Q519" s="19"/>
      <c r="R519" s="19"/>
      <c r="S519" s="19"/>
      <c r="T519" s="19"/>
      <c r="U519" s="19"/>
      <c r="V519" s="19"/>
      <c r="W519" s="19"/>
      <c r="X519" s="19"/>
      <c r="Y519" s="19"/>
      <c r="Z519" t="str">
        <f>IF(Tabela1[[#This Row],[1]]&lt;&gt;"",IF(ISNUMBER(FIND(",",Tabela1[[#This Row],[1]])),LEN(Tabela1[[#This Row],[1]])-LEN(SUBSTITUTE(Tabela1[[#This Row],[1]],",",""))+1,1),"")</f>
        <v/>
      </c>
      <c r="AA519" t="str">
        <f>IF(Tabela1[[#This Row],[2]]&lt;&gt;"",IF(ISNUMBER(FIND(",",Tabela1[[#This Row],[2]])),LEN(Tabela1[[#This Row],[2]])-LEN(SUBSTITUTE(Tabela1[[#This Row],[2]],",",""))+1,1),"")</f>
        <v/>
      </c>
      <c r="AB519" t="str">
        <f>IF(Tabela1[[#This Row],[3]]&lt;&gt;"",IF(ISNUMBER(FIND(",",Tabela1[[#This Row],[3]])),LEN(Tabela1[[#This Row],[3]])-LEN(SUBSTITUTE(Tabela1[[#This Row],[3]],",",""))+1,1),"")</f>
        <v/>
      </c>
      <c r="AC519">
        <f>IF(Tabela1[[#This Row],[4]]&lt;&gt;"",IF(ISNUMBER(FIND(",",Tabela1[[#This Row],[4]])),LEN(Tabela1[[#This Row],[4]])-LEN(SUBSTITUTE(Tabela1[[#This Row],[4]],",",""))+1,1),"")</f>
        <v>1</v>
      </c>
      <c r="AD519">
        <f>IF(Tabela1[[#This Row],[5]]&lt;&gt;"",IF(ISNUMBER(FIND(",",Tabela1[[#This Row],[5]])),LEN(Tabela1[[#This Row],[5]])-LEN(SUBSTITUTE(Tabela1[[#This Row],[5]],",",""))+1,1),"")</f>
        <v>1</v>
      </c>
      <c r="AE519" t="str">
        <f>IF(Tabela1[[#This Row],[6]]&lt;&gt;"",IF(ISNUMBER(FIND(",",Tabela1[[#This Row],[6]])),LEN(Tabela1[[#This Row],[6]])-LEN(SUBSTITUTE(Tabela1[[#This Row],[6]],",",""))+1,1),"")</f>
        <v/>
      </c>
      <c r="AF519" t="str">
        <f>IF(Tabela1[[#This Row],[7]]&lt;&gt;"",IF(ISNUMBER(FIND(",",Tabela1[[#This Row],[7]])),LEN(Tabela1[[#This Row],[7]])-LEN(SUBSTITUTE(Tabela1[[#This Row],[7]],",",""))+1,1),"")</f>
        <v/>
      </c>
      <c r="AG519" t="str">
        <f>IF(Tabela1[[#This Row],[8]]&lt;&gt;"",IF(ISNUMBER(FIND(",",Tabela1[[#This Row],[8]])),LEN(Tabela1[[#This Row],[8]])-LEN(SUBSTITUTE(Tabela1[[#This Row],[8]],",",""))+1,1),"")</f>
        <v/>
      </c>
      <c r="AH519" t="str">
        <f>IF(Tabela1[[#This Row],[9]]&lt;&gt;"",IF(ISNUMBER(FIND(",",Tabela1[[#This Row],[9]])),LEN(Tabela1[[#This Row],[9]])-LEN(SUBSTITUTE(Tabela1[[#This Row],[9]],",",""))+1,1),"")</f>
        <v/>
      </c>
      <c r="AI519" t="str">
        <f>IF(Tabela1[[#This Row],[10]]&lt;&gt;"",IF(ISNUMBER(FIND(",",Tabela1[[#This Row],[10]])),LEN(Tabela1[[#This Row],[10]])-LEN(SUBSTITUTE(Tabela1[[#This Row],[10]],",",""))+1,1),"")</f>
        <v/>
      </c>
      <c r="AJ519" t="str">
        <f>IF(Tabela1[[#This Row],[11]]&lt;&gt;"",IF(ISNUMBER(FIND(",",Tabela1[[#This Row],[11]])),LEN(Tabela1[[#This Row],[11]])-LEN(SUBSTITUTE(Tabela1[[#This Row],[11]],",",""))+1,1),"")</f>
        <v/>
      </c>
      <c r="AK519" t="str">
        <f>IF(Tabela1[[#This Row],[12]]&lt;&gt;"",IF(ISNUMBER(FIND(",",Tabela1[[#This Row],[12]])),LEN(Tabela1[[#This Row],[12]])-LEN(SUBSTITUTE(Tabela1[[#This Row],[12]],",",""))+1,1),"")</f>
        <v/>
      </c>
      <c r="AL519" t="str">
        <f>IF(Tabela1[[#This Row],[13]]&lt;&gt;"",IF(ISNUMBER(FIND(",",Tabela1[[#This Row],[13]])),LEN(Tabela1[[#This Row],[13]])-LEN(SUBSTITUTE(Tabela1[[#This Row],[13]],",",""))+1,1),"")</f>
        <v/>
      </c>
      <c r="AM519" t="str">
        <f>IF(Tabela1[[#This Row],[14]]&lt;&gt;"",IF(ISNUMBER(FIND(",",Tabela1[[#This Row],[14]])),LEN(Tabela1[[#This Row],[14]])-LEN(SUBSTITUTE(Tabela1[[#This Row],[14]],",",""))+1,1),"")</f>
        <v/>
      </c>
      <c r="AN519" t="str">
        <f>IF(Tabela1[[#This Row],[15]]&lt;&gt;"",IF(ISNUMBER(FIND(",",Tabela1[[#This Row],[15]])),LEN(Tabela1[[#This Row],[15]])-LEN(SUBSTITUTE(Tabela1[[#This Row],[15]],",",""))+1,1),"")</f>
        <v/>
      </c>
      <c r="AO519" t="str">
        <f>IF(Tabela1[[#This Row],[16]]&lt;&gt;"",IF(ISNUMBER(FIND(",",Tabela1[[#This Row],[16]])),LEN(Tabela1[[#This Row],[16]])-LEN(SUBSTITUTE(Tabela1[[#This Row],[16]],",",""))+1,1),"")</f>
        <v/>
      </c>
      <c r="AP519" t="str">
        <f>IF(Tabela1[[#This Row],[17]]&lt;&gt;"",IF(ISNUMBER(FIND(",",Tabela1[[#This Row],[17]])),LEN(Tabela1[[#This Row],[17]])-LEN(SUBSTITUTE(Tabela1[[#This Row],[17]],",",""))+1,1),"")</f>
        <v/>
      </c>
      <c r="AQ519" t="str">
        <f>IF(Tabela1[[#This Row],[18]]&lt;&gt;"",IF(ISNUMBER(FIND(",",Tabela1[[#This Row],[18]])),LEN(Tabela1[[#This Row],[18]])-LEN(SUBSTITUTE(Tabela1[[#This Row],[18]],",",""))+1,1),"")</f>
        <v/>
      </c>
      <c r="AR519" s="13" t="str">
        <f>IF(Tabela1[[#This Row],[19_LENGTH]]&lt;&gt;"",IF(ISNUMBER(FIND(",",Tabela1[[#This Row],[19_LENGTH]])),LEN(Tabela1[[#This Row],[19_LENGTH]])-LEN(SUBSTITUTE(Tabela1[[#This Row],[19_LENGTH]],",",""))+1,1),"")</f>
        <v/>
      </c>
      <c r="AS519" s="21">
        <f>SUM(Tabela1[[#This Row],[1_]:[19_]])</f>
        <v>2</v>
      </c>
    </row>
    <row r="520" spans="1:45" x14ac:dyDescent="0.25">
      <c r="A520" s="27" t="s">
        <v>1325</v>
      </c>
      <c r="B520" s="19" t="s">
        <v>869</v>
      </c>
      <c r="C520" s="19">
        <v>174</v>
      </c>
      <c r="D520" s="19" t="s">
        <v>1315</v>
      </c>
      <c r="E520" s="20">
        <v>43538</v>
      </c>
      <c r="F520" s="19"/>
      <c r="G520" s="19"/>
      <c r="H520" s="19"/>
      <c r="I520" s="19" t="s">
        <v>204</v>
      </c>
      <c r="J520" s="19">
        <v>123</v>
      </c>
      <c r="K520" s="19"/>
      <c r="L520" s="19"/>
      <c r="M520" s="19"/>
      <c r="N520" s="19"/>
      <c r="O520" s="19"/>
      <c r="P520" s="19"/>
      <c r="Q520" s="19"/>
      <c r="R520" s="19"/>
      <c r="S520" s="19"/>
      <c r="T520" s="19"/>
      <c r="U520" s="19"/>
      <c r="V520" s="19"/>
      <c r="W520" s="19"/>
      <c r="X520" s="19"/>
      <c r="Y520" s="19"/>
      <c r="Z520" t="str">
        <f>IF(Tabela1[[#This Row],[1]]&lt;&gt;"",IF(ISNUMBER(FIND(",",Tabela1[[#This Row],[1]])),LEN(Tabela1[[#This Row],[1]])-LEN(SUBSTITUTE(Tabela1[[#This Row],[1]],",",""))+1,1),"")</f>
        <v/>
      </c>
      <c r="AA520" t="str">
        <f>IF(Tabela1[[#This Row],[2]]&lt;&gt;"",IF(ISNUMBER(FIND(",",Tabela1[[#This Row],[2]])),LEN(Tabela1[[#This Row],[2]])-LEN(SUBSTITUTE(Tabela1[[#This Row],[2]],",",""))+1,1),"")</f>
        <v/>
      </c>
      <c r="AB520" t="str">
        <f>IF(Tabela1[[#This Row],[3]]&lt;&gt;"",IF(ISNUMBER(FIND(",",Tabela1[[#This Row],[3]])),LEN(Tabela1[[#This Row],[3]])-LEN(SUBSTITUTE(Tabela1[[#This Row],[3]],",",""))+1,1),"")</f>
        <v/>
      </c>
      <c r="AC520">
        <f>IF(Tabela1[[#This Row],[4]]&lt;&gt;"",IF(ISNUMBER(FIND(",",Tabela1[[#This Row],[4]])),LEN(Tabela1[[#This Row],[4]])-LEN(SUBSTITUTE(Tabela1[[#This Row],[4]],",",""))+1,1),"")</f>
        <v>3</v>
      </c>
      <c r="AD520">
        <f>IF(Tabela1[[#This Row],[5]]&lt;&gt;"",IF(ISNUMBER(FIND(",",Tabela1[[#This Row],[5]])),LEN(Tabela1[[#This Row],[5]])-LEN(SUBSTITUTE(Tabela1[[#This Row],[5]],",",""))+1,1),"")</f>
        <v>1</v>
      </c>
      <c r="AE520" t="str">
        <f>IF(Tabela1[[#This Row],[6]]&lt;&gt;"",IF(ISNUMBER(FIND(",",Tabela1[[#This Row],[6]])),LEN(Tabela1[[#This Row],[6]])-LEN(SUBSTITUTE(Tabela1[[#This Row],[6]],",",""))+1,1),"")</f>
        <v/>
      </c>
      <c r="AF520" t="str">
        <f>IF(Tabela1[[#This Row],[7]]&lt;&gt;"",IF(ISNUMBER(FIND(",",Tabela1[[#This Row],[7]])),LEN(Tabela1[[#This Row],[7]])-LEN(SUBSTITUTE(Tabela1[[#This Row],[7]],",",""))+1,1),"")</f>
        <v/>
      </c>
      <c r="AG520" t="str">
        <f>IF(Tabela1[[#This Row],[8]]&lt;&gt;"",IF(ISNUMBER(FIND(",",Tabela1[[#This Row],[8]])),LEN(Tabela1[[#This Row],[8]])-LEN(SUBSTITUTE(Tabela1[[#This Row],[8]],",",""))+1,1),"")</f>
        <v/>
      </c>
      <c r="AH520" t="str">
        <f>IF(Tabela1[[#This Row],[9]]&lt;&gt;"",IF(ISNUMBER(FIND(",",Tabela1[[#This Row],[9]])),LEN(Tabela1[[#This Row],[9]])-LEN(SUBSTITUTE(Tabela1[[#This Row],[9]],",",""))+1,1),"")</f>
        <v/>
      </c>
      <c r="AI520" t="str">
        <f>IF(Tabela1[[#This Row],[10]]&lt;&gt;"",IF(ISNUMBER(FIND(",",Tabela1[[#This Row],[10]])),LEN(Tabela1[[#This Row],[10]])-LEN(SUBSTITUTE(Tabela1[[#This Row],[10]],",",""))+1,1),"")</f>
        <v/>
      </c>
      <c r="AJ520" t="str">
        <f>IF(Tabela1[[#This Row],[11]]&lt;&gt;"",IF(ISNUMBER(FIND(",",Tabela1[[#This Row],[11]])),LEN(Tabela1[[#This Row],[11]])-LEN(SUBSTITUTE(Tabela1[[#This Row],[11]],",",""))+1,1),"")</f>
        <v/>
      </c>
      <c r="AK520" t="str">
        <f>IF(Tabela1[[#This Row],[12]]&lt;&gt;"",IF(ISNUMBER(FIND(",",Tabela1[[#This Row],[12]])),LEN(Tabela1[[#This Row],[12]])-LEN(SUBSTITUTE(Tabela1[[#This Row],[12]],",",""))+1,1),"")</f>
        <v/>
      </c>
      <c r="AL520" t="str">
        <f>IF(Tabela1[[#This Row],[13]]&lt;&gt;"",IF(ISNUMBER(FIND(",",Tabela1[[#This Row],[13]])),LEN(Tabela1[[#This Row],[13]])-LEN(SUBSTITUTE(Tabela1[[#This Row],[13]],",",""))+1,1),"")</f>
        <v/>
      </c>
      <c r="AM520" t="str">
        <f>IF(Tabela1[[#This Row],[14]]&lt;&gt;"",IF(ISNUMBER(FIND(",",Tabela1[[#This Row],[14]])),LEN(Tabela1[[#This Row],[14]])-LEN(SUBSTITUTE(Tabela1[[#This Row],[14]],",",""))+1,1),"")</f>
        <v/>
      </c>
      <c r="AN520" t="str">
        <f>IF(Tabela1[[#This Row],[15]]&lt;&gt;"",IF(ISNUMBER(FIND(",",Tabela1[[#This Row],[15]])),LEN(Tabela1[[#This Row],[15]])-LEN(SUBSTITUTE(Tabela1[[#This Row],[15]],",",""))+1,1),"")</f>
        <v/>
      </c>
      <c r="AO520" t="str">
        <f>IF(Tabela1[[#This Row],[16]]&lt;&gt;"",IF(ISNUMBER(FIND(",",Tabela1[[#This Row],[16]])),LEN(Tabela1[[#This Row],[16]])-LEN(SUBSTITUTE(Tabela1[[#This Row],[16]],",",""))+1,1),"")</f>
        <v/>
      </c>
      <c r="AP520" t="str">
        <f>IF(Tabela1[[#This Row],[17]]&lt;&gt;"",IF(ISNUMBER(FIND(",",Tabela1[[#This Row],[17]])),LEN(Tabela1[[#This Row],[17]])-LEN(SUBSTITUTE(Tabela1[[#This Row],[17]],",",""))+1,1),"")</f>
        <v/>
      </c>
      <c r="AQ520" t="str">
        <f>IF(Tabela1[[#This Row],[18]]&lt;&gt;"",IF(ISNUMBER(FIND(",",Tabela1[[#This Row],[18]])),LEN(Tabela1[[#This Row],[18]])-LEN(SUBSTITUTE(Tabela1[[#This Row],[18]],",",""))+1,1),"")</f>
        <v/>
      </c>
      <c r="AR520" s="13" t="str">
        <f>IF(Tabela1[[#This Row],[19_LENGTH]]&lt;&gt;"",IF(ISNUMBER(FIND(",",Tabela1[[#This Row],[19_LENGTH]])),LEN(Tabela1[[#This Row],[19_LENGTH]])-LEN(SUBSTITUTE(Tabela1[[#This Row],[19_LENGTH]],",",""))+1,1),"")</f>
        <v/>
      </c>
      <c r="AS520" s="21">
        <f>SUM(Tabela1[[#This Row],[1_]:[19_]])</f>
        <v>4</v>
      </c>
    </row>
    <row r="521" spans="1:45" x14ac:dyDescent="0.25">
      <c r="A521" s="27" t="s">
        <v>1325</v>
      </c>
      <c r="B521" s="19" t="s">
        <v>575</v>
      </c>
      <c r="C521" s="19">
        <v>216</v>
      </c>
      <c r="D521" s="19" t="s">
        <v>1315</v>
      </c>
      <c r="E521" s="20">
        <v>43538</v>
      </c>
      <c r="F521" s="19"/>
      <c r="G521" s="19">
        <v>163</v>
      </c>
      <c r="H521" s="19"/>
      <c r="I521" s="19">
        <v>189</v>
      </c>
      <c r="J521" s="19"/>
      <c r="K521" s="19"/>
      <c r="L521" s="19"/>
      <c r="M521" s="19"/>
      <c r="N521" s="19"/>
      <c r="O521" s="19"/>
      <c r="P521" s="19"/>
      <c r="Q521" s="19"/>
      <c r="R521" s="19"/>
      <c r="S521" s="19"/>
      <c r="T521" s="19"/>
      <c r="U521" s="19"/>
      <c r="V521" s="19"/>
      <c r="W521" s="19"/>
      <c r="X521" s="19"/>
      <c r="Y521" s="19"/>
      <c r="Z521" t="str">
        <f>IF(Tabela1[[#This Row],[1]]&lt;&gt;"",IF(ISNUMBER(FIND(",",Tabela1[[#This Row],[1]])),LEN(Tabela1[[#This Row],[1]])-LEN(SUBSTITUTE(Tabela1[[#This Row],[1]],",",""))+1,1),"")</f>
        <v/>
      </c>
      <c r="AA521">
        <f>IF(Tabela1[[#This Row],[2]]&lt;&gt;"",IF(ISNUMBER(FIND(",",Tabela1[[#This Row],[2]])),LEN(Tabela1[[#This Row],[2]])-LEN(SUBSTITUTE(Tabela1[[#This Row],[2]],",",""))+1,1),"")</f>
        <v>1</v>
      </c>
      <c r="AB521" t="str">
        <f>IF(Tabela1[[#This Row],[3]]&lt;&gt;"",IF(ISNUMBER(FIND(",",Tabela1[[#This Row],[3]])),LEN(Tabela1[[#This Row],[3]])-LEN(SUBSTITUTE(Tabela1[[#This Row],[3]],",",""))+1,1),"")</f>
        <v/>
      </c>
      <c r="AC521">
        <f>IF(Tabela1[[#This Row],[4]]&lt;&gt;"",IF(ISNUMBER(FIND(",",Tabela1[[#This Row],[4]])),LEN(Tabela1[[#This Row],[4]])-LEN(SUBSTITUTE(Tabela1[[#This Row],[4]],",",""))+1,1),"")</f>
        <v>1</v>
      </c>
      <c r="AD521" t="str">
        <f>IF(Tabela1[[#This Row],[5]]&lt;&gt;"",IF(ISNUMBER(FIND(",",Tabela1[[#This Row],[5]])),LEN(Tabela1[[#This Row],[5]])-LEN(SUBSTITUTE(Tabela1[[#This Row],[5]],",",""))+1,1),"")</f>
        <v/>
      </c>
      <c r="AE521" t="str">
        <f>IF(Tabela1[[#This Row],[6]]&lt;&gt;"",IF(ISNUMBER(FIND(",",Tabela1[[#This Row],[6]])),LEN(Tabela1[[#This Row],[6]])-LEN(SUBSTITUTE(Tabela1[[#This Row],[6]],",",""))+1,1),"")</f>
        <v/>
      </c>
      <c r="AF521" t="str">
        <f>IF(Tabela1[[#This Row],[7]]&lt;&gt;"",IF(ISNUMBER(FIND(",",Tabela1[[#This Row],[7]])),LEN(Tabela1[[#This Row],[7]])-LEN(SUBSTITUTE(Tabela1[[#This Row],[7]],",",""))+1,1),"")</f>
        <v/>
      </c>
      <c r="AG521" t="str">
        <f>IF(Tabela1[[#This Row],[8]]&lt;&gt;"",IF(ISNUMBER(FIND(",",Tabela1[[#This Row],[8]])),LEN(Tabela1[[#This Row],[8]])-LEN(SUBSTITUTE(Tabela1[[#This Row],[8]],",",""))+1,1),"")</f>
        <v/>
      </c>
      <c r="AH521" t="str">
        <f>IF(Tabela1[[#This Row],[9]]&lt;&gt;"",IF(ISNUMBER(FIND(",",Tabela1[[#This Row],[9]])),LEN(Tabela1[[#This Row],[9]])-LEN(SUBSTITUTE(Tabela1[[#This Row],[9]],",",""))+1,1),"")</f>
        <v/>
      </c>
      <c r="AI521" t="str">
        <f>IF(Tabela1[[#This Row],[10]]&lt;&gt;"",IF(ISNUMBER(FIND(",",Tabela1[[#This Row],[10]])),LEN(Tabela1[[#This Row],[10]])-LEN(SUBSTITUTE(Tabela1[[#This Row],[10]],",",""))+1,1),"")</f>
        <v/>
      </c>
      <c r="AJ521" t="str">
        <f>IF(Tabela1[[#This Row],[11]]&lt;&gt;"",IF(ISNUMBER(FIND(",",Tabela1[[#This Row],[11]])),LEN(Tabela1[[#This Row],[11]])-LEN(SUBSTITUTE(Tabela1[[#This Row],[11]],",",""))+1,1),"")</f>
        <v/>
      </c>
      <c r="AK521" t="str">
        <f>IF(Tabela1[[#This Row],[12]]&lt;&gt;"",IF(ISNUMBER(FIND(",",Tabela1[[#This Row],[12]])),LEN(Tabela1[[#This Row],[12]])-LEN(SUBSTITUTE(Tabela1[[#This Row],[12]],",",""))+1,1),"")</f>
        <v/>
      </c>
      <c r="AL521" t="str">
        <f>IF(Tabela1[[#This Row],[13]]&lt;&gt;"",IF(ISNUMBER(FIND(",",Tabela1[[#This Row],[13]])),LEN(Tabela1[[#This Row],[13]])-LEN(SUBSTITUTE(Tabela1[[#This Row],[13]],",",""))+1,1),"")</f>
        <v/>
      </c>
      <c r="AM521" t="str">
        <f>IF(Tabela1[[#This Row],[14]]&lt;&gt;"",IF(ISNUMBER(FIND(",",Tabela1[[#This Row],[14]])),LEN(Tabela1[[#This Row],[14]])-LEN(SUBSTITUTE(Tabela1[[#This Row],[14]],",",""))+1,1),"")</f>
        <v/>
      </c>
      <c r="AN521" t="str">
        <f>IF(Tabela1[[#This Row],[15]]&lt;&gt;"",IF(ISNUMBER(FIND(",",Tabela1[[#This Row],[15]])),LEN(Tabela1[[#This Row],[15]])-LEN(SUBSTITUTE(Tabela1[[#This Row],[15]],",",""))+1,1),"")</f>
        <v/>
      </c>
      <c r="AO521" t="str">
        <f>IF(Tabela1[[#This Row],[16]]&lt;&gt;"",IF(ISNUMBER(FIND(",",Tabela1[[#This Row],[16]])),LEN(Tabela1[[#This Row],[16]])-LEN(SUBSTITUTE(Tabela1[[#This Row],[16]],",",""))+1,1),"")</f>
        <v/>
      </c>
      <c r="AP521" t="str">
        <f>IF(Tabela1[[#This Row],[17]]&lt;&gt;"",IF(ISNUMBER(FIND(",",Tabela1[[#This Row],[17]])),LEN(Tabela1[[#This Row],[17]])-LEN(SUBSTITUTE(Tabela1[[#This Row],[17]],",",""))+1,1),"")</f>
        <v/>
      </c>
      <c r="AQ521" t="str">
        <f>IF(Tabela1[[#This Row],[18]]&lt;&gt;"",IF(ISNUMBER(FIND(",",Tabela1[[#This Row],[18]])),LEN(Tabela1[[#This Row],[18]])-LEN(SUBSTITUTE(Tabela1[[#This Row],[18]],",",""))+1,1),"")</f>
        <v/>
      </c>
      <c r="AR521" s="13" t="str">
        <f>IF(Tabela1[[#This Row],[19_LENGTH]]&lt;&gt;"",IF(ISNUMBER(FIND(",",Tabela1[[#This Row],[19_LENGTH]])),LEN(Tabela1[[#This Row],[19_LENGTH]])-LEN(SUBSTITUTE(Tabela1[[#This Row],[19_LENGTH]],",",""))+1,1),"")</f>
        <v/>
      </c>
      <c r="AS521" s="21">
        <f>SUM(Tabela1[[#This Row],[1_]:[19_]])</f>
        <v>2</v>
      </c>
    </row>
    <row r="522" spans="1:45" x14ac:dyDescent="0.25">
      <c r="A522" s="27" t="s">
        <v>1325</v>
      </c>
      <c r="B522" s="19" t="s">
        <v>576</v>
      </c>
      <c r="C522" s="19">
        <v>202</v>
      </c>
      <c r="D522" s="19" t="s">
        <v>1315</v>
      </c>
      <c r="E522" s="20">
        <v>43538</v>
      </c>
      <c r="F522" s="19"/>
      <c r="G522" s="19"/>
      <c r="H522" s="19"/>
      <c r="I522" s="19" t="s">
        <v>205</v>
      </c>
      <c r="J522" s="19"/>
      <c r="K522" s="19"/>
      <c r="L522" s="19"/>
      <c r="M522" s="19"/>
      <c r="N522" s="19"/>
      <c r="O522" s="19"/>
      <c r="P522" s="19"/>
      <c r="Q522" s="19"/>
      <c r="R522" s="19"/>
      <c r="S522" s="19"/>
      <c r="T522" s="19"/>
      <c r="U522" s="19"/>
      <c r="V522" s="19"/>
      <c r="W522" s="19"/>
      <c r="X522" s="19"/>
      <c r="Y522" s="19"/>
      <c r="Z522" t="str">
        <f>IF(Tabela1[[#This Row],[1]]&lt;&gt;"",IF(ISNUMBER(FIND(",",Tabela1[[#This Row],[1]])),LEN(Tabela1[[#This Row],[1]])-LEN(SUBSTITUTE(Tabela1[[#This Row],[1]],",",""))+1,1),"")</f>
        <v/>
      </c>
      <c r="AA522" t="str">
        <f>IF(Tabela1[[#This Row],[2]]&lt;&gt;"",IF(ISNUMBER(FIND(",",Tabela1[[#This Row],[2]])),LEN(Tabela1[[#This Row],[2]])-LEN(SUBSTITUTE(Tabela1[[#This Row],[2]],",",""))+1,1),"")</f>
        <v/>
      </c>
      <c r="AB522" t="str">
        <f>IF(Tabela1[[#This Row],[3]]&lt;&gt;"",IF(ISNUMBER(FIND(",",Tabela1[[#This Row],[3]])),LEN(Tabela1[[#This Row],[3]])-LEN(SUBSTITUTE(Tabela1[[#This Row],[3]],",",""))+1,1),"")</f>
        <v/>
      </c>
      <c r="AC522">
        <f>IF(Tabela1[[#This Row],[4]]&lt;&gt;"",IF(ISNUMBER(FIND(",",Tabela1[[#This Row],[4]])),LEN(Tabela1[[#This Row],[4]])-LEN(SUBSTITUTE(Tabela1[[#This Row],[4]],",",""))+1,1),"")</f>
        <v>2</v>
      </c>
      <c r="AD522" t="str">
        <f>IF(Tabela1[[#This Row],[5]]&lt;&gt;"",IF(ISNUMBER(FIND(",",Tabela1[[#This Row],[5]])),LEN(Tabela1[[#This Row],[5]])-LEN(SUBSTITUTE(Tabela1[[#This Row],[5]],",",""))+1,1),"")</f>
        <v/>
      </c>
      <c r="AE522" t="str">
        <f>IF(Tabela1[[#This Row],[6]]&lt;&gt;"",IF(ISNUMBER(FIND(",",Tabela1[[#This Row],[6]])),LEN(Tabela1[[#This Row],[6]])-LEN(SUBSTITUTE(Tabela1[[#This Row],[6]],",",""))+1,1),"")</f>
        <v/>
      </c>
      <c r="AF522" t="str">
        <f>IF(Tabela1[[#This Row],[7]]&lt;&gt;"",IF(ISNUMBER(FIND(",",Tabela1[[#This Row],[7]])),LEN(Tabela1[[#This Row],[7]])-LEN(SUBSTITUTE(Tabela1[[#This Row],[7]],",",""))+1,1),"")</f>
        <v/>
      </c>
      <c r="AG522" t="str">
        <f>IF(Tabela1[[#This Row],[8]]&lt;&gt;"",IF(ISNUMBER(FIND(",",Tabela1[[#This Row],[8]])),LEN(Tabela1[[#This Row],[8]])-LEN(SUBSTITUTE(Tabela1[[#This Row],[8]],",",""))+1,1),"")</f>
        <v/>
      </c>
      <c r="AH522" t="str">
        <f>IF(Tabela1[[#This Row],[9]]&lt;&gt;"",IF(ISNUMBER(FIND(",",Tabela1[[#This Row],[9]])),LEN(Tabela1[[#This Row],[9]])-LEN(SUBSTITUTE(Tabela1[[#This Row],[9]],",",""))+1,1),"")</f>
        <v/>
      </c>
      <c r="AI522" t="str">
        <f>IF(Tabela1[[#This Row],[10]]&lt;&gt;"",IF(ISNUMBER(FIND(",",Tabela1[[#This Row],[10]])),LEN(Tabela1[[#This Row],[10]])-LEN(SUBSTITUTE(Tabela1[[#This Row],[10]],",",""))+1,1),"")</f>
        <v/>
      </c>
      <c r="AJ522" t="str">
        <f>IF(Tabela1[[#This Row],[11]]&lt;&gt;"",IF(ISNUMBER(FIND(",",Tabela1[[#This Row],[11]])),LEN(Tabela1[[#This Row],[11]])-LEN(SUBSTITUTE(Tabela1[[#This Row],[11]],",",""))+1,1),"")</f>
        <v/>
      </c>
      <c r="AK522" t="str">
        <f>IF(Tabela1[[#This Row],[12]]&lt;&gt;"",IF(ISNUMBER(FIND(",",Tabela1[[#This Row],[12]])),LEN(Tabela1[[#This Row],[12]])-LEN(SUBSTITUTE(Tabela1[[#This Row],[12]],",",""))+1,1),"")</f>
        <v/>
      </c>
      <c r="AL522" t="str">
        <f>IF(Tabela1[[#This Row],[13]]&lt;&gt;"",IF(ISNUMBER(FIND(",",Tabela1[[#This Row],[13]])),LEN(Tabela1[[#This Row],[13]])-LEN(SUBSTITUTE(Tabela1[[#This Row],[13]],",",""))+1,1),"")</f>
        <v/>
      </c>
      <c r="AM522" t="str">
        <f>IF(Tabela1[[#This Row],[14]]&lt;&gt;"",IF(ISNUMBER(FIND(",",Tabela1[[#This Row],[14]])),LEN(Tabela1[[#This Row],[14]])-LEN(SUBSTITUTE(Tabela1[[#This Row],[14]],",",""))+1,1),"")</f>
        <v/>
      </c>
      <c r="AN522" t="str">
        <f>IF(Tabela1[[#This Row],[15]]&lt;&gt;"",IF(ISNUMBER(FIND(",",Tabela1[[#This Row],[15]])),LEN(Tabela1[[#This Row],[15]])-LEN(SUBSTITUTE(Tabela1[[#This Row],[15]],",",""))+1,1),"")</f>
        <v/>
      </c>
      <c r="AO522" t="str">
        <f>IF(Tabela1[[#This Row],[16]]&lt;&gt;"",IF(ISNUMBER(FIND(",",Tabela1[[#This Row],[16]])),LEN(Tabela1[[#This Row],[16]])-LEN(SUBSTITUTE(Tabela1[[#This Row],[16]],",",""))+1,1),"")</f>
        <v/>
      </c>
      <c r="AP522" t="str">
        <f>IF(Tabela1[[#This Row],[17]]&lt;&gt;"",IF(ISNUMBER(FIND(",",Tabela1[[#This Row],[17]])),LEN(Tabela1[[#This Row],[17]])-LEN(SUBSTITUTE(Tabela1[[#This Row],[17]],",",""))+1,1),"")</f>
        <v/>
      </c>
      <c r="AQ522" t="str">
        <f>IF(Tabela1[[#This Row],[18]]&lt;&gt;"",IF(ISNUMBER(FIND(",",Tabela1[[#This Row],[18]])),LEN(Tabela1[[#This Row],[18]])-LEN(SUBSTITUTE(Tabela1[[#This Row],[18]],",",""))+1,1),"")</f>
        <v/>
      </c>
      <c r="AR522" s="13" t="str">
        <f>IF(Tabela1[[#This Row],[19_LENGTH]]&lt;&gt;"",IF(ISNUMBER(FIND(",",Tabela1[[#This Row],[19_LENGTH]])),LEN(Tabela1[[#This Row],[19_LENGTH]])-LEN(SUBSTITUTE(Tabela1[[#This Row],[19_LENGTH]],",",""))+1,1),"")</f>
        <v/>
      </c>
      <c r="AS522" s="21">
        <f>SUM(Tabela1[[#This Row],[1_]:[19_]])</f>
        <v>2</v>
      </c>
    </row>
    <row r="523" spans="1:45" x14ac:dyDescent="0.25">
      <c r="A523" s="27" t="s">
        <v>1325</v>
      </c>
      <c r="B523" s="19" t="s">
        <v>577</v>
      </c>
      <c r="C523" s="19">
        <v>202</v>
      </c>
      <c r="D523" s="19" t="s">
        <v>1315</v>
      </c>
      <c r="E523" s="20">
        <v>43538</v>
      </c>
      <c r="F523" s="19"/>
      <c r="G523" s="19"/>
      <c r="H523" s="19"/>
      <c r="I523" s="19"/>
      <c r="J523" s="19"/>
      <c r="K523" s="19"/>
      <c r="L523" s="19"/>
      <c r="M523" s="19" t="s">
        <v>206</v>
      </c>
      <c r="N523" s="19"/>
      <c r="O523" s="19"/>
      <c r="P523" s="19"/>
      <c r="Q523" s="19"/>
      <c r="R523" s="19"/>
      <c r="S523" s="19"/>
      <c r="T523" s="19"/>
      <c r="U523" s="19"/>
      <c r="V523" s="19"/>
      <c r="W523" s="19"/>
      <c r="X523" s="19"/>
      <c r="Y523" s="19"/>
      <c r="Z523" t="str">
        <f>IF(Tabela1[[#This Row],[1]]&lt;&gt;"",IF(ISNUMBER(FIND(",",Tabela1[[#This Row],[1]])),LEN(Tabela1[[#This Row],[1]])-LEN(SUBSTITUTE(Tabela1[[#This Row],[1]],",",""))+1,1),"")</f>
        <v/>
      </c>
      <c r="AA523" t="str">
        <f>IF(Tabela1[[#This Row],[2]]&lt;&gt;"",IF(ISNUMBER(FIND(",",Tabela1[[#This Row],[2]])),LEN(Tabela1[[#This Row],[2]])-LEN(SUBSTITUTE(Tabela1[[#This Row],[2]],",",""))+1,1),"")</f>
        <v/>
      </c>
      <c r="AB523" t="str">
        <f>IF(Tabela1[[#This Row],[3]]&lt;&gt;"",IF(ISNUMBER(FIND(",",Tabela1[[#This Row],[3]])),LEN(Tabela1[[#This Row],[3]])-LEN(SUBSTITUTE(Tabela1[[#This Row],[3]],",",""))+1,1),"")</f>
        <v/>
      </c>
      <c r="AC523" t="str">
        <f>IF(Tabela1[[#This Row],[4]]&lt;&gt;"",IF(ISNUMBER(FIND(",",Tabela1[[#This Row],[4]])),LEN(Tabela1[[#This Row],[4]])-LEN(SUBSTITUTE(Tabela1[[#This Row],[4]],",",""))+1,1),"")</f>
        <v/>
      </c>
      <c r="AD523" t="str">
        <f>IF(Tabela1[[#This Row],[5]]&lt;&gt;"",IF(ISNUMBER(FIND(",",Tabela1[[#This Row],[5]])),LEN(Tabela1[[#This Row],[5]])-LEN(SUBSTITUTE(Tabela1[[#This Row],[5]],",",""))+1,1),"")</f>
        <v/>
      </c>
      <c r="AE523" t="str">
        <f>IF(Tabela1[[#This Row],[6]]&lt;&gt;"",IF(ISNUMBER(FIND(",",Tabela1[[#This Row],[6]])),LEN(Tabela1[[#This Row],[6]])-LEN(SUBSTITUTE(Tabela1[[#This Row],[6]],",",""))+1,1),"")</f>
        <v/>
      </c>
      <c r="AF523" t="str">
        <f>IF(Tabela1[[#This Row],[7]]&lt;&gt;"",IF(ISNUMBER(FIND(",",Tabela1[[#This Row],[7]])),LEN(Tabela1[[#This Row],[7]])-LEN(SUBSTITUTE(Tabela1[[#This Row],[7]],",",""))+1,1),"")</f>
        <v/>
      </c>
      <c r="AG523">
        <f>IF(Tabela1[[#This Row],[8]]&lt;&gt;"",IF(ISNUMBER(FIND(",",Tabela1[[#This Row],[8]])),LEN(Tabela1[[#This Row],[8]])-LEN(SUBSTITUTE(Tabela1[[#This Row],[8]],",",""))+1,1),"")</f>
        <v>2</v>
      </c>
      <c r="AH523" t="str">
        <f>IF(Tabela1[[#This Row],[9]]&lt;&gt;"",IF(ISNUMBER(FIND(",",Tabela1[[#This Row],[9]])),LEN(Tabela1[[#This Row],[9]])-LEN(SUBSTITUTE(Tabela1[[#This Row],[9]],",",""))+1,1),"")</f>
        <v/>
      </c>
      <c r="AI523" t="str">
        <f>IF(Tabela1[[#This Row],[10]]&lt;&gt;"",IF(ISNUMBER(FIND(",",Tabela1[[#This Row],[10]])),LEN(Tabela1[[#This Row],[10]])-LEN(SUBSTITUTE(Tabela1[[#This Row],[10]],",",""))+1,1),"")</f>
        <v/>
      </c>
      <c r="AJ523" t="str">
        <f>IF(Tabela1[[#This Row],[11]]&lt;&gt;"",IF(ISNUMBER(FIND(",",Tabela1[[#This Row],[11]])),LEN(Tabela1[[#This Row],[11]])-LEN(SUBSTITUTE(Tabela1[[#This Row],[11]],",",""))+1,1),"")</f>
        <v/>
      </c>
      <c r="AK523" t="str">
        <f>IF(Tabela1[[#This Row],[12]]&lt;&gt;"",IF(ISNUMBER(FIND(",",Tabela1[[#This Row],[12]])),LEN(Tabela1[[#This Row],[12]])-LEN(SUBSTITUTE(Tabela1[[#This Row],[12]],",",""))+1,1),"")</f>
        <v/>
      </c>
      <c r="AL523" t="str">
        <f>IF(Tabela1[[#This Row],[13]]&lt;&gt;"",IF(ISNUMBER(FIND(",",Tabela1[[#This Row],[13]])),LEN(Tabela1[[#This Row],[13]])-LEN(SUBSTITUTE(Tabela1[[#This Row],[13]],",",""))+1,1),"")</f>
        <v/>
      </c>
      <c r="AM523" t="str">
        <f>IF(Tabela1[[#This Row],[14]]&lt;&gt;"",IF(ISNUMBER(FIND(",",Tabela1[[#This Row],[14]])),LEN(Tabela1[[#This Row],[14]])-LEN(SUBSTITUTE(Tabela1[[#This Row],[14]],",",""))+1,1),"")</f>
        <v/>
      </c>
      <c r="AN523" t="str">
        <f>IF(Tabela1[[#This Row],[15]]&lt;&gt;"",IF(ISNUMBER(FIND(",",Tabela1[[#This Row],[15]])),LEN(Tabela1[[#This Row],[15]])-LEN(SUBSTITUTE(Tabela1[[#This Row],[15]],",",""))+1,1),"")</f>
        <v/>
      </c>
      <c r="AO523" t="str">
        <f>IF(Tabela1[[#This Row],[16]]&lt;&gt;"",IF(ISNUMBER(FIND(",",Tabela1[[#This Row],[16]])),LEN(Tabela1[[#This Row],[16]])-LEN(SUBSTITUTE(Tabela1[[#This Row],[16]],",",""))+1,1),"")</f>
        <v/>
      </c>
      <c r="AP523" t="str">
        <f>IF(Tabela1[[#This Row],[17]]&lt;&gt;"",IF(ISNUMBER(FIND(",",Tabela1[[#This Row],[17]])),LEN(Tabela1[[#This Row],[17]])-LEN(SUBSTITUTE(Tabela1[[#This Row],[17]],",",""))+1,1),"")</f>
        <v/>
      </c>
      <c r="AQ523" t="str">
        <f>IF(Tabela1[[#This Row],[18]]&lt;&gt;"",IF(ISNUMBER(FIND(",",Tabela1[[#This Row],[18]])),LEN(Tabela1[[#This Row],[18]])-LEN(SUBSTITUTE(Tabela1[[#This Row],[18]],",",""))+1,1),"")</f>
        <v/>
      </c>
      <c r="AR523" s="13" t="str">
        <f>IF(Tabela1[[#This Row],[19_LENGTH]]&lt;&gt;"",IF(ISNUMBER(FIND(",",Tabela1[[#This Row],[19_LENGTH]])),LEN(Tabela1[[#This Row],[19_LENGTH]])-LEN(SUBSTITUTE(Tabela1[[#This Row],[19_LENGTH]],",",""))+1,1),"")</f>
        <v/>
      </c>
      <c r="AS523" s="21">
        <f>SUM(Tabela1[[#This Row],[1_]:[19_]])</f>
        <v>2</v>
      </c>
    </row>
    <row r="524" spans="1:45" x14ac:dyDescent="0.25">
      <c r="A524" s="27" t="s">
        <v>1325</v>
      </c>
      <c r="B524" s="19" t="s">
        <v>578</v>
      </c>
      <c r="C524" s="19">
        <v>218</v>
      </c>
      <c r="D524" s="19" t="s">
        <v>1304</v>
      </c>
      <c r="E524" s="20">
        <v>43538</v>
      </c>
      <c r="F524" s="19"/>
      <c r="G524" s="19"/>
      <c r="H524" s="19"/>
      <c r="I524" s="19">
        <v>111</v>
      </c>
      <c r="J524" s="19"/>
      <c r="K524" s="19"/>
      <c r="L524" s="19"/>
      <c r="M524" s="19"/>
      <c r="N524" s="19"/>
      <c r="O524" s="19"/>
      <c r="P524" s="19"/>
      <c r="Q524" s="19"/>
      <c r="R524" s="19"/>
      <c r="S524" s="19"/>
      <c r="T524" s="19"/>
      <c r="U524" s="19"/>
      <c r="V524" s="19"/>
      <c r="W524" s="19"/>
      <c r="X524" s="19"/>
      <c r="Y524" s="19"/>
      <c r="Z524" t="str">
        <f>IF(Tabela1[[#This Row],[1]]&lt;&gt;"",IF(ISNUMBER(FIND(",",Tabela1[[#This Row],[1]])),LEN(Tabela1[[#This Row],[1]])-LEN(SUBSTITUTE(Tabela1[[#This Row],[1]],",",""))+1,1),"")</f>
        <v/>
      </c>
      <c r="AA524" t="str">
        <f>IF(Tabela1[[#This Row],[2]]&lt;&gt;"",IF(ISNUMBER(FIND(",",Tabela1[[#This Row],[2]])),LEN(Tabela1[[#This Row],[2]])-LEN(SUBSTITUTE(Tabela1[[#This Row],[2]],",",""))+1,1),"")</f>
        <v/>
      </c>
      <c r="AB524" t="str">
        <f>IF(Tabela1[[#This Row],[3]]&lt;&gt;"",IF(ISNUMBER(FIND(",",Tabela1[[#This Row],[3]])),LEN(Tabela1[[#This Row],[3]])-LEN(SUBSTITUTE(Tabela1[[#This Row],[3]],",",""))+1,1),"")</f>
        <v/>
      </c>
      <c r="AC524">
        <f>IF(Tabela1[[#This Row],[4]]&lt;&gt;"",IF(ISNUMBER(FIND(",",Tabela1[[#This Row],[4]])),LEN(Tabela1[[#This Row],[4]])-LEN(SUBSTITUTE(Tabela1[[#This Row],[4]],",",""))+1,1),"")</f>
        <v>1</v>
      </c>
      <c r="AD524" t="str">
        <f>IF(Tabela1[[#This Row],[5]]&lt;&gt;"",IF(ISNUMBER(FIND(",",Tabela1[[#This Row],[5]])),LEN(Tabela1[[#This Row],[5]])-LEN(SUBSTITUTE(Tabela1[[#This Row],[5]],",",""))+1,1),"")</f>
        <v/>
      </c>
      <c r="AE524" t="str">
        <f>IF(Tabela1[[#This Row],[6]]&lt;&gt;"",IF(ISNUMBER(FIND(",",Tabela1[[#This Row],[6]])),LEN(Tabela1[[#This Row],[6]])-LEN(SUBSTITUTE(Tabela1[[#This Row],[6]],",",""))+1,1),"")</f>
        <v/>
      </c>
      <c r="AF524" t="str">
        <f>IF(Tabela1[[#This Row],[7]]&lt;&gt;"",IF(ISNUMBER(FIND(",",Tabela1[[#This Row],[7]])),LEN(Tabela1[[#This Row],[7]])-LEN(SUBSTITUTE(Tabela1[[#This Row],[7]],",",""))+1,1),"")</f>
        <v/>
      </c>
      <c r="AG524" t="str">
        <f>IF(Tabela1[[#This Row],[8]]&lt;&gt;"",IF(ISNUMBER(FIND(",",Tabela1[[#This Row],[8]])),LEN(Tabela1[[#This Row],[8]])-LEN(SUBSTITUTE(Tabela1[[#This Row],[8]],",",""))+1,1),"")</f>
        <v/>
      </c>
      <c r="AH524" t="str">
        <f>IF(Tabela1[[#This Row],[9]]&lt;&gt;"",IF(ISNUMBER(FIND(",",Tabela1[[#This Row],[9]])),LEN(Tabela1[[#This Row],[9]])-LEN(SUBSTITUTE(Tabela1[[#This Row],[9]],",",""))+1,1),"")</f>
        <v/>
      </c>
      <c r="AI524" t="str">
        <f>IF(Tabela1[[#This Row],[10]]&lt;&gt;"",IF(ISNUMBER(FIND(",",Tabela1[[#This Row],[10]])),LEN(Tabela1[[#This Row],[10]])-LEN(SUBSTITUTE(Tabela1[[#This Row],[10]],",",""))+1,1),"")</f>
        <v/>
      </c>
      <c r="AJ524" t="str">
        <f>IF(Tabela1[[#This Row],[11]]&lt;&gt;"",IF(ISNUMBER(FIND(",",Tabela1[[#This Row],[11]])),LEN(Tabela1[[#This Row],[11]])-LEN(SUBSTITUTE(Tabela1[[#This Row],[11]],",",""))+1,1),"")</f>
        <v/>
      </c>
      <c r="AK524" t="str">
        <f>IF(Tabela1[[#This Row],[12]]&lt;&gt;"",IF(ISNUMBER(FIND(",",Tabela1[[#This Row],[12]])),LEN(Tabela1[[#This Row],[12]])-LEN(SUBSTITUTE(Tabela1[[#This Row],[12]],",",""))+1,1),"")</f>
        <v/>
      </c>
      <c r="AL524" t="str">
        <f>IF(Tabela1[[#This Row],[13]]&lt;&gt;"",IF(ISNUMBER(FIND(",",Tabela1[[#This Row],[13]])),LEN(Tabela1[[#This Row],[13]])-LEN(SUBSTITUTE(Tabela1[[#This Row],[13]],",",""))+1,1),"")</f>
        <v/>
      </c>
      <c r="AM524" t="str">
        <f>IF(Tabela1[[#This Row],[14]]&lt;&gt;"",IF(ISNUMBER(FIND(",",Tabela1[[#This Row],[14]])),LEN(Tabela1[[#This Row],[14]])-LEN(SUBSTITUTE(Tabela1[[#This Row],[14]],",",""))+1,1),"")</f>
        <v/>
      </c>
      <c r="AN524" t="str">
        <f>IF(Tabela1[[#This Row],[15]]&lt;&gt;"",IF(ISNUMBER(FIND(",",Tabela1[[#This Row],[15]])),LEN(Tabela1[[#This Row],[15]])-LEN(SUBSTITUTE(Tabela1[[#This Row],[15]],",",""))+1,1),"")</f>
        <v/>
      </c>
      <c r="AO524" t="str">
        <f>IF(Tabela1[[#This Row],[16]]&lt;&gt;"",IF(ISNUMBER(FIND(",",Tabela1[[#This Row],[16]])),LEN(Tabela1[[#This Row],[16]])-LEN(SUBSTITUTE(Tabela1[[#This Row],[16]],",",""))+1,1),"")</f>
        <v/>
      </c>
      <c r="AP524" t="str">
        <f>IF(Tabela1[[#This Row],[17]]&lt;&gt;"",IF(ISNUMBER(FIND(",",Tabela1[[#This Row],[17]])),LEN(Tabela1[[#This Row],[17]])-LEN(SUBSTITUTE(Tabela1[[#This Row],[17]],",",""))+1,1),"")</f>
        <v/>
      </c>
      <c r="AQ524" t="str">
        <f>IF(Tabela1[[#This Row],[18]]&lt;&gt;"",IF(ISNUMBER(FIND(",",Tabela1[[#This Row],[18]])),LEN(Tabela1[[#This Row],[18]])-LEN(SUBSTITUTE(Tabela1[[#This Row],[18]],",",""))+1,1),"")</f>
        <v/>
      </c>
      <c r="AR524" s="13" t="str">
        <f>IF(Tabela1[[#This Row],[19_LENGTH]]&lt;&gt;"",IF(ISNUMBER(FIND(",",Tabela1[[#This Row],[19_LENGTH]])),LEN(Tabela1[[#This Row],[19_LENGTH]])-LEN(SUBSTITUTE(Tabela1[[#This Row],[19_LENGTH]],",",""))+1,1),"")</f>
        <v/>
      </c>
      <c r="AS524" s="21">
        <f>SUM(Tabela1[[#This Row],[1_]:[19_]])</f>
        <v>1</v>
      </c>
    </row>
    <row r="525" spans="1:45" x14ac:dyDescent="0.25">
      <c r="A525" s="27" t="s">
        <v>1325</v>
      </c>
      <c r="B525" s="19" t="s">
        <v>579</v>
      </c>
      <c r="C525" s="19">
        <v>202</v>
      </c>
      <c r="D525" s="19" t="s">
        <v>1304</v>
      </c>
      <c r="E525" s="20">
        <v>43538</v>
      </c>
      <c r="F525" s="19"/>
      <c r="G525" s="19"/>
      <c r="H525" s="19"/>
      <c r="I525" s="19"/>
      <c r="J525" s="19"/>
      <c r="K525" s="19"/>
      <c r="L525" s="19"/>
      <c r="M525" s="19">
        <v>150</v>
      </c>
      <c r="N525" s="19"/>
      <c r="O525" s="19"/>
      <c r="P525" s="19"/>
      <c r="Q525" s="19"/>
      <c r="R525" s="19"/>
      <c r="S525" s="19"/>
      <c r="T525" s="19"/>
      <c r="U525" s="19"/>
      <c r="V525" s="19"/>
      <c r="W525" s="19"/>
      <c r="X525" s="19" t="s">
        <v>43</v>
      </c>
      <c r="Y525" s="19">
        <v>152</v>
      </c>
      <c r="Z525" t="str">
        <f>IF(Tabela1[[#This Row],[1]]&lt;&gt;"",IF(ISNUMBER(FIND(",",Tabela1[[#This Row],[1]])),LEN(Tabela1[[#This Row],[1]])-LEN(SUBSTITUTE(Tabela1[[#This Row],[1]],",",""))+1,1),"")</f>
        <v/>
      </c>
      <c r="AA525" t="str">
        <f>IF(Tabela1[[#This Row],[2]]&lt;&gt;"",IF(ISNUMBER(FIND(",",Tabela1[[#This Row],[2]])),LEN(Tabela1[[#This Row],[2]])-LEN(SUBSTITUTE(Tabela1[[#This Row],[2]],",",""))+1,1),"")</f>
        <v/>
      </c>
      <c r="AB525" t="str">
        <f>IF(Tabela1[[#This Row],[3]]&lt;&gt;"",IF(ISNUMBER(FIND(",",Tabela1[[#This Row],[3]])),LEN(Tabela1[[#This Row],[3]])-LEN(SUBSTITUTE(Tabela1[[#This Row],[3]],",",""))+1,1),"")</f>
        <v/>
      </c>
      <c r="AC525" t="str">
        <f>IF(Tabela1[[#This Row],[4]]&lt;&gt;"",IF(ISNUMBER(FIND(",",Tabela1[[#This Row],[4]])),LEN(Tabela1[[#This Row],[4]])-LEN(SUBSTITUTE(Tabela1[[#This Row],[4]],",",""))+1,1),"")</f>
        <v/>
      </c>
      <c r="AD525" t="str">
        <f>IF(Tabela1[[#This Row],[5]]&lt;&gt;"",IF(ISNUMBER(FIND(",",Tabela1[[#This Row],[5]])),LEN(Tabela1[[#This Row],[5]])-LEN(SUBSTITUTE(Tabela1[[#This Row],[5]],",",""))+1,1),"")</f>
        <v/>
      </c>
      <c r="AE525" t="str">
        <f>IF(Tabela1[[#This Row],[6]]&lt;&gt;"",IF(ISNUMBER(FIND(",",Tabela1[[#This Row],[6]])),LEN(Tabela1[[#This Row],[6]])-LEN(SUBSTITUTE(Tabela1[[#This Row],[6]],",",""))+1,1),"")</f>
        <v/>
      </c>
      <c r="AF525" t="str">
        <f>IF(Tabela1[[#This Row],[7]]&lt;&gt;"",IF(ISNUMBER(FIND(",",Tabela1[[#This Row],[7]])),LEN(Tabela1[[#This Row],[7]])-LEN(SUBSTITUTE(Tabela1[[#This Row],[7]],",",""))+1,1),"")</f>
        <v/>
      </c>
      <c r="AG525">
        <f>IF(Tabela1[[#This Row],[8]]&lt;&gt;"",IF(ISNUMBER(FIND(",",Tabela1[[#This Row],[8]])),LEN(Tabela1[[#This Row],[8]])-LEN(SUBSTITUTE(Tabela1[[#This Row],[8]],",",""))+1,1),"")</f>
        <v>1</v>
      </c>
      <c r="AH525" t="str">
        <f>IF(Tabela1[[#This Row],[9]]&lt;&gt;"",IF(ISNUMBER(FIND(",",Tabela1[[#This Row],[9]])),LEN(Tabela1[[#This Row],[9]])-LEN(SUBSTITUTE(Tabela1[[#This Row],[9]],",",""))+1,1),"")</f>
        <v/>
      </c>
      <c r="AI525" t="str">
        <f>IF(Tabela1[[#This Row],[10]]&lt;&gt;"",IF(ISNUMBER(FIND(",",Tabela1[[#This Row],[10]])),LEN(Tabela1[[#This Row],[10]])-LEN(SUBSTITUTE(Tabela1[[#This Row],[10]],",",""))+1,1),"")</f>
        <v/>
      </c>
      <c r="AJ525" t="str">
        <f>IF(Tabela1[[#This Row],[11]]&lt;&gt;"",IF(ISNUMBER(FIND(",",Tabela1[[#This Row],[11]])),LEN(Tabela1[[#This Row],[11]])-LEN(SUBSTITUTE(Tabela1[[#This Row],[11]],",",""))+1,1),"")</f>
        <v/>
      </c>
      <c r="AK525" t="str">
        <f>IF(Tabela1[[#This Row],[12]]&lt;&gt;"",IF(ISNUMBER(FIND(",",Tabela1[[#This Row],[12]])),LEN(Tabela1[[#This Row],[12]])-LEN(SUBSTITUTE(Tabela1[[#This Row],[12]],",",""))+1,1),"")</f>
        <v/>
      </c>
      <c r="AL525" t="str">
        <f>IF(Tabela1[[#This Row],[13]]&lt;&gt;"",IF(ISNUMBER(FIND(",",Tabela1[[#This Row],[13]])),LEN(Tabela1[[#This Row],[13]])-LEN(SUBSTITUTE(Tabela1[[#This Row],[13]],",",""))+1,1),"")</f>
        <v/>
      </c>
      <c r="AM525" t="str">
        <f>IF(Tabela1[[#This Row],[14]]&lt;&gt;"",IF(ISNUMBER(FIND(",",Tabela1[[#This Row],[14]])),LEN(Tabela1[[#This Row],[14]])-LEN(SUBSTITUTE(Tabela1[[#This Row],[14]],",",""))+1,1),"")</f>
        <v/>
      </c>
      <c r="AN525" t="str">
        <f>IF(Tabela1[[#This Row],[15]]&lt;&gt;"",IF(ISNUMBER(FIND(",",Tabela1[[#This Row],[15]])),LEN(Tabela1[[#This Row],[15]])-LEN(SUBSTITUTE(Tabela1[[#This Row],[15]],",",""))+1,1),"")</f>
        <v/>
      </c>
      <c r="AO525" t="str">
        <f>IF(Tabela1[[#This Row],[16]]&lt;&gt;"",IF(ISNUMBER(FIND(",",Tabela1[[#This Row],[16]])),LEN(Tabela1[[#This Row],[16]])-LEN(SUBSTITUTE(Tabela1[[#This Row],[16]],",",""))+1,1),"")</f>
        <v/>
      </c>
      <c r="AP525" t="str">
        <f>IF(Tabela1[[#This Row],[17]]&lt;&gt;"",IF(ISNUMBER(FIND(",",Tabela1[[#This Row],[17]])),LEN(Tabela1[[#This Row],[17]])-LEN(SUBSTITUTE(Tabela1[[#This Row],[17]],",",""))+1,1),"")</f>
        <v/>
      </c>
      <c r="AQ525" t="str">
        <f>IF(Tabela1[[#This Row],[18]]&lt;&gt;"",IF(ISNUMBER(FIND(",",Tabela1[[#This Row],[18]])),LEN(Tabela1[[#This Row],[18]])-LEN(SUBSTITUTE(Tabela1[[#This Row],[18]],",",""))+1,1),"")</f>
        <v/>
      </c>
      <c r="AR525" s="13">
        <f>IF(Tabela1[[#This Row],[19_LENGTH]]&lt;&gt;"",IF(ISNUMBER(FIND(",",Tabela1[[#This Row],[19_LENGTH]])),LEN(Tabela1[[#This Row],[19_LENGTH]])-LEN(SUBSTITUTE(Tabela1[[#This Row],[19_LENGTH]],",",""))+1,1),"")</f>
        <v>1</v>
      </c>
      <c r="AS525" s="21">
        <f>SUM(Tabela1[[#This Row],[1_]:[19_]])</f>
        <v>2</v>
      </c>
    </row>
    <row r="526" spans="1:45" x14ac:dyDescent="0.25">
      <c r="A526" s="27" t="s">
        <v>1325</v>
      </c>
      <c r="B526" s="19" t="s">
        <v>580</v>
      </c>
      <c r="C526" s="19">
        <v>202</v>
      </c>
      <c r="D526" s="19" t="s">
        <v>1304</v>
      </c>
      <c r="E526" s="20">
        <v>43538</v>
      </c>
      <c r="F526" s="19"/>
      <c r="G526" s="19"/>
      <c r="H526" s="19"/>
      <c r="I526" s="19"/>
      <c r="J526" s="19"/>
      <c r="K526" s="19"/>
      <c r="L526" s="19"/>
      <c r="M526" s="19"/>
      <c r="N526" s="19"/>
      <c r="O526" s="19" t="s">
        <v>207</v>
      </c>
      <c r="P526" s="19"/>
      <c r="Q526" s="19"/>
      <c r="R526" s="19"/>
      <c r="S526" s="19"/>
      <c r="T526" s="19"/>
      <c r="U526" s="19"/>
      <c r="V526" s="19"/>
      <c r="W526" s="19"/>
      <c r="X526" s="19"/>
      <c r="Y526" s="19"/>
      <c r="Z526" t="str">
        <f>IF(Tabela1[[#This Row],[1]]&lt;&gt;"",IF(ISNUMBER(FIND(",",Tabela1[[#This Row],[1]])),LEN(Tabela1[[#This Row],[1]])-LEN(SUBSTITUTE(Tabela1[[#This Row],[1]],",",""))+1,1),"")</f>
        <v/>
      </c>
      <c r="AA526" t="str">
        <f>IF(Tabela1[[#This Row],[2]]&lt;&gt;"",IF(ISNUMBER(FIND(",",Tabela1[[#This Row],[2]])),LEN(Tabela1[[#This Row],[2]])-LEN(SUBSTITUTE(Tabela1[[#This Row],[2]],",",""))+1,1),"")</f>
        <v/>
      </c>
      <c r="AB526" t="str">
        <f>IF(Tabela1[[#This Row],[3]]&lt;&gt;"",IF(ISNUMBER(FIND(",",Tabela1[[#This Row],[3]])),LEN(Tabela1[[#This Row],[3]])-LEN(SUBSTITUTE(Tabela1[[#This Row],[3]],",",""))+1,1),"")</f>
        <v/>
      </c>
      <c r="AC526" t="str">
        <f>IF(Tabela1[[#This Row],[4]]&lt;&gt;"",IF(ISNUMBER(FIND(",",Tabela1[[#This Row],[4]])),LEN(Tabela1[[#This Row],[4]])-LEN(SUBSTITUTE(Tabela1[[#This Row],[4]],",",""))+1,1),"")</f>
        <v/>
      </c>
      <c r="AD526" t="str">
        <f>IF(Tabela1[[#This Row],[5]]&lt;&gt;"",IF(ISNUMBER(FIND(",",Tabela1[[#This Row],[5]])),LEN(Tabela1[[#This Row],[5]])-LEN(SUBSTITUTE(Tabela1[[#This Row],[5]],",",""))+1,1),"")</f>
        <v/>
      </c>
      <c r="AE526" t="str">
        <f>IF(Tabela1[[#This Row],[6]]&lt;&gt;"",IF(ISNUMBER(FIND(",",Tabela1[[#This Row],[6]])),LEN(Tabela1[[#This Row],[6]])-LEN(SUBSTITUTE(Tabela1[[#This Row],[6]],",",""))+1,1),"")</f>
        <v/>
      </c>
      <c r="AF526" t="str">
        <f>IF(Tabela1[[#This Row],[7]]&lt;&gt;"",IF(ISNUMBER(FIND(",",Tabela1[[#This Row],[7]])),LEN(Tabela1[[#This Row],[7]])-LEN(SUBSTITUTE(Tabela1[[#This Row],[7]],",",""))+1,1),"")</f>
        <v/>
      </c>
      <c r="AG526" t="str">
        <f>IF(Tabela1[[#This Row],[8]]&lt;&gt;"",IF(ISNUMBER(FIND(",",Tabela1[[#This Row],[8]])),LEN(Tabela1[[#This Row],[8]])-LEN(SUBSTITUTE(Tabela1[[#This Row],[8]],",",""))+1,1),"")</f>
        <v/>
      </c>
      <c r="AH526" t="str">
        <f>IF(Tabela1[[#This Row],[9]]&lt;&gt;"",IF(ISNUMBER(FIND(",",Tabela1[[#This Row],[9]])),LEN(Tabela1[[#This Row],[9]])-LEN(SUBSTITUTE(Tabela1[[#This Row],[9]],",",""))+1,1),"")</f>
        <v/>
      </c>
      <c r="AI526">
        <f>IF(Tabela1[[#This Row],[10]]&lt;&gt;"",IF(ISNUMBER(FIND(",",Tabela1[[#This Row],[10]])),LEN(Tabela1[[#This Row],[10]])-LEN(SUBSTITUTE(Tabela1[[#This Row],[10]],",",""))+1,1),"")</f>
        <v>2</v>
      </c>
      <c r="AJ526" t="str">
        <f>IF(Tabela1[[#This Row],[11]]&lt;&gt;"",IF(ISNUMBER(FIND(",",Tabela1[[#This Row],[11]])),LEN(Tabela1[[#This Row],[11]])-LEN(SUBSTITUTE(Tabela1[[#This Row],[11]],",",""))+1,1),"")</f>
        <v/>
      </c>
      <c r="AK526" t="str">
        <f>IF(Tabela1[[#This Row],[12]]&lt;&gt;"",IF(ISNUMBER(FIND(",",Tabela1[[#This Row],[12]])),LEN(Tabela1[[#This Row],[12]])-LEN(SUBSTITUTE(Tabela1[[#This Row],[12]],",",""))+1,1),"")</f>
        <v/>
      </c>
      <c r="AL526" t="str">
        <f>IF(Tabela1[[#This Row],[13]]&lt;&gt;"",IF(ISNUMBER(FIND(",",Tabela1[[#This Row],[13]])),LEN(Tabela1[[#This Row],[13]])-LEN(SUBSTITUTE(Tabela1[[#This Row],[13]],",",""))+1,1),"")</f>
        <v/>
      </c>
      <c r="AM526" t="str">
        <f>IF(Tabela1[[#This Row],[14]]&lt;&gt;"",IF(ISNUMBER(FIND(",",Tabela1[[#This Row],[14]])),LEN(Tabela1[[#This Row],[14]])-LEN(SUBSTITUTE(Tabela1[[#This Row],[14]],",",""))+1,1),"")</f>
        <v/>
      </c>
      <c r="AN526" t="str">
        <f>IF(Tabela1[[#This Row],[15]]&lt;&gt;"",IF(ISNUMBER(FIND(",",Tabela1[[#This Row],[15]])),LEN(Tabela1[[#This Row],[15]])-LEN(SUBSTITUTE(Tabela1[[#This Row],[15]],",",""))+1,1),"")</f>
        <v/>
      </c>
      <c r="AO526" t="str">
        <f>IF(Tabela1[[#This Row],[16]]&lt;&gt;"",IF(ISNUMBER(FIND(",",Tabela1[[#This Row],[16]])),LEN(Tabela1[[#This Row],[16]])-LEN(SUBSTITUTE(Tabela1[[#This Row],[16]],",",""))+1,1),"")</f>
        <v/>
      </c>
      <c r="AP526" t="str">
        <f>IF(Tabela1[[#This Row],[17]]&lt;&gt;"",IF(ISNUMBER(FIND(",",Tabela1[[#This Row],[17]])),LEN(Tabela1[[#This Row],[17]])-LEN(SUBSTITUTE(Tabela1[[#This Row],[17]],",",""))+1,1),"")</f>
        <v/>
      </c>
      <c r="AQ526" t="str">
        <f>IF(Tabela1[[#This Row],[18]]&lt;&gt;"",IF(ISNUMBER(FIND(",",Tabela1[[#This Row],[18]])),LEN(Tabela1[[#This Row],[18]])-LEN(SUBSTITUTE(Tabela1[[#This Row],[18]],",",""))+1,1),"")</f>
        <v/>
      </c>
      <c r="AR526" s="13" t="str">
        <f>IF(Tabela1[[#This Row],[19_LENGTH]]&lt;&gt;"",IF(ISNUMBER(FIND(",",Tabela1[[#This Row],[19_LENGTH]])),LEN(Tabela1[[#This Row],[19_LENGTH]])-LEN(SUBSTITUTE(Tabela1[[#This Row],[19_LENGTH]],",",""))+1,1),"")</f>
        <v/>
      </c>
      <c r="AS526" s="21">
        <f>SUM(Tabela1[[#This Row],[1_]:[19_]])</f>
        <v>2</v>
      </c>
    </row>
    <row r="527" spans="1:45" x14ac:dyDescent="0.25">
      <c r="A527" s="27" t="s">
        <v>1325</v>
      </c>
      <c r="B527" s="19" t="s">
        <v>870</v>
      </c>
      <c r="C527" s="19">
        <v>202</v>
      </c>
      <c r="D527" s="19" t="s">
        <v>1315</v>
      </c>
      <c r="E527" s="20">
        <v>43537</v>
      </c>
      <c r="F527" s="19"/>
      <c r="G527" s="19"/>
      <c r="H527" s="19"/>
      <c r="I527" s="19" t="s">
        <v>208</v>
      </c>
      <c r="J527" s="19"/>
      <c r="K527" s="19"/>
      <c r="L527" s="19"/>
      <c r="M527" s="19"/>
      <c r="N527" s="19"/>
      <c r="O527" s="19"/>
      <c r="P527" s="19"/>
      <c r="Q527" s="19"/>
      <c r="R527" s="19"/>
      <c r="S527" s="19"/>
      <c r="T527" s="19"/>
      <c r="U527" s="19"/>
      <c r="V527" s="19"/>
      <c r="W527" s="19"/>
      <c r="X527" s="19"/>
      <c r="Y527" s="19"/>
      <c r="Z527" t="str">
        <f>IF(Tabela1[[#This Row],[1]]&lt;&gt;"",IF(ISNUMBER(FIND(",",Tabela1[[#This Row],[1]])),LEN(Tabela1[[#This Row],[1]])-LEN(SUBSTITUTE(Tabela1[[#This Row],[1]],",",""))+1,1),"")</f>
        <v/>
      </c>
      <c r="AA527" t="str">
        <f>IF(Tabela1[[#This Row],[2]]&lt;&gt;"",IF(ISNUMBER(FIND(",",Tabela1[[#This Row],[2]])),LEN(Tabela1[[#This Row],[2]])-LEN(SUBSTITUTE(Tabela1[[#This Row],[2]],",",""))+1,1),"")</f>
        <v/>
      </c>
      <c r="AB527" t="str">
        <f>IF(Tabela1[[#This Row],[3]]&lt;&gt;"",IF(ISNUMBER(FIND(",",Tabela1[[#This Row],[3]])),LEN(Tabela1[[#This Row],[3]])-LEN(SUBSTITUTE(Tabela1[[#This Row],[3]],",",""))+1,1),"")</f>
        <v/>
      </c>
      <c r="AC527">
        <f>IF(Tabela1[[#This Row],[4]]&lt;&gt;"",IF(ISNUMBER(FIND(",",Tabela1[[#This Row],[4]])),LEN(Tabela1[[#This Row],[4]])-LEN(SUBSTITUTE(Tabela1[[#This Row],[4]],",",""))+1,1),"")</f>
        <v>2</v>
      </c>
      <c r="AD527" t="str">
        <f>IF(Tabela1[[#This Row],[5]]&lt;&gt;"",IF(ISNUMBER(FIND(",",Tabela1[[#This Row],[5]])),LEN(Tabela1[[#This Row],[5]])-LEN(SUBSTITUTE(Tabela1[[#This Row],[5]],",",""))+1,1),"")</f>
        <v/>
      </c>
      <c r="AE527" t="str">
        <f>IF(Tabela1[[#This Row],[6]]&lt;&gt;"",IF(ISNUMBER(FIND(",",Tabela1[[#This Row],[6]])),LEN(Tabela1[[#This Row],[6]])-LEN(SUBSTITUTE(Tabela1[[#This Row],[6]],",",""))+1,1),"")</f>
        <v/>
      </c>
      <c r="AF527" t="str">
        <f>IF(Tabela1[[#This Row],[7]]&lt;&gt;"",IF(ISNUMBER(FIND(",",Tabela1[[#This Row],[7]])),LEN(Tabela1[[#This Row],[7]])-LEN(SUBSTITUTE(Tabela1[[#This Row],[7]],",",""))+1,1),"")</f>
        <v/>
      </c>
      <c r="AG527" t="str">
        <f>IF(Tabela1[[#This Row],[8]]&lt;&gt;"",IF(ISNUMBER(FIND(",",Tabela1[[#This Row],[8]])),LEN(Tabela1[[#This Row],[8]])-LEN(SUBSTITUTE(Tabela1[[#This Row],[8]],",",""))+1,1),"")</f>
        <v/>
      </c>
      <c r="AH527" t="str">
        <f>IF(Tabela1[[#This Row],[9]]&lt;&gt;"",IF(ISNUMBER(FIND(",",Tabela1[[#This Row],[9]])),LEN(Tabela1[[#This Row],[9]])-LEN(SUBSTITUTE(Tabela1[[#This Row],[9]],",",""))+1,1),"")</f>
        <v/>
      </c>
      <c r="AI527" t="str">
        <f>IF(Tabela1[[#This Row],[10]]&lt;&gt;"",IF(ISNUMBER(FIND(",",Tabela1[[#This Row],[10]])),LEN(Tabela1[[#This Row],[10]])-LEN(SUBSTITUTE(Tabela1[[#This Row],[10]],",",""))+1,1),"")</f>
        <v/>
      </c>
      <c r="AJ527" t="str">
        <f>IF(Tabela1[[#This Row],[11]]&lt;&gt;"",IF(ISNUMBER(FIND(",",Tabela1[[#This Row],[11]])),LEN(Tabela1[[#This Row],[11]])-LEN(SUBSTITUTE(Tabela1[[#This Row],[11]],",",""))+1,1),"")</f>
        <v/>
      </c>
      <c r="AK527" t="str">
        <f>IF(Tabela1[[#This Row],[12]]&lt;&gt;"",IF(ISNUMBER(FIND(",",Tabela1[[#This Row],[12]])),LEN(Tabela1[[#This Row],[12]])-LEN(SUBSTITUTE(Tabela1[[#This Row],[12]],",",""))+1,1),"")</f>
        <v/>
      </c>
      <c r="AL527" t="str">
        <f>IF(Tabela1[[#This Row],[13]]&lt;&gt;"",IF(ISNUMBER(FIND(",",Tabela1[[#This Row],[13]])),LEN(Tabela1[[#This Row],[13]])-LEN(SUBSTITUTE(Tabela1[[#This Row],[13]],",",""))+1,1),"")</f>
        <v/>
      </c>
      <c r="AM527" t="str">
        <f>IF(Tabela1[[#This Row],[14]]&lt;&gt;"",IF(ISNUMBER(FIND(",",Tabela1[[#This Row],[14]])),LEN(Tabela1[[#This Row],[14]])-LEN(SUBSTITUTE(Tabela1[[#This Row],[14]],",",""))+1,1),"")</f>
        <v/>
      </c>
      <c r="AN527" t="str">
        <f>IF(Tabela1[[#This Row],[15]]&lt;&gt;"",IF(ISNUMBER(FIND(",",Tabela1[[#This Row],[15]])),LEN(Tabela1[[#This Row],[15]])-LEN(SUBSTITUTE(Tabela1[[#This Row],[15]],",",""))+1,1),"")</f>
        <v/>
      </c>
      <c r="AO527" t="str">
        <f>IF(Tabela1[[#This Row],[16]]&lt;&gt;"",IF(ISNUMBER(FIND(",",Tabela1[[#This Row],[16]])),LEN(Tabela1[[#This Row],[16]])-LEN(SUBSTITUTE(Tabela1[[#This Row],[16]],",",""))+1,1),"")</f>
        <v/>
      </c>
      <c r="AP527" t="str">
        <f>IF(Tabela1[[#This Row],[17]]&lt;&gt;"",IF(ISNUMBER(FIND(",",Tabela1[[#This Row],[17]])),LEN(Tabela1[[#This Row],[17]])-LEN(SUBSTITUTE(Tabela1[[#This Row],[17]],",",""))+1,1),"")</f>
        <v/>
      </c>
      <c r="AQ527" t="str">
        <f>IF(Tabela1[[#This Row],[18]]&lt;&gt;"",IF(ISNUMBER(FIND(",",Tabela1[[#This Row],[18]])),LEN(Tabela1[[#This Row],[18]])-LEN(SUBSTITUTE(Tabela1[[#This Row],[18]],",",""))+1,1),"")</f>
        <v/>
      </c>
      <c r="AR527" s="13" t="str">
        <f>IF(Tabela1[[#This Row],[19_LENGTH]]&lt;&gt;"",IF(ISNUMBER(FIND(",",Tabela1[[#This Row],[19_LENGTH]])),LEN(Tabela1[[#This Row],[19_LENGTH]])-LEN(SUBSTITUTE(Tabela1[[#This Row],[19_LENGTH]],",",""))+1,1),"")</f>
        <v/>
      </c>
      <c r="AS527" s="21">
        <f>SUM(Tabela1[[#This Row],[1_]:[19_]])</f>
        <v>2</v>
      </c>
    </row>
    <row r="528" spans="1:45" x14ac:dyDescent="0.25">
      <c r="A528" s="27" t="s">
        <v>1325</v>
      </c>
      <c r="B528" s="19" t="s">
        <v>871</v>
      </c>
      <c r="C528" s="19">
        <v>208</v>
      </c>
      <c r="D528" s="19" t="s">
        <v>1315</v>
      </c>
      <c r="E528" s="20">
        <v>43538</v>
      </c>
      <c r="F528" s="19"/>
      <c r="G528" s="19"/>
      <c r="H528" s="19" t="s">
        <v>209</v>
      </c>
      <c r="I528" s="19">
        <v>8</v>
      </c>
      <c r="J528" s="19"/>
      <c r="K528" s="19"/>
      <c r="L528" s="19"/>
      <c r="M528" s="19"/>
      <c r="N528" s="19"/>
      <c r="O528" s="19"/>
      <c r="P528" s="19"/>
      <c r="Q528" s="19"/>
      <c r="R528" s="19"/>
      <c r="S528" s="19"/>
      <c r="T528" s="19"/>
      <c r="U528" s="19"/>
      <c r="V528" s="19"/>
      <c r="W528" s="19"/>
      <c r="X528" s="19"/>
      <c r="Y528" s="19"/>
      <c r="Z528" t="str">
        <f>IF(Tabela1[[#This Row],[1]]&lt;&gt;"",IF(ISNUMBER(FIND(",",Tabela1[[#This Row],[1]])),LEN(Tabela1[[#This Row],[1]])-LEN(SUBSTITUTE(Tabela1[[#This Row],[1]],",",""))+1,1),"")</f>
        <v/>
      </c>
      <c r="AA528" t="str">
        <f>IF(Tabela1[[#This Row],[2]]&lt;&gt;"",IF(ISNUMBER(FIND(",",Tabela1[[#This Row],[2]])),LEN(Tabela1[[#This Row],[2]])-LEN(SUBSTITUTE(Tabela1[[#This Row],[2]],",",""))+1,1),"")</f>
        <v/>
      </c>
      <c r="AB528">
        <f>IF(Tabela1[[#This Row],[3]]&lt;&gt;"",IF(ISNUMBER(FIND(",",Tabela1[[#This Row],[3]])),LEN(Tabela1[[#This Row],[3]])-LEN(SUBSTITUTE(Tabela1[[#This Row],[3]],",",""))+1,1),"")</f>
        <v>1</v>
      </c>
      <c r="AC528">
        <f>IF(Tabela1[[#This Row],[4]]&lt;&gt;"",IF(ISNUMBER(FIND(",",Tabela1[[#This Row],[4]])),LEN(Tabela1[[#This Row],[4]])-LEN(SUBSTITUTE(Tabela1[[#This Row],[4]],",",""))+1,1),"")</f>
        <v>1</v>
      </c>
      <c r="AD528" t="str">
        <f>IF(Tabela1[[#This Row],[5]]&lt;&gt;"",IF(ISNUMBER(FIND(",",Tabela1[[#This Row],[5]])),LEN(Tabela1[[#This Row],[5]])-LEN(SUBSTITUTE(Tabela1[[#This Row],[5]],",",""))+1,1),"")</f>
        <v/>
      </c>
      <c r="AE528" t="str">
        <f>IF(Tabela1[[#This Row],[6]]&lt;&gt;"",IF(ISNUMBER(FIND(",",Tabela1[[#This Row],[6]])),LEN(Tabela1[[#This Row],[6]])-LEN(SUBSTITUTE(Tabela1[[#This Row],[6]],",",""))+1,1),"")</f>
        <v/>
      </c>
      <c r="AF528" t="str">
        <f>IF(Tabela1[[#This Row],[7]]&lt;&gt;"",IF(ISNUMBER(FIND(",",Tabela1[[#This Row],[7]])),LEN(Tabela1[[#This Row],[7]])-LEN(SUBSTITUTE(Tabela1[[#This Row],[7]],",",""))+1,1),"")</f>
        <v/>
      </c>
      <c r="AG528" t="str">
        <f>IF(Tabela1[[#This Row],[8]]&lt;&gt;"",IF(ISNUMBER(FIND(",",Tabela1[[#This Row],[8]])),LEN(Tabela1[[#This Row],[8]])-LEN(SUBSTITUTE(Tabela1[[#This Row],[8]],",",""))+1,1),"")</f>
        <v/>
      </c>
      <c r="AH528" t="str">
        <f>IF(Tabela1[[#This Row],[9]]&lt;&gt;"",IF(ISNUMBER(FIND(",",Tabela1[[#This Row],[9]])),LEN(Tabela1[[#This Row],[9]])-LEN(SUBSTITUTE(Tabela1[[#This Row],[9]],",",""))+1,1),"")</f>
        <v/>
      </c>
      <c r="AI528" t="str">
        <f>IF(Tabela1[[#This Row],[10]]&lt;&gt;"",IF(ISNUMBER(FIND(",",Tabela1[[#This Row],[10]])),LEN(Tabela1[[#This Row],[10]])-LEN(SUBSTITUTE(Tabela1[[#This Row],[10]],",",""))+1,1),"")</f>
        <v/>
      </c>
      <c r="AJ528" t="str">
        <f>IF(Tabela1[[#This Row],[11]]&lt;&gt;"",IF(ISNUMBER(FIND(",",Tabela1[[#This Row],[11]])),LEN(Tabela1[[#This Row],[11]])-LEN(SUBSTITUTE(Tabela1[[#This Row],[11]],",",""))+1,1),"")</f>
        <v/>
      </c>
      <c r="AK528" t="str">
        <f>IF(Tabela1[[#This Row],[12]]&lt;&gt;"",IF(ISNUMBER(FIND(",",Tabela1[[#This Row],[12]])),LEN(Tabela1[[#This Row],[12]])-LEN(SUBSTITUTE(Tabela1[[#This Row],[12]],",",""))+1,1),"")</f>
        <v/>
      </c>
      <c r="AL528" t="str">
        <f>IF(Tabela1[[#This Row],[13]]&lt;&gt;"",IF(ISNUMBER(FIND(",",Tabela1[[#This Row],[13]])),LEN(Tabela1[[#This Row],[13]])-LEN(SUBSTITUTE(Tabela1[[#This Row],[13]],",",""))+1,1),"")</f>
        <v/>
      </c>
      <c r="AM528" t="str">
        <f>IF(Tabela1[[#This Row],[14]]&lt;&gt;"",IF(ISNUMBER(FIND(",",Tabela1[[#This Row],[14]])),LEN(Tabela1[[#This Row],[14]])-LEN(SUBSTITUTE(Tabela1[[#This Row],[14]],",",""))+1,1),"")</f>
        <v/>
      </c>
      <c r="AN528" t="str">
        <f>IF(Tabela1[[#This Row],[15]]&lt;&gt;"",IF(ISNUMBER(FIND(",",Tabela1[[#This Row],[15]])),LEN(Tabela1[[#This Row],[15]])-LEN(SUBSTITUTE(Tabela1[[#This Row],[15]],",",""))+1,1),"")</f>
        <v/>
      </c>
      <c r="AO528" t="str">
        <f>IF(Tabela1[[#This Row],[16]]&lt;&gt;"",IF(ISNUMBER(FIND(",",Tabela1[[#This Row],[16]])),LEN(Tabela1[[#This Row],[16]])-LEN(SUBSTITUTE(Tabela1[[#This Row],[16]],",",""))+1,1),"")</f>
        <v/>
      </c>
      <c r="AP528" t="str">
        <f>IF(Tabela1[[#This Row],[17]]&lt;&gt;"",IF(ISNUMBER(FIND(",",Tabela1[[#This Row],[17]])),LEN(Tabela1[[#This Row],[17]])-LEN(SUBSTITUTE(Tabela1[[#This Row],[17]],",",""))+1,1),"")</f>
        <v/>
      </c>
      <c r="AQ528" t="str">
        <f>IF(Tabela1[[#This Row],[18]]&lt;&gt;"",IF(ISNUMBER(FIND(",",Tabela1[[#This Row],[18]])),LEN(Tabela1[[#This Row],[18]])-LEN(SUBSTITUTE(Tabela1[[#This Row],[18]],",",""))+1,1),"")</f>
        <v/>
      </c>
      <c r="AR528" s="13" t="str">
        <f>IF(Tabela1[[#This Row],[19_LENGTH]]&lt;&gt;"",IF(ISNUMBER(FIND(",",Tabela1[[#This Row],[19_LENGTH]])),LEN(Tabela1[[#This Row],[19_LENGTH]])-LEN(SUBSTITUTE(Tabela1[[#This Row],[19_LENGTH]],",",""))+1,1),"")</f>
        <v/>
      </c>
      <c r="AS528" s="21">
        <f>SUM(Tabela1[[#This Row],[1_]:[19_]])</f>
        <v>2</v>
      </c>
    </row>
    <row r="529" spans="1:45" x14ac:dyDescent="0.25">
      <c r="A529" s="27" t="s">
        <v>1328</v>
      </c>
      <c r="B529" s="19" t="s">
        <v>934</v>
      </c>
      <c r="C529" s="19">
        <v>94</v>
      </c>
      <c r="D529" s="19" t="s">
        <v>1297</v>
      </c>
      <c r="E529" s="20">
        <v>43542</v>
      </c>
      <c r="F529" s="19"/>
      <c r="G529" s="19" t="s">
        <v>210</v>
      </c>
      <c r="H529" s="19"/>
      <c r="I529" s="19"/>
      <c r="J529" s="19"/>
      <c r="K529" s="19"/>
      <c r="L529" s="19"/>
      <c r="M529" s="19"/>
      <c r="N529" s="19"/>
      <c r="O529" s="19"/>
      <c r="P529" s="19"/>
      <c r="Q529" s="19"/>
      <c r="R529" s="19"/>
      <c r="S529" s="19"/>
      <c r="T529" s="19"/>
      <c r="U529" s="19"/>
      <c r="V529" s="19"/>
      <c r="W529" s="19"/>
      <c r="X529" s="19"/>
      <c r="Y529" s="19"/>
      <c r="Z529" t="str">
        <f>IF(Tabela1[[#This Row],[1]]&lt;&gt;"",IF(ISNUMBER(FIND(",",Tabela1[[#This Row],[1]])),LEN(Tabela1[[#This Row],[1]])-LEN(SUBSTITUTE(Tabela1[[#This Row],[1]],",",""))+1,1),"")</f>
        <v/>
      </c>
      <c r="AA529">
        <f>IF(Tabela1[[#This Row],[2]]&lt;&gt;"",IF(ISNUMBER(FIND(",",Tabela1[[#This Row],[2]])),LEN(Tabela1[[#This Row],[2]])-LEN(SUBSTITUTE(Tabela1[[#This Row],[2]],",",""))+1,1),"")</f>
        <v>2</v>
      </c>
      <c r="AB529" t="str">
        <f>IF(Tabela1[[#This Row],[3]]&lt;&gt;"",IF(ISNUMBER(FIND(",",Tabela1[[#This Row],[3]])),LEN(Tabela1[[#This Row],[3]])-LEN(SUBSTITUTE(Tabela1[[#This Row],[3]],",",""))+1,1),"")</f>
        <v/>
      </c>
      <c r="AC529" t="str">
        <f>IF(Tabela1[[#This Row],[4]]&lt;&gt;"",IF(ISNUMBER(FIND(",",Tabela1[[#This Row],[4]])),LEN(Tabela1[[#This Row],[4]])-LEN(SUBSTITUTE(Tabela1[[#This Row],[4]],",",""))+1,1),"")</f>
        <v/>
      </c>
      <c r="AD529" t="str">
        <f>IF(Tabela1[[#This Row],[5]]&lt;&gt;"",IF(ISNUMBER(FIND(",",Tabela1[[#This Row],[5]])),LEN(Tabela1[[#This Row],[5]])-LEN(SUBSTITUTE(Tabela1[[#This Row],[5]],",",""))+1,1),"")</f>
        <v/>
      </c>
      <c r="AE529" t="str">
        <f>IF(Tabela1[[#This Row],[6]]&lt;&gt;"",IF(ISNUMBER(FIND(",",Tabela1[[#This Row],[6]])),LEN(Tabela1[[#This Row],[6]])-LEN(SUBSTITUTE(Tabela1[[#This Row],[6]],",",""))+1,1),"")</f>
        <v/>
      </c>
      <c r="AF529" t="str">
        <f>IF(Tabela1[[#This Row],[7]]&lt;&gt;"",IF(ISNUMBER(FIND(",",Tabela1[[#This Row],[7]])),LEN(Tabela1[[#This Row],[7]])-LEN(SUBSTITUTE(Tabela1[[#This Row],[7]],",",""))+1,1),"")</f>
        <v/>
      </c>
      <c r="AG529" t="str">
        <f>IF(Tabela1[[#This Row],[8]]&lt;&gt;"",IF(ISNUMBER(FIND(",",Tabela1[[#This Row],[8]])),LEN(Tabela1[[#This Row],[8]])-LEN(SUBSTITUTE(Tabela1[[#This Row],[8]],",",""))+1,1),"")</f>
        <v/>
      </c>
      <c r="AH529" t="str">
        <f>IF(Tabela1[[#This Row],[9]]&lt;&gt;"",IF(ISNUMBER(FIND(",",Tabela1[[#This Row],[9]])),LEN(Tabela1[[#This Row],[9]])-LEN(SUBSTITUTE(Tabela1[[#This Row],[9]],",",""))+1,1),"")</f>
        <v/>
      </c>
      <c r="AI529" t="str">
        <f>IF(Tabela1[[#This Row],[10]]&lt;&gt;"",IF(ISNUMBER(FIND(",",Tabela1[[#This Row],[10]])),LEN(Tabela1[[#This Row],[10]])-LEN(SUBSTITUTE(Tabela1[[#This Row],[10]],",",""))+1,1),"")</f>
        <v/>
      </c>
      <c r="AJ529" t="str">
        <f>IF(Tabela1[[#This Row],[11]]&lt;&gt;"",IF(ISNUMBER(FIND(",",Tabela1[[#This Row],[11]])),LEN(Tabela1[[#This Row],[11]])-LEN(SUBSTITUTE(Tabela1[[#This Row],[11]],",",""))+1,1),"")</f>
        <v/>
      </c>
      <c r="AK529" t="str">
        <f>IF(Tabela1[[#This Row],[12]]&lt;&gt;"",IF(ISNUMBER(FIND(",",Tabela1[[#This Row],[12]])),LEN(Tabela1[[#This Row],[12]])-LEN(SUBSTITUTE(Tabela1[[#This Row],[12]],",",""))+1,1),"")</f>
        <v/>
      </c>
      <c r="AL529" t="str">
        <f>IF(Tabela1[[#This Row],[13]]&lt;&gt;"",IF(ISNUMBER(FIND(",",Tabela1[[#This Row],[13]])),LEN(Tabela1[[#This Row],[13]])-LEN(SUBSTITUTE(Tabela1[[#This Row],[13]],",",""))+1,1),"")</f>
        <v/>
      </c>
      <c r="AM529" t="str">
        <f>IF(Tabela1[[#This Row],[14]]&lt;&gt;"",IF(ISNUMBER(FIND(",",Tabela1[[#This Row],[14]])),LEN(Tabela1[[#This Row],[14]])-LEN(SUBSTITUTE(Tabela1[[#This Row],[14]],",",""))+1,1),"")</f>
        <v/>
      </c>
      <c r="AN529" t="str">
        <f>IF(Tabela1[[#This Row],[15]]&lt;&gt;"",IF(ISNUMBER(FIND(",",Tabela1[[#This Row],[15]])),LEN(Tabela1[[#This Row],[15]])-LEN(SUBSTITUTE(Tabela1[[#This Row],[15]],",",""))+1,1),"")</f>
        <v/>
      </c>
      <c r="AO529" t="str">
        <f>IF(Tabela1[[#This Row],[16]]&lt;&gt;"",IF(ISNUMBER(FIND(",",Tabela1[[#This Row],[16]])),LEN(Tabela1[[#This Row],[16]])-LEN(SUBSTITUTE(Tabela1[[#This Row],[16]],",",""))+1,1),"")</f>
        <v/>
      </c>
      <c r="AP529" t="str">
        <f>IF(Tabela1[[#This Row],[17]]&lt;&gt;"",IF(ISNUMBER(FIND(",",Tabela1[[#This Row],[17]])),LEN(Tabela1[[#This Row],[17]])-LEN(SUBSTITUTE(Tabela1[[#This Row],[17]],",",""))+1,1),"")</f>
        <v/>
      </c>
      <c r="AQ529" t="str">
        <f>IF(Tabela1[[#This Row],[18]]&lt;&gt;"",IF(ISNUMBER(FIND(",",Tabela1[[#This Row],[18]])),LEN(Tabela1[[#This Row],[18]])-LEN(SUBSTITUTE(Tabela1[[#This Row],[18]],",",""))+1,1),"")</f>
        <v/>
      </c>
      <c r="AR529" s="13" t="str">
        <f>IF(Tabela1[[#This Row],[19_LENGTH]]&lt;&gt;"",IF(ISNUMBER(FIND(",",Tabela1[[#This Row],[19_LENGTH]])),LEN(Tabela1[[#This Row],[19_LENGTH]])-LEN(SUBSTITUTE(Tabela1[[#This Row],[19_LENGTH]],",",""))+1,1),"")</f>
        <v/>
      </c>
      <c r="AS529" s="21">
        <f>SUM(Tabela1[[#This Row],[1_]:[19_]])</f>
        <v>2</v>
      </c>
    </row>
    <row r="530" spans="1:45" x14ac:dyDescent="0.25">
      <c r="A530" s="27" t="s">
        <v>1328</v>
      </c>
      <c r="B530" s="19" t="s">
        <v>872</v>
      </c>
      <c r="C530" s="19">
        <v>102</v>
      </c>
      <c r="D530" s="19" t="s">
        <v>1308</v>
      </c>
      <c r="E530" s="20">
        <v>43539</v>
      </c>
      <c r="F530" s="19"/>
      <c r="G530" s="19"/>
      <c r="H530" s="19"/>
      <c r="I530" s="19"/>
      <c r="J530" s="19"/>
      <c r="K530" s="19"/>
      <c r="L530" s="19"/>
      <c r="M530" s="19">
        <v>36</v>
      </c>
      <c r="N530" s="19"/>
      <c r="O530" s="19"/>
      <c r="P530" s="19"/>
      <c r="Q530" s="19"/>
      <c r="R530" s="19"/>
      <c r="S530" s="19"/>
      <c r="T530" s="19"/>
      <c r="U530" s="19"/>
      <c r="V530" s="19"/>
      <c r="W530" s="19"/>
      <c r="X530" s="19"/>
      <c r="Y530" s="19"/>
      <c r="Z530" t="str">
        <f>IF(Tabela1[[#This Row],[1]]&lt;&gt;"",IF(ISNUMBER(FIND(",",Tabela1[[#This Row],[1]])),LEN(Tabela1[[#This Row],[1]])-LEN(SUBSTITUTE(Tabela1[[#This Row],[1]],",",""))+1,1),"")</f>
        <v/>
      </c>
      <c r="AA530" t="str">
        <f>IF(Tabela1[[#This Row],[2]]&lt;&gt;"",IF(ISNUMBER(FIND(",",Tabela1[[#This Row],[2]])),LEN(Tabela1[[#This Row],[2]])-LEN(SUBSTITUTE(Tabela1[[#This Row],[2]],",",""))+1,1),"")</f>
        <v/>
      </c>
      <c r="AB530" t="str">
        <f>IF(Tabela1[[#This Row],[3]]&lt;&gt;"",IF(ISNUMBER(FIND(",",Tabela1[[#This Row],[3]])),LEN(Tabela1[[#This Row],[3]])-LEN(SUBSTITUTE(Tabela1[[#This Row],[3]],",",""))+1,1),"")</f>
        <v/>
      </c>
      <c r="AC530" t="str">
        <f>IF(Tabela1[[#This Row],[4]]&lt;&gt;"",IF(ISNUMBER(FIND(",",Tabela1[[#This Row],[4]])),LEN(Tabela1[[#This Row],[4]])-LEN(SUBSTITUTE(Tabela1[[#This Row],[4]],",",""))+1,1),"")</f>
        <v/>
      </c>
      <c r="AD530" t="str">
        <f>IF(Tabela1[[#This Row],[5]]&lt;&gt;"",IF(ISNUMBER(FIND(",",Tabela1[[#This Row],[5]])),LEN(Tabela1[[#This Row],[5]])-LEN(SUBSTITUTE(Tabela1[[#This Row],[5]],",",""))+1,1),"")</f>
        <v/>
      </c>
      <c r="AE530" t="str">
        <f>IF(Tabela1[[#This Row],[6]]&lt;&gt;"",IF(ISNUMBER(FIND(",",Tabela1[[#This Row],[6]])),LEN(Tabela1[[#This Row],[6]])-LEN(SUBSTITUTE(Tabela1[[#This Row],[6]],",",""))+1,1),"")</f>
        <v/>
      </c>
      <c r="AF530" t="str">
        <f>IF(Tabela1[[#This Row],[7]]&lt;&gt;"",IF(ISNUMBER(FIND(",",Tabela1[[#This Row],[7]])),LEN(Tabela1[[#This Row],[7]])-LEN(SUBSTITUTE(Tabela1[[#This Row],[7]],",",""))+1,1),"")</f>
        <v/>
      </c>
      <c r="AG530">
        <f>IF(Tabela1[[#This Row],[8]]&lt;&gt;"",IF(ISNUMBER(FIND(",",Tabela1[[#This Row],[8]])),LEN(Tabela1[[#This Row],[8]])-LEN(SUBSTITUTE(Tabela1[[#This Row],[8]],",",""))+1,1),"")</f>
        <v>1</v>
      </c>
      <c r="AH530" t="str">
        <f>IF(Tabela1[[#This Row],[9]]&lt;&gt;"",IF(ISNUMBER(FIND(",",Tabela1[[#This Row],[9]])),LEN(Tabela1[[#This Row],[9]])-LEN(SUBSTITUTE(Tabela1[[#This Row],[9]],",",""))+1,1),"")</f>
        <v/>
      </c>
      <c r="AI530" t="str">
        <f>IF(Tabela1[[#This Row],[10]]&lt;&gt;"",IF(ISNUMBER(FIND(",",Tabela1[[#This Row],[10]])),LEN(Tabela1[[#This Row],[10]])-LEN(SUBSTITUTE(Tabela1[[#This Row],[10]],",",""))+1,1),"")</f>
        <v/>
      </c>
      <c r="AJ530" t="str">
        <f>IF(Tabela1[[#This Row],[11]]&lt;&gt;"",IF(ISNUMBER(FIND(",",Tabela1[[#This Row],[11]])),LEN(Tabela1[[#This Row],[11]])-LEN(SUBSTITUTE(Tabela1[[#This Row],[11]],",",""))+1,1),"")</f>
        <v/>
      </c>
      <c r="AK530" t="str">
        <f>IF(Tabela1[[#This Row],[12]]&lt;&gt;"",IF(ISNUMBER(FIND(",",Tabela1[[#This Row],[12]])),LEN(Tabela1[[#This Row],[12]])-LEN(SUBSTITUTE(Tabela1[[#This Row],[12]],",",""))+1,1),"")</f>
        <v/>
      </c>
      <c r="AL530" t="str">
        <f>IF(Tabela1[[#This Row],[13]]&lt;&gt;"",IF(ISNUMBER(FIND(",",Tabela1[[#This Row],[13]])),LEN(Tabela1[[#This Row],[13]])-LEN(SUBSTITUTE(Tabela1[[#This Row],[13]],",",""))+1,1),"")</f>
        <v/>
      </c>
      <c r="AM530" t="str">
        <f>IF(Tabela1[[#This Row],[14]]&lt;&gt;"",IF(ISNUMBER(FIND(",",Tabela1[[#This Row],[14]])),LEN(Tabela1[[#This Row],[14]])-LEN(SUBSTITUTE(Tabela1[[#This Row],[14]],",",""))+1,1),"")</f>
        <v/>
      </c>
      <c r="AN530" t="str">
        <f>IF(Tabela1[[#This Row],[15]]&lt;&gt;"",IF(ISNUMBER(FIND(",",Tabela1[[#This Row],[15]])),LEN(Tabela1[[#This Row],[15]])-LEN(SUBSTITUTE(Tabela1[[#This Row],[15]],",",""))+1,1),"")</f>
        <v/>
      </c>
      <c r="AO530" t="str">
        <f>IF(Tabela1[[#This Row],[16]]&lt;&gt;"",IF(ISNUMBER(FIND(",",Tabela1[[#This Row],[16]])),LEN(Tabela1[[#This Row],[16]])-LEN(SUBSTITUTE(Tabela1[[#This Row],[16]],",",""))+1,1),"")</f>
        <v/>
      </c>
      <c r="AP530" t="str">
        <f>IF(Tabela1[[#This Row],[17]]&lt;&gt;"",IF(ISNUMBER(FIND(",",Tabela1[[#This Row],[17]])),LEN(Tabela1[[#This Row],[17]])-LEN(SUBSTITUTE(Tabela1[[#This Row],[17]],",",""))+1,1),"")</f>
        <v/>
      </c>
      <c r="AQ530" t="str">
        <f>IF(Tabela1[[#This Row],[18]]&lt;&gt;"",IF(ISNUMBER(FIND(",",Tabela1[[#This Row],[18]])),LEN(Tabela1[[#This Row],[18]])-LEN(SUBSTITUTE(Tabela1[[#This Row],[18]],",",""))+1,1),"")</f>
        <v/>
      </c>
      <c r="AR530" s="13" t="str">
        <f>IF(Tabela1[[#This Row],[19_LENGTH]]&lt;&gt;"",IF(ISNUMBER(FIND(",",Tabela1[[#This Row],[19_LENGTH]])),LEN(Tabela1[[#This Row],[19_LENGTH]])-LEN(SUBSTITUTE(Tabela1[[#This Row],[19_LENGTH]],",",""))+1,1),"")</f>
        <v/>
      </c>
      <c r="AS530" s="21">
        <f>SUM(Tabela1[[#This Row],[1_]:[19_]])</f>
        <v>1</v>
      </c>
    </row>
    <row r="531" spans="1:45" x14ac:dyDescent="0.25">
      <c r="A531" s="27" t="s">
        <v>1328</v>
      </c>
      <c r="B531" s="19" t="s">
        <v>873</v>
      </c>
      <c r="C531" s="19">
        <v>102</v>
      </c>
      <c r="D531" s="19" t="s">
        <v>1308</v>
      </c>
      <c r="E531" s="20">
        <v>43539</v>
      </c>
      <c r="F531" s="19"/>
      <c r="G531" s="19"/>
      <c r="H531" s="19"/>
      <c r="I531" s="19"/>
      <c r="J531" s="19"/>
      <c r="K531" s="19"/>
      <c r="L531" s="19"/>
      <c r="M531" s="19"/>
      <c r="N531" s="19" t="s">
        <v>211</v>
      </c>
      <c r="O531" s="19"/>
      <c r="P531" s="19"/>
      <c r="Q531" s="19"/>
      <c r="R531" s="19"/>
      <c r="S531" s="19"/>
      <c r="T531" s="19"/>
      <c r="U531" s="19"/>
      <c r="V531" s="19"/>
      <c r="W531" s="19">
        <v>93</v>
      </c>
      <c r="X531" s="19"/>
      <c r="Y531" s="19"/>
      <c r="Z531" t="str">
        <f>IF(Tabela1[[#This Row],[1]]&lt;&gt;"",IF(ISNUMBER(FIND(",",Tabela1[[#This Row],[1]])),LEN(Tabela1[[#This Row],[1]])-LEN(SUBSTITUTE(Tabela1[[#This Row],[1]],",",""))+1,1),"")</f>
        <v/>
      </c>
      <c r="AA531" t="str">
        <f>IF(Tabela1[[#This Row],[2]]&lt;&gt;"",IF(ISNUMBER(FIND(",",Tabela1[[#This Row],[2]])),LEN(Tabela1[[#This Row],[2]])-LEN(SUBSTITUTE(Tabela1[[#This Row],[2]],",",""))+1,1),"")</f>
        <v/>
      </c>
      <c r="AB531" t="str">
        <f>IF(Tabela1[[#This Row],[3]]&lt;&gt;"",IF(ISNUMBER(FIND(",",Tabela1[[#This Row],[3]])),LEN(Tabela1[[#This Row],[3]])-LEN(SUBSTITUTE(Tabela1[[#This Row],[3]],",",""))+1,1),"")</f>
        <v/>
      </c>
      <c r="AC531" t="str">
        <f>IF(Tabela1[[#This Row],[4]]&lt;&gt;"",IF(ISNUMBER(FIND(",",Tabela1[[#This Row],[4]])),LEN(Tabela1[[#This Row],[4]])-LEN(SUBSTITUTE(Tabela1[[#This Row],[4]],",",""))+1,1),"")</f>
        <v/>
      </c>
      <c r="AD531" t="str">
        <f>IF(Tabela1[[#This Row],[5]]&lt;&gt;"",IF(ISNUMBER(FIND(",",Tabela1[[#This Row],[5]])),LEN(Tabela1[[#This Row],[5]])-LEN(SUBSTITUTE(Tabela1[[#This Row],[5]],",",""))+1,1),"")</f>
        <v/>
      </c>
      <c r="AE531" t="str">
        <f>IF(Tabela1[[#This Row],[6]]&lt;&gt;"",IF(ISNUMBER(FIND(",",Tabela1[[#This Row],[6]])),LEN(Tabela1[[#This Row],[6]])-LEN(SUBSTITUTE(Tabela1[[#This Row],[6]],",",""))+1,1),"")</f>
        <v/>
      </c>
      <c r="AF531" t="str">
        <f>IF(Tabela1[[#This Row],[7]]&lt;&gt;"",IF(ISNUMBER(FIND(",",Tabela1[[#This Row],[7]])),LEN(Tabela1[[#This Row],[7]])-LEN(SUBSTITUTE(Tabela1[[#This Row],[7]],",",""))+1,1),"")</f>
        <v/>
      </c>
      <c r="AG531" t="str">
        <f>IF(Tabela1[[#This Row],[8]]&lt;&gt;"",IF(ISNUMBER(FIND(",",Tabela1[[#This Row],[8]])),LEN(Tabela1[[#This Row],[8]])-LEN(SUBSTITUTE(Tabela1[[#This Row],[8]],",",""))+1,1),"")</f>
        <v/>
      </c>
      <c r="AH531">
        <f>IF(Tabela1[[#This Row],[9]]&lt;&gt;"",IF(ISNUMBER(FIND(",",Tabela1[[#This Row],[9]])),LEN(Tabela1[[#This Row],[9]])-LEN(SUBSTITUTE(Tabela1[[#This Row],[9]],",",""))+1,1),"")</f>
        <v>1</v>
      </c>
      <c r="AI531" t="str">
        <f>IF(Tabela1[[#This Row],[10]]&lt;&gt;"",IF(ISNUMBER(FIND(",",Tabela1[[#This Row],[10]])),LEN(Tabela1[[#This Row],[10]])-LEN(SUBSTITUTE(Tabela1[[#This Row],[10]],",",""))+1,1),"")</f>
        <v/>
      </c>
      <c r="AJ531" t="str">
        <f>IF(Tabela1[[#This Row],[11]]&lt;&gt;"",IF(ISNUMBER(FIND(",",Tabela1[[#This Row],[11]])),LEN(Tabela1[[#This Row],[11]])-LEN(SUBSTITUTE(Tabela1[[#This Row],[11]],",",""))+1,1),"")</f>
        <v/>
      </c>
      <c r="AK531" t="str">
        <f>IF(Tabela1[[#This Row],[12]]&lt;&gt;"",IF(ISNUMBER(FIND(",",Tabela1[[#This Row],[12]])),LEN(Tabela1[[#This Row],[12]])-LEN(SUBSTITUTE(Tabela1[[#This Row],[12]],",",""))+1,1),"")</f>
        <v/>
      </c>
      <c r="AL531" t="str">
        <f>IF(Tabela1[[#This Row],[13]]&lt;&gt;"",IF(ISNUMBER(FIND(",",Tabela1[[#This Row],[13]])),LEN(Tabela1[[#This Row],[13]])-LEN(SUBSTITUTE(Tabela1[[#This Row],[13]],",",""))+1,1),"")</f>
        <v/>
      </c>
      <c r="AM531" t="str">
        <f>IF(Tabela1[[#This Row],[14]]&lt;&gt;"",IF(ISNUMBER(FIND(",",Tabela1[[#This Row],[14]])),LEN(Tabela1[[#This Row],[14]])-LEN(SUBSTITUTE(Tabela1[[#This Row],[14]],",",""))+1,1),"")</f>
        <v/>
      </c>
      <c r="AN531" t="str">
        <f>IF(Tabela1[[#This Row],[15]]&lt;&gt;"",IF(ISNUMBER(FIND(",",Tabela1[[#This Row],[15]])),LEN(Tabela1[[#This Row],[15]])-LEN(SUBSTITUTE(Tabela1[[#This Row],[15]],",",""))+1,1),"")</f>
        <v/>
      </c>
      <c r="AO531" t="str">
        <f>IF(Tabela1[[#This Row],[16]]&lt;&gt;"",IF(ISNUMBER(FIND(",",Tabela1[[#This Row],[16]])),LEN(Tabela1[[#This Row],[16]])-LEN(SUBSTITUTE(Tabela1[[#This Row],[16]],",",""))+1,1),"")</f>
        <v/>
      </c>
      <c r="AP531" t="str">
        <f>IF(Tabela1[[#This Row],[17]]&lt;&gt;"",IF(ISNUMBER(FIND(",",Tabela1[[#This Row],[17]])),LEN(Tabela1[[#This Row],[17]])-LEN(SUBSTITUTE(Tabela1[[#This Row],[17]],",",""))+1,1),"")</f>
        <v/>
      </c>
      <c r="AQ531">
        <f>IF(Tabela1[[#This Row],[18]]&lt;&gt;"",IF(ISNUMBER(FIND(",",Tabela1[[#This Row],[18]])),LEN(Tabela1[[#This Row],[18]])-LEN(SUBSTITUTE(Tabela1[[#This Row],[18]],",",""))+1,1),"")</f>
        <v>1</v>
      </c>
      <c r="AR531" s="13" t="str">
        <f>IF(Tabela1[[#This Row],[19_LENGTH]]&lt;&gt;"",IF(ISNUMBER(FIND(",",Tabela1[[#This Row],[19_LENGTH]])),LEN(Tabela1[[#This Row],[19_LENGTH]])-LEN(SUBSTITUTE(Tabela1[[#This Row],[19_LENGTH]],",",""))+1,1),"")</f>
        <v/>
      </c>
      <c r="AS531" s="21">
        <f>SUM(Tabela1[[#This Row],[1_]:[19_]])</f>
        <v>2</v>
      </c>
    </row>
    <row r="532" spans="1:45" x14ac:dyDescent="0.25">
      <c r="A532" s="27" t="s">
        <v>1328</v>
      </c>
      <c r="B532" s="19" t="s">
        <v>581</v>
      </c>
      <c r="C532" s="19">
        <v>102</v>
      </c>
      <c r="D532" s="19" t="s">
        <v>1308</v>
      </c>
      <c r="E532" s="20">
        <v>43539</v>
      </c>
      <c r="F532" s="19"/>
      <c r="G532" s="19"/>
      <c r="H532" s="19"/>
      <c r="I532" s="19"/>
      <c r="J532" s="19"/>
      <c r="K532" s="19"/>
      <c r="L532" s="19"/>
      <c r="M532" s="19"/>
      <c r="N532" s="19"/>
      <c r="O532" s="19"/>
      <c r="P532" s="19"/>
      <c r="Q532" s="19"/>
      <c r="R532" s="19"/>
      <c r="S532" s="19"/>
      <c r="T532" s="19"/>
      <c r="U532" s="19"/>
      <c r="V532" s="19"/>
      <c r="W532" s="19">
        <v>79</v>
      </c>
      <c r="X532" s="19"/>
      <c r="Y532" s="19"/>
      <c r="Z532" t="str">
        <f>IF(Tabela1[[#This Row],[1]]&lt;&gt;"",IF(ISNUMBER(FIND(",",Tabela1[[#This Row],[1]])),LEN(Tabela1[[#This Row],[1]])-LEN(SUBSTITUTE(Tabela1[[#This Row],[1]],",",""))+1,1),"")</f>
        <v/>
      </c>
      <c r="AA532" t="str">
        <f>IF(Tabela1[[#This Row],[2]]&lt;&gt;"",IF(ISNUMBER(FIND(",",Tabela1[[#This Row],[2]])),LEN(Tabela1[[#This Row],[2]])-LEN(SUBSTITUTE(Tabela1[[#This Row],[2]],",",""))+1,1),"")</f>
        <v/>
      </c>
      <c r="AB532" t="str">
        <f>IF(Tabela1[[#This Row],[3]]&lt;&gt;"",IF(ISNUMBER(FIND(",",Tabela1[[#This Row],[3]])),LEN(Tabela1[[#This Row],[3]])-LEN(SUBSTITUTE(Tabela1[[#This Row],[3]],",",""))+1,1),"")</f>
        <v/>
      </c>
      <c r="AC532" t="str">
        <f>IF(Tabela1[[#This Row],[4]]&lt;&gt;"",IF(ISNUMBER(FIND(",",Tabela1[[#This Row],[4]])),LEN(Tabela1[[#This Row],[4]])-LEN(SUBSTITUTE(Tabela1[[#This Row],[4]],",",""))+1,1),"")</f>
        <v/>
      </c>
      <c r="AD532" t="str">
        <f>IF(Tabela1[[#This Row],[5]]&lt;&gt;"",IF(ISNUMBER(FIND(",",Tabela1[[#This Row],[5]])),LEN(Tabela1[[#This Row],[5]])-LEN(SUBSTITUTE(Tabela1[[#This Row],[5]],",",""))+1,1),"")</f>
        <v/>
      </c>
      <c r="AE532" t="str">
        <f>IF(Tabela1[[#This Row],[6]]&lt;&gt;"",IF(ISNUMBER(FIND(",",Tabela1[[#This Row],[6]])),LEN(Tabela1[[#This Row],[6]])-LEN(SUBSTITUTE(Tabela1[[#This Row],[6]],",",""))+1,1),"")</f>
        <v/>
      </c>
      <c r="AF532" t="str">
        <f>IF(Tabela1[[#This Row],[7]]&lt;&gt;"",IF(ISNUMBER(FIND(",",Tabela1[[#This Row],[7]])),LEN(Tabela1[[#This Row],[7]])-LEN(SUBSTITUTE(Tabela1[[#This Row],[7]],",",""))+1,1),"")</f>
        <v/>
      </c>
      <c r="AG532" t="str">
        <f>IF(Tabela1[[#This Row],[8]]&lt;&gt;"",IF(ISNUMBER(FIND(",",Tabela1[[#This Row],[8]])),LEN(Tabela1[[#This Row],[8]])-LEN(SUBSTITUTE(Tabela1[[#This Row],[8]],",",""))+1,1),"")</f>
        <v/>
      </c>
      <c r="AH532" t="str">
        <f>IF(Tabela1[[#This Row],[9]]&lt;&gt;"",IF(ISNUMBER(FIND(",",Tabela1[[#This Row],[9]])),LEN(Tabela1[[#This Row],[9]])-LEN(SUBSTITUTE(Tabela1[[#This Row],[9]],",",""))+1,1),"")</f>
        <v/>
      </c>
      <c r="AI532" t="str">
        <f>IF(Tabela1[[#This Row],[10]]&lt;&gt;"",IF(ISNUMBER(FIND(",",Tabela1[[#This Row],[10]])),LEN(Tabela1[[#This Row],[10]])-LEN(SUBSTITUTE(Tabela1[[#This Row],[10]],",",""))+1,1),"")</f>
        <v/>
      </c>
      <c r="AJ532" t="str">
        <f>IF(Tabela1[[#This Row],[11]]&lt;&gt;"",IF(ISNUMBER(FIND(",",Tabela1[[#This Row],[11]])),LEN(Tabela1[[#This Row],[11]])-LEN(SUBSTITUTE(Tabela1[[#This Row],[11]],",",""))+1,1),"")</f>
        <v/>
      </c>
      <c r="AK532" t="str">
        <f>IF(Tabela1[[#This Row],[12]]&lt;&gt;"",IF(ISNUMBER(FIND(",",Tabela1[[#This Row],[12]])),LEN(Tabela1[[#This Row],[12]])-LEN(SUBSTITUTE(Tabela1[[#This Row],[12]],",",""))+1,1),"")</f>
        <v/>
      </c>
      <c r="AL532" t="str">
        <f>IF(Tabela1[[#This Row],[13]]&lt;&gt;"",IF(ISNUMBER(FIND(",",Tabela1[[#This Row],[13]])),LEN(Tabela1[[#This Row],[13]])-LEN(SUBSTITUTE(Tabela1[[#This Row],[13]],",",""))+1,1),"")</f>
        <v/>
      </c>
      <c r="AM532" t="str">
        <f>IF(Tabela1[[#This Row],[14]]&lt;&gt;"",IF(ISNUMBER(FIND(",",Tabela1[[#This Row],[14]])),LEN(Tabela1[[#This Row],[14]])-LEN(SUBSTITUTE(Tabela1[[#This Row],[14]],",",""))+1,1),"")</f>
        <v/>
      </c>
      <c r="AN532" t="str">
        <f>IF(Tabela1[[#This Row],[15]]&lt;&gt;"",IF(ISNUMBER(FIND(",",Tabela1[[#This Row],[15]])),LEN(Tabela1[[#This Row],[15]])-LEN(SUBSTITUTE(Tabela1[[#This Row],[15]],",",""))+1,1),"")</f>
        <v/>
      </c>
      <c r="AO532" t="str">
        <f>IF(Tabela1[[#This Row],[16]]&lt;&gt;"",IF(ISNUMBER(FIND(",",Tabela1[[#This Row],[16]])),LEN(Tabela1[[#This Row],[16]])-LEN(SUBSTITUTE(Tabela1[[#This Row],[16]],",",""))+1,1),"")</f>
        <v/>
      </c>
      <c r="AP532" t="str">
        <f>IF(Tabela1[[#This Row],[17]]&lt;&gt;"",IF(ISNUMBER(FIND(",",Tabela1[[#This Row],[17]])),LEN(Tabela1[[#This Row],[17]])-LEN(SUBSTITUTE(Tabela1[[#This Row],[17]],",",""))+1,1),"")</f>
        <v/>
      </c>
      <c r="AQ532">
        <f>IF(Tabela1[[#This Row],[18]]&lt;&gt;"",IF(ISNUMBER(FIND(",",Tabela1[[#This Row],[18]])),LEN(Tabela1[[#This Row],[18]])-LEN(SUBSTITUTE(Tabela1[[#This Row],[18]],",",""))+1,1),"")</f>
        <v>1</v>
      </c>
      <c r="AR532" s="13" t="str">
        <f>IF(Tabela1[[#This Row],[19_LENGTH]]&lt;&gt;"",IF(ISNUMBER(FIND(",",Tabela1[[#This Row],[19_LENGTH]])),LEN(Tabela1[[#This Row],[19_LENGTH]])-LEN(SUBSTITUTE(Tabela1[[#This Row],[19_LENGTH]],",",""))+1,1),"")</f>
        <v/>
      </c>
      <c r="AS532" s="21">
        <f>SUM(Tabela1[[#This Row],[1_]:[19_]])</f>
        <v>1</v>
      </c>
    </row>
    <row r="533" spans="1:45" x14ac:dyDescent="0.25">
      <c r="A533" s="27" t="s">
        <v>1328</v>
      </c>
      <c r="B533" s="19" t="s">
        <v>874</v>
      </c>
      <c r="C533" s="19">
        <v>102</v>
      </c>
      <c r="D533" s="19" t="s">
        <v>1308</v>
      </c>
      <c r="E533" s="20">
        <v>43539</v>
      </c>
      <c r="F533" s="19"/>
      <c r="G533" s="19"/>
      <c r="H533" s="19"/>
      <c r="I533" s="19"/>
      <c r="J533" s="19"/>
      <c r="K533" s="19"/>
      <c r="L533" s="19"/>
      <c r="M533" s="19"/>
      <c r="N533" s="19"/>
      <c r="O533" s="19"/>
      <c r="P533" s="19"/>
      <c r="Q533" s="19"/>
      <c r="R533" s="19"/>
      <c r="S533" s="19"/>
      <c r="T533" s="19"/>
      <c r="U533" s="19" t="s">
        <v>212</v>
      </c>
      <c r="V533" s="19"/>
      <c r="W533" s="19"/>
      <c r="X533" s="19"/>
      <c r="Y533" s="19"/>
      <c r="Z533" t="str">
        <f>IF(Tabela1[[#This Row],[1]]&lt;&gt;"",IF(ISNUMBER(FIND(",",Tabela1[[#This Row],[1]])),LEN(Tabela1[[#This Row],[1]])-LEN(SUBSTITUTE(Tabela1[[#This Row],[1]],",",""))+1,1),"")</f>
        <v/>
      </c>
      <c r="AA533" t="str">
        <f>IF(Tabela1[[#This Row],[2]]&lt;&gt;"",IF(ISNUMBER(FIND(",",Tabela1[[#This Row],[2]])),LEN(Tabela1[[#This Row],[2]])-LEN(SUBSTITUTE(Tabela1[[#This Row],[2]],",",""))+1,1),"")</f>
        <v/>
      </c>
      <c r="AB533" t="str">
        <f>IF(Tabela1[[#This Row],[3]]&lt;&gt;"",IF(ISNUMBER(FIND(",",Tabela1[[#This Row],[3]])),LEN(Tabela1[[#This Row],[3]])-LEN(SUBSTITUTE(Tabela1[[#This Row],[3]],",",""))+1,1),"")</f>
        <v/>
      </c>
      <c r="AC533" t="str">
        <f>IF(Tabela1[[#This Row],[4]]&lt;&gt;"",IF(ISNUMBER(FIND(",",Tabela1[[#This Row],[4]])),LEN(Tabela1[[#This Row],[4]])-LEN(SUBSTITUTE(Tabela1[[#This Row],[4]],",",""))+1,1),"")</f>
        <v/>
      </c>
      <c r="AD533" t="str">
        <f>IF(Tabela1[[#This Row],[5]]&lt;&gt;"",IF(ISNUMBER(FIND(",",Tabela1[[#This Row],[5]])),LEN(Tabela1[[#This Row],[5]])-LEN(SUBSTITUTE(Tabela1[[#This Row],[5]],",",""))+1,1),"")</f>
        <v/>
      </c>
      <c r="AE533" t="str">
        <f>IF(Tabela1[[#This Row],[6]]&lt;&gt;"",IF(ISNUMBER(FIND(",",Tabela1[[#This Row],[6]])),LEN(Tabela1[[#This Row],[6]])-LEN(SUBSTITUTE(Tabela1[[#This Row],[6]],",",""))+1,1),"")</f>
        <v/>
      </c>
      <c r="AF533" t="str">
        <f>IF(Tabela1[[#This Row],[7]]&lt;&gt;"",IF(ISNUMBER(FIND(",",Tabela1[[#This Row],[7]])),LEN(Tabela1[[#This Row],[7]])-LEN(SUBSTITUTE(Tabela1[[#This Row],[7]],",",""))+1,1),"")</f>
        <v/>
      </c>
      <c r="AG533" t="str">
        <f>IF(Tabela1[[#This Row],[8]]&lt;&gt;"",IF(ISNUMBER(FIND(",",Tabela1[[#This Row],[8]])),LEN(Tabela1[[#This Row],[8]])-LEN(SUBSTITUTE(Tabela1[[#This Row],[8]],",",""))+1,1),"")</f>
        <v/>
      </c>
      <c r="AH533" t="str">
        <f>IF(Tabela1[[#This Row],[9]]&lt;&gt;"",IF(ISNUMBER(FIND(",",Tabela1[[#This Row],[9]])),LEN(Tabela1[[#This Row],[9]])-LEN(SUBSTITUTE(Tabela1[[#This Row],[9]],",",""))+1,1),"")</f>
        <v/>
      </c>
      <c r="AI533" t="str">
        <f>IF(Tabela1[[#This Row],[10]]&lt;&gt;"",IF(ISNUMBER(FIND(",",Tabela1[[#This Row],[10]])),LEN(Tabela1[[#This Row],[10]])-LEN(SUBSTITUTE(Tabela1[[#This Row],[10]],",",""))+1,1),"")</f>
        <v/>
      </c>
      <c r="AJ533" t="str">
        <f>IF(Tabela1[[#This Row],[11]]&lt;&gt;"",IF(ISNUMBER(FIND(",",Tabela1[[#This Row],[11]])),LEN(Tabela1[[#This Row],[11]])-LEN(SUBSTITUTE(Tabela1[[#This Row],[11]],",",""))+1,1),"")</f>
        <v/>
      </c>
      <c r="AK533" t="str">
        <f>IF(Tabela1[[#This Row],[12]]&lt;&gt;"",IF(ISNUMBER(FIND(",",Tabela1[[#This Row],[12]])),LEN(Tabela1[[#This Row],[12]])-LEN(SUBSTITUTE(Tabela1[[#This Row],[12]],",",""))+1,1),"")</f>
        <v/>
      </c>
      <c r="AL533" t="str">
        <f>IF(Tabela1[[#This Row],[13]]&lt;&gt;"",IF(ISNUMBER(FIND(",",Tabela1[[#This Row],[13]])),LEN(Tabela1[[#This Row],[13]])-LEN(SUBSTITUTE(Tabela1[[#This Row],[13]],",",""))+1,1),"")</f>
        <v/>
      </c>
      <c r="AM533" t="str">
        <f>IF(Tabela1[[#This Row],[14]]&lt;&gt;"",IF(ISNUMBER(FIND(",",Tabela1[[#This Row],[14]])),LEN(Tabela1[[#This Row],[14]])-LEN(SUBSTITUTE(Tabela1[[#This Row],[14]],",",""))+1,1),"")</f>
        <v/>
      </c>
      <c r="AN533" t="str">
        <f>IF(Tabela1[[#This Row],[15]]&lt;&gt;"",IF(ISNUMBER(FIND(",",Tabela1[[#This Row],[15]])),LEN(Tabela1[[#This Row],[15]])-LEN(SUBSTITUTE(Tabela1[[#This Row],[15]],",",""))+1,1),"")</f>
        <v/>
      </c>
      <c r="AO533">
        <f>IF(Tabela1[[#This Row],[16]]&lt;&gt;"",IF(ISNUMBER(FIND(",",Tabela1[[#This Row],[16]])),LEN(Tabela1[[#This Row],[16]])-LEN(SUBSTITUTE(Tabela1[[#This Row],[16]],",",""))+1,1),"")</f>
        <v>2</v>
      </c>
      <c r="AP533" t="str">
        <f>IF(Tabela1[[#This Row],[17]]&lt;&gt;"",IF(ISNUMBER(FIND(",",Tabela1[[#This Row],[17]])),LEN(Tabela1[[#This Row],[17]])-LEN(SUBSTITUTE(Tabela1[[#This Row],[17]],",",""))+1,1),"")</f>
        <v/>
      </c>
      <c r="AQ533" t="str">
        <f>IF(Tabela1[[#This Row],[18]]&lt;&gt;"",IF(ISNUMBER(FIND(",",Tabela1[[#This Row],[18]])),LEN(Tabela1[[#This Row],[18]])-LEN(SUBSTITUTE(Tabela1[[#This Row],[18]],",",""))+1,1),"")</f>
        <v/>
      </c>
      <c r="AR533" s="13" t="str">
        <f>IF(Tabela1[[#This Row],[19_LENGTH]]&lt;&gt;"",IF(ISNUMBER(FIND(",",Tabela1[[#This Row],[19_LENGTH]])),LEN(Tabela1[[#This Row],[19_LENGTH]])-LEN(SUBSTITUTE(Tabela1[[#This Row],[19_LENGTH]],",",""))+1,1),"")</f>
        <v/>
      </c>
      <c r="AS533" s="21">
        <f>SUM(Tabela1[[#This Row],[1_]:[19_]])</f>
        <v>2</v>
      </c>
    </row>
    <row r="534" spans="1:45" x14ac:dyDescent="0.25">
      <c r="A534" s="27" t="s">
        <v>1328</v>
      </c>
      <c r="B534" s="19" t="s">
        <v>875</v>
      </c>
      <c r="C534" s="19">
        <v>102</v>
      </c>
      <c r="D534" s="19" t="s">
        <v>1308</v>
      </c>
      <c r="E534" s="20">
        <v>43539</v>
      </c>
      <c r="F534" s="19"/>
      <c r="G534" s="19"/>
      <c r="H534" s="19"/>
      <c r="I534" s="19"/>
      <c r="J534" s="19"/>
      <c r="K534" s="19"/>
      <c r="L534" s="19"/>
      <c r="M534" s="19"/>
      <c r="N534" s="19"/>
      <c r="O534" s="19"/>
      <c r="P534" s="19"/>
      <c r="Q534" s="19"/>
      <c r="R534" s="19"/>
      <c r="S534" s="19"/>
      <c r="T534" s="19"/>
      <c r="U534" s="19">
        <v>92</v>
      </c>
      <c r="V534" s="19"/>
      <c r="W534" s="19"/>
      <c r="X534" s="19"/>
      <c r="Y534" s="19"/>
      <c r="Z534" t="str">
        <f>IF(Tabela1[[#This Row],[1]]&lt;&gt;"",IF(ISNUMBER(FIND(",",Tabela1[[#This Row],[1]])),LEN(Tabela1[[#This Row],[1]])-LEN(SUBSTITUTE(Tabela1[[#This Row],[1]],",",""))+1,1),"")</f>
        <v/>
      </c>
      <c r="AA534" t="str">
        <f>IF(Tabela1[[#This Row],[2]]&lt;&gt;"",IF(ISNUMBER(FIND(",",Tabela1[[#This Row],[2]])),LEN(Tabela1[[#This Row],[2]])-LEN(SUBSTITUTE(Tabela1[[#This Row],[2]],",",""))+1,1),"")</f>
        <v/>
      </c>
      <c r="AB534" t="str">
        <f>IF(Tabela1[[#This Row],[3]]&lt;&gt;"",IF(ISNUMBER(FIND(",",Tabela1[[#This Row],[3]])),LEN(Tabela1[[#This Row],[3]])-LEN(SUBSTITUTE(Tabela1[[#This Row],[3]],",",""))+1,1),"")</f>
        <v/>
      </c>
      <c r="AC534" t="str">
        <f>IF(Tabela1[[#This Row],[4]]&lt;&gt;"",IF(ISNUMBER(FIND(",",Tabela1[[#This Row],[4]])),LEN(Tabela1[[#This Row],[4]])-LEN(SUBSTITUTE(Tabela1[[#This Row],[4]],",",""))+1,1),"")</f>
        <v/>
      </c>
      <c r="AD534" t="str">
        <f>IF(Tabela1[[#This Row],[5]]&lt;&gt;"",IF(ISNUMBER(FIND(",",Tabela1[[#This Row],[5]])),LEN(Tabela1[[#This Row],[5]])-LEN(SUBSTITUTE(Tabela1[[#This Row],[5]],",",""))+1,1),"")</f>
        <v/>
      </c>
      <c r="AE534" t="str">
        <f>IF(Tabela1[[#This Row],[6]]&lt;&gt;"",IF(ISNUMBER(FIND(",",Tabela1[[#This Row],[6]])),LEN(Tabela1[[#This Row],[6]])-LEN(SUBSTITUTE(Tabela1[[#This Row],[6]],",",""))+1,1),"")</f>
        <v/>
      </c>
      <c r="AF534" t="str">
        <f>IF(Tabela1[[#This Row],[7]]&lt;&gt;"",IF(ISNUMBER(FIND(",",Tabela1[[#This Row],[7]])),LEN(Tabela1[[#This Row],[7]])-LEN(SUBSTITUTE(Tabela1[[#This Row],[7]],",",""))+1,1),"")</f>
        <v/>
      </c>
      <c r="AG534" t="str">
        <f>IF(Tabela1[[#This Row],[8]]&lt;&gt;"",IF(ISNUMBER(FIND(",",Tabela1[[#This Row],[8]])),LEN(Tabela1[[#This Row],[8]])-LEN(SUBSTITUTE(Tabela1[[#This Row],[8]],",",""))+1,1),"")</f>
        <v/>
      </c>
      <c r="AH534" t="str">
        <f>IF(Tabela1[[#This Row],[9]]&lt;&gt;"",IF(ISNUMBER(FIND(",",Tabela1[[#This Row],[9]])),LEN(Tabela1[[#This Row],[9]])-LEN(SUBSTITUTE(Tabela1[[#This Row],[9]],",",""))+1,1),"")</f>
        <v/>
      </c>
      <c r="AI534" t="str">
        <f>IF(Tabela1[[#This Row],[10]]&lt;&gt;"",IF(ISNUMBER(FIND(",",Tabela1[[#This Row],[10]])),LEN(Tabela1[[#This Row],[10]])-LEN(SUBSTITUTE(Tabela1[[#This Row],[10]],",",""))+1,1),"")</f>
        <v/>
      </c>
      <c r="AJ534" t="str">
        <f>IF(Tabela1[[#This Row],[11]]&lt;&gt;"",IF(ISNUMBER(FIND(",",Tabela1[[#This Row],[11]])),LEN(Tabela1[[#This Row],[11]])-LEN(SUBSTITUTE(Tabela1[[#This Row],[11]],",",""))+1,1),"")</f>
        <v/>
      </c>
      <c r="AK534" t="str">
        <f>IF(Tabela1[[#This Row],[12]]&lt;&gt;"",IF(ISNUMBER(FIND(",",Tabela1[[#This Row],[12]])),LEN(Tabela1[[#This Row],[12]])-LEN(SUBSTITUTE(Tabela1[[#This Row],[12]],",",""))+1,1),"")</f>
        <v/>
      </c>
      <c r="AL534" t="str">
        <f>IF(Tabela1[[#This Row],[13]]&lt;&gt;"",IF(ISNUMBER(FIND(",",Tabela1[[#This Row],[13]])),LEN(Tabela1[[#This Row],[13]])-LEN(SUBSTITUTE(Tabela1[[#This Row],[13]],",",""))+1,1),"")</f>
        <v/>
      </c>
      <c r="AM534" t="str">
        <f>IF(Tabela1[[#This Row],[14]]&lt;&gt;"",IF(ISNUMBER(FIND(",",Tabela1[[#This Row],[14]])),LEN(Tabela1[[#This Row],[14]])-LEN(SUBSTITUTE(Tabela1[[#This Row],[14]],",",""))+1,1),"")</f>
        <v/>
      </c>
      <c r="AN534" t="str">
        <f>IF(Tabela1[[#This Row],[15]]&lt;&gt;"",IF(ISNUMBER(FIND(",",Tabela1[[#This Row],[15]])),LEN(Tabela1[[#This Row],[15]])-LEN(SUBSTITUTE(Tabela1[[#This Row],[15]],",",""))+1,1),"")</f>
        <v/>
      </c>
      <c r="AO534">
        <f>IF(Tabela1[[#This Row],[16]]&lt;&gt;"",IF(ISNUMBER(FIND(",",Tabela1[[#This Row],[16]])),LEN(Tabela1[[#This Row],[16]])-LEN(SUBSTITUTE(Tabela1[[#This Row],[16]],",",""))+1,1),"")</f>
        <v>1</v>
      </c>
      <c r="AP534" t="str">
        <f>IF(Tabela1[[#This Row],[17]]&lt;&gt;"",IF(ISNUMBER(FIND(",",Tabela1[[#This Row],[17]])),LEN(Tabela1[[#This Row],[17]])-LEN(SUBSTITUTE(Tabela1[[#This Row],[17]],",",""))+1,1),"")</f>
        <v/>
      </c>
      <c r="AQ534" t="str">
        <f>IF(Tabela1[[#This Row],[18]]&lt;&gt;"",IF(ISNUMBER(FIND(",",Tabela1[[#This Row],[18]])),LEN(Tabela1[[#This Row],[18]])-LEN(SUBSTITUTE(Tabela1[[#This Row],[18]],",",""))+1,1),"")</f>
        <v/>
      </c>
      <c r="AR534" s="13" t="str">
        <f>IF(Tabela1[[#This Row],[19_LENGTH]]&lt;&gt;"",IF(ISNUMBER(FIND(",",Tabela1[[#This Row],[19_LENGTH]])),LEN(Tabela1[[#This Row],[19_LENGTH]])-LEN(SUBSTITUTE(Tabela1[[#This Row],[19_LENGTH]],",",""))+1,1),"")</f>
        <v/>
      </c>
      <c r="AS534" s="21">
        <f>SUM(Tabela1[[#This Row],[1_]:[19_]])</f>
        <v>1</v>
      </c>
    </row>
    <row r="535" spans="1:45" x14ac:dyDescent="0.25">
      <c r="A535" s="27" t="s">
        <v>1327</v>
      </c>
      <c r="B535" s="19" t="s">
        <v>876</v>
      </c>
      <c r="C535" s="19">
        <v>202</v>
      </c>
      <c r="D535" s="19" t="s">
        <v>1304</v>
      </c>
      <c r="E535" s="20">
        <v>43539</v>
      </c>
      <c r="F535" s="19"/>
      <c r="G535" s="19"/>
      <c r="H535" s="19"/>
      <c r="I535" s="19"/>
      <c r="J535" s="19"/>
      <c r="K535" s="19"/>
      <c r="L535" s="19"/>
      <c r="M535" s="19"/>
      <c r="N535" s="19"/>
      <c r="O535" s="19"/>
      <c r="P535" s="19"/>
      <c r="Q535" s="19"/>
      <c r="R535" s="19"/>
      <c r="S535" s="19"/>
      <c r="T535" s="19"/>
      <c r="U535" s="19">
        <v>50</v>
      </c>
      <c r="V535" s="19"/>
      <c r="W535" s="19"/>
      <c r="X535" s="19" t="s">
        <v>95</v>
      </c>
      <c r="Y535" s="19">
        <v>50</v>
      </c>
      <c r="Z535" t="str">
        <f>IF(Tabela1[[#This Row],[1]]&lt;&gt;"",IF(ISNUMBER(FIND(",",Tabela1[[#This Row],[1]])),LEN(Tabela1[[#This Row],[1]])-LEN(SUBSTITUTE(Tabela1[[#This Row],[1]],",",""))+1,1),"")</f>
        <v/>
      </c>
      <c r="AA535" t="str">
        <f>IF(Tabela1[[#This Row],[2]]&lt;&gt;"",IF(ISNUMBER(FIND(",",Tabela1[[#This Row],[2]])),LEN(Tabela1[[#This Row],[2]])-LEN(SUBSTITUTE(Tabela1[[#This Row],[2]],",",""))+1,1),"")</f>
        <v/>
      </c>
      <c r="AB535" t="str">
        <f>IF(Tabela1[[#This Row],[3]]&lt;&gt;"",IF(ISNUMBER(FIND(",",Tabela1[[#This Row],[3]])),LEN(Tabela1[[#This Row],[3]])-LEN(SUBSTITUTE(Tabela1[[#This Row],[3]],",",""))+1,1),"")</f>
        <v/>
      </c>
      <c r="AC535" t="str">
        <f>IF(Tabela1[[#This Row],[4]]&lt;&gt;"",IF(ISNUMBER(FIND(",",Tabela1[[#This Row],[4]])),LEN(Tabela1[[#This Row],[4]])-LEN(SUBSTITUTE(Tabela1[[#This Row],[4]],",",""))+1,1),"")</f>
        <v/>
      </c>
      <c r="AD535" t="str">
        <f>IF(Tabela1[[#This Row],[5]]&lt;&gt;"",IF(ISNUMBER(FIND(",",Tabela1[[#This Row],[5]])),LEN(Tabela1[[#This Row],[5]])-LEN(SUBSTITUTE(Tabela1[[#This Row],[5]],",",""))+1,1),"")</f>
        <v/>
      </c>
      <c r="AE535" t="str">
        <f>IF(Tabela1[[#This Row],[6]]&lt;&gt;"",IF(ISNUMBER(FIND(",",Tabela1[[#This Row],[6]])),LEN(Tabela1[[#This Row],[6]])-LEN(SUBSTITUTE(Tabela1[[#This Row],[6]],",",""))+1,1),"")</f>
        <v/>
      </c>
      <c r="AF535" t="str">
        <f>IF(Tabela1[[#This Row],[7]]&lt;&gt;"",IF(ISNUMBER(FIND(",",Tabela1[[#This Row],[7]])),LEN(Tabela1[[#This Row],[7]])-LEN(SUBSTITUTE(Tabela1[[#This Row],[7]],",",""))+1,1),"")</f>
        <v/>
      </c>
      <c r="AG535" t="str">
        <f>IF(Tabela1[[#This Row],[8]]&lt;&gt;"",IF(ISNUMBER(FIND(",",Tabela1[[#This Row],[8]])),LEN(Tabela1[[#This Row],[8]])-LEN(SUBSTITUTE(Tabela1[[#This Row],[8]],",",""))+1,1),"")</f>
        <v/>
      </c>
      <c r="AH535" t="str">
        <f>IF(Tabela1[[#This Row],[9]]&lt;&gt;"",IF(ISNUMBER(FIND(",",Tabela1[[#This Row],[9]])),LEN(Tabela1[[#This Row],[9]])-LEN(SUBSTITUTE(Tabela1[[#This Row],[9]],",",""))+1,1),"")</f>
        <v/>
      </c>
      <c r="AI535" t="str">
        <f>IF(Tabela1[[#This Row],[10]]&lt;&gt;"",IF(ISNUMBER(FIND(",",Tabela1[[#This Row],[10]])),LEN(Tabela1[[#This Row],[10]])-LEN(SUBSTITUTE(Tabela1[[#This Row],[10]],",",""))+1,1),"")</f>
        <v/>
      </c>
      <c r="AJ535" t="str">
        <f>IF(Tabela1[[#This Row],[11]]&lt;&gt;"",IF(ISNUMBER(FIND(",",Tabela1[[#This Row],[11]])),LEN(Tabela1[[#This Row],[11]])-LEN(SUBSTITUTE(Tabela1[[#This Row],[11]],",",""))+1,1),"")</f>
        <v/>
      </c>
      <c r="AK535" t="str">
        <f>IF(Tabela1[[#This Row],[12]]&lt;&gt;"",IF(ISNUMBER(FIND(",",Tabela1[[#This Row],[12]])),LEN(Tabela1[[#This Row],[12]])-LEN(SUBSTITUTE(Tabela1[[#This Row],[12]],",",""))+1,1),"")</f>
        <v/>
      </c>
      <c r="AL535" t="str">
        <f>IF(Tabela1[[#This Row],[13]]&lt;&gt;"",IF(ISNUMBER(FIND(",",Tabela1[[#This Row],[13]])),LEN(Tabela1[[#This Row],[13]])-LEN(SUBSTITUTE(Tabela1[[#This Row],[13]],",",""))+1,1),"")</f>
        <v/>
      </c>
      <c r="AM535" t="str">
        <f>IF(Tabela1[[#This Row],[14]]&lt;&gt;"",IF(ISNUMBER(FIND(",",Tabela1[[#This Row],[14]])),LEN(Tabela1[[#This Row],[14]])-LEN(SUBSTITUTE(Tabela1[[#This Row],[14]],",",""))+1,1),"")</f>
        <v/>
      </c>
      <c r="AN535" t="str">
        <f>IF(Tabela1[[#This Row],[15]]&lt;&gt;"",IF(ISNUMBER(FIND(",",Tabela1[[#This Row],[15]])),LEN(Tabela1[[#This Row],[15]])-LEN(SUBSTITUTE(Tabela1[[#This Row],[15]],",",""))+1,1),"")</f>
        <v/>
      </c>
      <c r="AO535">
        <f>IF(Tabela1[[#This Row],[16]]&lt;&gt;"",IF(ISNUMBER(FIND(",",Tabela1[[#This Row],[16]])),LEN(Tabela1[[#This Row],[16]])-LEN(SUBSTITUTE(Tabela1[[#This Row],[16]],",",""))+1,1),"")</f>
        <v>1</v>
      </c>
      <c r="AP535" t="str">
        <f>IF(Tabela1[[#This Row],[17]]&lt;&gt;"",IF(ISNUMBER(FIND(",",Tabela1[[#This Row],[17]])),LEN(Tabela1[[#This Row],[17]])-LEN(SUBSTITUTE(Tabela1[[#This Row],[17]],",",""))+1,1),"")</f>
        <v/>
      </c>
      <c r="AQ535" t="str">
        <f>IF(Tabela1[[#This Row],[18]]&lt;&gt;"",IF(ISNUMBER(FIND(",",Tabela1[[#This Row],[18]])),LEN(Tabela1[[#This Row],[18]])-LEN(SUBSTITUTE(Tabela1[[#This Row],[18]],",",""))+1,1),"")</f>
        <v/>
      </c>
      <c r="AR535" s="13">
        <f>IF(Tabela1[[#This Row],[19_LENGTH]]&lt;&gt;"",IF(ISNUMBER(FIND(",",Tabela1[[#This Row],[19_LENGTH]])),LEN(Tabela1[[#This Row],[19_LENGTH]])-LEN(SUBSTITUTE(Tabela1[[#This Row],[19_LENGTH]],",",""))+1,1),"")</f>
        <v>1</v>
      </c>
      <c r="AS535" s="21">
        <f>SUM(Tabela1[[#This Row],[1_]:[19_]])</f>
        <v>2</v>
      </c>
    </row>
    <row r="536" spans="1:45" x14ac:dyDescent="0.25">
      <c r="A536" s="27" t="s">
        <v>1327</v>
      </c>
      <c r="B536" s="19" t="s">
        <v>877</v>
      </c>
      <c r="C536" s="19">
        <v>202</v>
      </c>
      <c r="D536" s="19" t="s">
        <v>1304</v>
      </c>
      <c r="E536" s="20">
        <v>43540</v>
      </c>
      <c r="F536" s="19"/>
      <c r="G536" s="19"/>
      <c r="H536" s="19"/>
      <c r="I536" s="19"/>
      <c r="J536" s="19"/>
      <c r="K536" s="19"/>
      <c r="L536" s="19"/>
      <c r="M536" s="19"/>
      <c r="N536" s="19"/>
      <c r="O536" s="19"/>
      <c r="P536" s="19"/>
      <c r="Q536" s="19"/>
      <c r="R536" s="19"/>
      <c r="S536" s="19"/>
      <c r="T536" s="19"/>
      <c r="U536" s="19"/>
      <c r="V536" s="19">
        <v>49</v>
      </c>
      <c r="W536" s="19"/>
      <c r="X536" s="19" t="s">
        <v>43</v>
      </c>
      <c r="Y536" s="19">
        <v>183</v>
      </c>
      <c r="Z536" t="str">
        <f>IF(Tabela1[[#This Row],[1]]&lt;&gt;"",IF(ISNUMBER(FIND(",",Tabela1[[#This Row],[1]])),LEN(Tabela1[[#This Row],[1]])-LEN(SUBSTITUTE(Tabela1[[#This Row],[1]],",",""))+1,1),"")</f>
        <v/>
      </c>
      <c r="AA536" t="str">
        <f>IF(Tabela1[[#This Row],[2]]&lt;&gt;"",IF(ISNUMBER(FIND(",",Tabela1[[#This Row],[2]])),LEN(Tabela1[[#This Row],[2]])-LEN(SUBSTITUTE(Tabela1[[#This Row],[2]],",",""))+1,1),"")</f>
        <v/>
      </c>
      <c r="AB536" t="str">
        <f>IF(Tabela1[[#This Row],[3]]&lt;&gt;"",IF(ISNUMBER(FIND(",",Tabela1[[#This Row],[3]])),LEN(Tabela1[[#This Row],[3]])-LEN(SUBSTITUTE(Tabela1[[#This Row],[3]],",",""))+1,1),"")</f>
        <v/>
      </c>
      <c r="AC536" t="str">
        <f>IF(Tabela1[[#This Row],[4]]&lt;&gt;"",IF(ISNUMBER(FIND(",",Tabela1[[#This Row],[4]])),LEN(Tabela1[[#This Row],[4]])-LEN(SUBSTITUTE(Tabela1[[#This Row],[4]],",",""))+1,1),"")</f>
        <v/>
      </c>
      <c r="AD536" t="str">
        <f>IF(Tabela1[[#This Row],[5]]&lt;&gt;"",IF(ISNUMBER(FIND(",",Tabela1[[#This Row],[5]])),LEN(Tabela1[[#This Row],[5]])-LEN(SUBSTITUTE(Tabela1[[#This Row],[5]],",",""))+1,1),"")</f>
        <v/>
      </c>
      <c r="AE536" t="str">
        <f>IF(Tabela1[[#This Row],[6]]&lt;&gt;"",IF(ISNUMBER(FIND(",",Tabela1[[#This Row],[6]])),LEN(Tabela1[[#This Row],[6]])-LEN(SUBSTITUTE(Tabela1[[#This Row],[6]],",",""))+1,1),"")</f>
        <v/>
      </c>
      <c r="AF536" t="str">
        <f>IF(Tabela1[[#This Row],[7]]&lt;&gt;"",IF(ISNUMBER(FIND(",",Tabela1[[#This Row],[7]])),LEN(Tabela1[[#This Row],[7]])-LEN(SUBSTITUTE(Tabela1[[#This Row],[7]],",",""))+1,1),"")</f>
        <v/>
      </c>
      <c r="AG536" t="str">
        <f>IF(Tabela1[[#This Row],[8]]&lt;&gt;"",IF(ISNUMBER(FIND(",",Tabela1[[#This Row],[8]])),LEN(Tabela1[[#This Row],[8]])-LEN(SUBSTITUTE(Tabela1[[#This Row],[8]],",",""))+1,1),"")</f>
        <v/>
      </c>
      <c r="AH536" t="str">
        <f>IF(Tabela1[[#This Row],[9]]&lt;&gt;"",IF(ISNUMBER(FIND(",",Tabela1[[#This Row],[9]])),LEN(Tabela1[[#This Row],[9]])-LEN(SUBSTITUTE(Tabela1[[#This Row],[9]],",",""))+1,1),"")</f>
        <v/>
      </c>
      <c r="AI536" t="str">
        <f>IF(Tabela1[[#This Row],[10]]&lt;&gt;"",IF(ISNUMBER(FIND(",",Tabela1[[#This Row],[10]])),LEN(Tabela1[[#This Row],[10]])-LEN(SUBSTITUTE(Tabela1[[#This Row],[10]],",",""))+1,1),"")</f>
        <v/>
      </c>
      <c r="AJ536" t="str">
        <f>IF(Tabela1[[#This Row],[11]]&lt;&gt;"",IF(ISNUMBER(FIND(",",Tabela1[[#This Row],[11]])),LEN(Tabela1[[#This Row],[11]])-LEN(SUBSTITUTE(Tabela1[[#This Row],[11]],",",""))+1,1),"")</f>
        <v/>
      </c>
      <c r="AK536" t="str">
        <f>IF(Tabela1[[#This Row],[12]]&lt;&gt;"",IF(ISNUMBER(FIND(",",Tabela1[[#This Row],[12]])),LEN(Tabela1[[#This Row],[12]])-LEN(SUBSTITUTE(Tabela1[[#This Row],[12]],",",""))+1,1),"")</f>
        <v/>
      </c>
      <c r="AL536" t="str">
        <f>IF(Tabela1[[#This Row],[13]]&lt;&gt;"",IF(ISNUMBER(FIND(",",Tabela1[[#This Row],[13]])),LEN(Tabela1[[#This Row],[13]])-LEN(SUBSTITUTE(Tabela1[[#This Row],[13]],",",""))+1,1),"")</f>
        <v/>
      </c>
      <c r="AM536" t="str">
        <f>IF(Tabela1[[#This Row],[14]]&lt;&gt;"",IF(ISNUMBER(FIND(",",Tabela1[[#This Row],[14]])),LEN(Tabela1[[#This Row],[14]])-LEN(SUBSTITUTE(Tabela1[[#This Row],[14]],",",""))+1,1),"")</f>
        <v/>
      </c>
      <c r="AN536" t="str">
        <f>IF(Tabela1[[#This Row],[15]]&lt;&gt;"",IF(ISNUMBER(FIND(",",Tabela1[[#This Row],[15]])),LEN(Tabela1[[#This Row],[15]])-LEN(SUBSTITUTE(Tabela1[[#This Row],[15]],",",""))+1,1),"")</f>
        <v/>
      </c>
      <c r="AO536" t="str">
        <f>IF(Tabela1[[#This Row],[16]]&lt;&gt;"",IF(ISNUMBER(FIND(",",Tabela1[[#This Row],[16]])),LEN(Tabela1[[#This Row],[16]])-LEN(SUBSTITUTE(Tabela1[[#This Row],[16]],",",""))+1,1),"")</f>
        <v/>
      </c>
      <c r="AP536">
        <f>IF(Tabela1[[#This Row],[17]]&lt;&gt;"",IF(ISNUMBER(FIND(",",Tabela1[[#This Row],[17]])),LEN(Tabela1[[#This Row],[17]])-LEN(SUBSTITUTE(Tabela1[[#This Row],[17]],",",""))+1,1),"")</f>
        <v>1</v>
      </c>
      <c r="AQ536" t="str">
        <f>IF(Tabela1[[#This Row],[18]]&lt;&gt;"",IF(ISNUMBER(FIND(",",Tabela1[[#This Row],[18]])),LEN(Tabela1[[#This Row],[18]])-LEN(SUBSTITUTE(Tabela1[[#This Row],[18]],",",""))+1,1),"")</f>
        <v/>
      </c>
      <c r="AR536" s="13">
        <f>IF(Tabela1[[#This Row],[19_LENGTH]]&lt;&gt;"",IF(ISNUMBER(FIND(",",Tabela1[[#This Row],[19_LENGTH]])),LEN(Tabela1[[#This Row],[19_LENGTH]])-LEN(SUBSTITUTE(Tabela1[[#This Row],[19_LENGTH]],",",""))+1,1),"")</f>
        <v>1</v>
      </c>
      <c r="AS536" s="21">
        <f>SUM(Tabela1[[#This Row],[1_]:[19_]])</f>
        <v>2</v>
      </c>
    </row>
    <row r="537" spans="1:45" x14ac:dyDescent="0.25">
      <c r="A537" s="27" t="s">
        <v>1325</v>
      </c>
      <c r="B537" s="19" t="s">
        <v>582</v>
      </c>
      <c r="C537" s="19">
        <v>234</v>
      </c>
      <c r="D537" s="19" t="s">
        <v>1315</v>
      </c>
      <c r="E537" s="20">
        <v>43540</v>
      </c>
      <c r="F537" s="19"/>
      <c r="G537" s="19">
        <v>173</v>
      </c>
      <c r="H537" s="19"/>
      <c r="I537" s="19"/>
      <c r="J537" s="19"/>
      <c r="K537" s="19"/>
      <c r="L537" s="19"/>
      <c r="M537" s="19"/>
      <c r="N537" s="19"/>
      <c r="O537" s="19"/>
      <c r="P537" s="19"/>
      <c r="Q537" s="19"/>
      <c r="R537" s="19"/>
      <c r="S537" s="19"/>
      <c r="T537" s="19"/>
      <c r="U537" s="19"/>
      <c r="V537" s="19"/>
      <c r="W537" s="19"/>
      <c r="X537" s="19"/>
      <c r="Y537" s="19"/>
      <c r="Z537" t="str">
        <f>IF(Tabela1[[#This Row],[1]]&lt;&gt;"",IF(ISNUMBER(FIND(",",Tabela1[[#This Row],[1]])),LEN(Tabela1[[#This Row],[1]])-LEN(SUBSTITUTE(Tabela1[[#This Row],[1]],",",""))+1,1),"")</f>
        <v/>
      </c>
      <c r="AA537">
        <f>IF(Tabela1[[#This Row],[2]]&lt;&gt;"",IF(ISNUMBER(FIND(",",Tabela1[[#This Row],[2]])),LEN(Tabela1[[#This Row],[2]])-LEN(SUBSTITUTE(Tabela1[[#This Row],[2]],",",""))+1,1),"")</f>
        <v>1</v>
      </c>
      <c r="AB537" t="str">
        <f>IF(Tabela1[[#This Row],[3]]&lt;&gt;"",IF(ISNUMBER(FIND(",",Tabela1[[#This Row],[3]])),LEN(Tabela1[[#This Row],[3]])-LEN(SUBSTITUTE(Tabela1[[#This Row],[3]],",",""))+1,1),"")</f>
        <v/>
      </c>
      <c r="AC537" t="str">
        <f>IF(Tabela1[[#This Row],[4]]&lt;&gt;"",IF(ISNUMBER(FIND(",",Tabela1[[#This Row],[4]])),LEN(Tabela1[[#This Row],[4]])-LEN(SUBSTITUTE(Tabela1[[#This Row],[4]],",",""))+1,1),"")</f>
        <v/>
      </c>
      <c r="AD537" t="str">
        <f>IF(Tabela1[[#This Row],[5]]&lt;&gt;"",IF(ISNUMBER(FIND(",",Tabela1[[#This Row],[5]])),LEN(Tabela1[[#This Row],[5]])-LEN(SUBSTITUTE(Tabela1[[#This Row],[5]],",",""))+1,1),"")</f>
        <v/>
      </c>
      <c r="AE537" t="str">
        <f>IF(Tabela1[[#This Row],[6]]&lt;&gt;"",IF(ISNUMBER(FIND(",",Tabela1[[#This Row],[6]])),LEN(Tabela1[[#This Row],[6]])-LEN(SUBSTITUTE(Tabela1[[#This Row],[6]],",",""))+1,1),"")</f>
        <v/>
      </c>
      <c r="AF537" t="str">
        <f>IF(Tabela1[[#This Row],[7]]&lt;&gt;"",IF(ISNUMBER(FIND(",",Tabela1[[#This Row],[7]])),LEN(Tabela1[[#This Row],[7]])-LEN(SUBSTITUTE(Tabela1[[#This Row],[7]],",",""))+1,1),"")</f>
        <v/>
      </c>
      <c r="AG537" t="str">
        <f>IF(Tabela1[[#This Row],[8]]&lt;&gt;"",IF(ISNUMBER(FIND(",",Tabela1[[#This Row],[8]])),LEN(Tabela1[[#This Row],[8]])-LEN(SUBSTITUTE(Tabela1[[#This Row],[8]],",",""))+1,1),"")</f>
        <v/>
      </c>
      <c r="AH537" t="str">
        <f>IF(Tabela1[[#This Row],[9]]&lt;&gt;"",IF(ISNUMBER(FIND(",",Tabela1[[#This Row],[9]])),LEN(Tabela1[[#This Row],[9]])-LEN(SUBSTITUTE(Tabela1[[#This Row],[9]],",",""))+1,1),"")</f>
        <v/>
      </c>
      <c r="AI537" t="str">
        <f>IF(Tabela1[[#This Row],[10]]&lt;&gt;"",IF(ISNUMBER(FIND(",",Tabela1[[#This Row],[10]])),LEN(Tabela1[[#This Row],[10]])-LEN(SUBSTITUTE(Tabela1[[#This Row],[10]],",",""))+1,1),"")</f>
        <v/>
      </c>
      <c r="AJ537" t="str">
        <f>IF(Tabela1[[#This Row],[11]]&lt;&gt;"",IF(ISNUMBER(FIND(",",Tabela1[[#This Row],[11]])),LEN(Tabela1[[#This Row],[11]])-LEN(SUBSTITUTE(Tabela1[[#This Row],[11]],",",""))+1,1),"")</f>
        <v/>
      </c>
      <c r="AK537" t="str">
        <f>IF(Tabela1[[#This Row],[12]]&lt;&gt;"",IF(ISNUMBER(FIND(",",Tabela1[[#This Row],[12]])),LEN(Tabela1[[#This Row],[12]])-LEN(SUBSTITUTE(Tabela1[[#This Row],[12]],",",""))+1,1),"")</f>
        <v/>
      </c>
      <c r="AL537" t="str">
        <f>IF(Tabela1[[#This Row],[13]]&lt;&gt;"",IF(ISNUMBER(FIND(",",Tabela1[[#This Row],[13]])),LEN(Tabela1[[#This Row],[13]])-LEN(SUBSTITUTE(Tabela1[[#This Row],[13]],",",""))+1,1),"")</f>
        <v/>
      </c>
      <c r="AM537" t="str">
        <f>IF(Tabela1[[#This Row],[14]]&lt;&gt;"",IF(ISNUMBER(FIND(",",Tabela1[[#This Row],[14]])),LEN(Tabela1[[#This Row],[14]])-LEN(SUBSTITUTE(Tabela1[[#This Row],[14]],",",""))+1,1),"")</f>
        <v/>
      </c>
      <c r="AN537" t="str">
        <f>IF(Tabela1[[#This Row],[15]]&lt;&gt;"",IF(ISNUMBER(FIND(",",Tabela1[[#This Row],[15]])),LEN(Tabela1[[#This Row],[15]])-LEN(SUBSTITUTE(Tabela1[[#This Row],[15]],",",""))+1,1),"")</f>
        <v/>
      </c>
      <c r="AO537" t="str">
        <f>IF(Tabela1[[#This Row],[16]]&lt;&gt;"",IF(ISNUMBER(FIND(",",Tabela1[[#This Row],[16]])),LEN(Tabela1[[#This Row],[16]])-LEN(SUBSTITUTE(Tabela1[[#This Row],[16]],",",""))+1,1),"")</f>
        <v/>
      </c>
      <c r="AP537" t="str">
        <f>IF(Tabela1[[#This Row],[17]]&lt;&gt;"",IF(ISNUMBER(FIND(",",Tabela1[[#This Row],[17]])),LEN(Tabela1[[#This Row],[17]])-LEN(SUBSTITUTE(Tabela1[[#This Row],[17]],",",""))+1,1),"")</f>
        <v/>
      </c>
      <c r="AQ537" t="str">
        <f>IF(Tabela1[[#This Row],[18]]&lt;&gt;"",IF(ISNUMBER(FIND(",",Tabela1[[#This Row],[18]])),LEN(Tabela1[[#This Row],[18]])-LEN(SUBSTITUTE(Tabela1[[#This Row],[18]],",",""))+1,1),"")</f>
        <v/>
      </c>
      <c r="AR537" s="13" t="str">
        <f>IF(Tabela1[[#This Row],[19_LENGTH]]&lt;&gt;"",IF(ISNUMBER(FIND(",",Tabela1[[#This Row],[19_LENGTH]])),LEN(Tabela1[[#This Row],[19_LENGTH]])-LEN(SUBSTITUTE(Tabela1[[#This Row],[19_LENGTH]],",",""))+1,1),"")</f>
        <v/>
      </c>
      <c r="AS537" s="21">
        <f>SUM(Tabela1[[#This Row],[1_]:[19_]])</f>
        <v>1</v>
      </c>
    </row>
    <row r="538" spans="1:45" x14ac:dyDescent="0.25">
      <c r="A538" s="27" t="s">
        <v>1325</v>
      </c>
      <c r="B538" s="19" t="s">
        <v>583</v>
      </c>
      <c r="C538" s="19">
        <v>202</v>
      </c>
      <c r="D538" s="19" t="s">
        <v>1315</v>
      </c>
      <c r="E538" s="20">
        <v>43540</v>
      </c>
      <c r="F538" s="19"/>
      <c r="G538" s="19"/>
      <c r="H538" s="19"/>
      <c r="I538" s="19">
        <v>175</v>
      </c>
      <c r="J538" s="19"/>
      <c r="K538" s="19"/>
      <c r="L538" s="19"/>
      <c r="M538" s="19"/>
      <c r="N538" s="19"/>
      <c r="O538" s="19"/>
      <c r="P538" s="19"/>
      <c r="Q538" s="19"/>
      <c r="R538" s="19"/>
      <c r="S538" s="19"/>
      <c r="T538" s="19"/>
      <c r="U538" s="19"/>
      <c r="V538" s="19"/>
      <c r="W538" s="19"/>
      <c r="X538" s="19"/>
      <c r="Y538" s="19"/>
      <c r="Z538" t="str">
        <f>IF(Tabela1[[#This Row],[1]]&lt;&gt;"",IF(ISNUMBER(FIND(",",Tabela1[[#This Row],[1]])),LEN(Tabela1[[#This Row],[1]])-LEN(SUBSTITUTE(Tabela1[[#This Row],[1]],",",""))+1,1),"")</f>
        <v/>
      </c>
      <c r="AA538" t="str">
        <f>IF(Tabela1[[#This Row],[2]]&lt;&gt;"",IF(ISNUMBER(FIND(",",Tabela1[[#This Row],[2]])),LEN(Tabela1[[#This Row],[2]])-LEN(SUBSTITUTE(Tabela1[[#This Row],[2]],",",""))+1,1),"")</f>
        <v/>
      </c>
      <c r="AB538" t="str">
        <f>IF(Tabela1[[#This Row],[3]]&lt;&gt;"",IF(ISNUMBER(FIND(",",Tabela1[[#This Row],[3]])),LEN(Tabela1[[#This Row],[3]])-LEN(SUBSTITUTE(Tabela1[[#This Row],[3]],",",""))+1,1),"")</f>
        <v/>
      </c>
      <c r="AC538">
        <f>IF(Tabela1[[#This Row],[4]]&lt;&gt;"",IF(ISNUMBER(FIND(",",Tabela1[[#This Row],[4]])),LEN(Tabela1[[#This Row],[4]])-LEN(SUBSTITUTE(Tabela1[[#This Row],[4]],",",""))+1,1),"")</f>
        <v>1</v>
      </c>
      <c r="AD538" t="str">
        <f>IF(Tabela1[[#This Row],[5]]&lt;&gt;"",IF(ISNUMBER(FIND(",",Tabela1[[#This Row],[5]])),LEN(Tabela1[[#This Row],[5]])-LEN(SUBSTITUTE(Tabela1[[#This Row],[5]],",",""))+1,1),"")</f>
        <v/>
      </c>
      <c r="AE538" t="str">
        <f>IF(Tabela1[[#This Row],[6]]&lt;&gt;"",IF(ISNUMBER(FIND(",",Tabela1[[#This Row],[6]])),LEN(Tabela1[[#This Row],[6]])-LEN(SUBSTITUTE(Tabela1[[#This Row],[6]],",",""))+1,1),"")</f>
        <v/>
      </c>
      <c r="AF538" t="str">
        <f>IF(Tabela1[[#This Row],[7]]&lt;&gt;"",IF(ISNUMBER(FIND(",",Tabela1[[#This Row],[7]])),LEN(Tabela1[[#This Row],[7]])-LEN(SUBSTITUTE(Tabela1[[#This Row],[7]],",",""))+1,1),"")</f>
        <v/>
      </c>
      <c r="AG538" t="str">
        <f>IF(Tabela1[[#This Row],[8]]&lt;&gt;"",IF(ISNUMBER(FIND(",",Tabela1[[#This Row],[8]])),LEN(Tabela1[[#This Row],[8]])-LEN(SUBSTITUTE(Tabela1[[#This Row],[8]],",",""))+1,1),"")</f>
        <v/>
      </c>
      <c r="AH538" t="str">
        <f>IF(Tabela1[[#This Row],[9]]&lt;&gt;"",IF(ISNUMBER(FIND(",",Tabela1[[#This Row],[9]])),LEN(Tabela1[[#This Row],[9]])-LEN(SUBSTITUTE(Tabela1[[#This Row],[9]],",",""))+1,1),"")</f>
        <v/>
      </c>
      <c r="AI538" t="str">
        <f>IF(Tabela1[[#This Row],[10]]&lt;&gt;"",IF(ISNUMBER(FIND(",",Tabela1[[#This Row],[10]])),LEN(Tabela1[[#This Row],[10]])-LEN(SUBSTITUTE(Tabela1[[#This Row],[10]],",",""))+1,1),"")</f>
        <v/>
      </c>
      <c r="AJ538" t="str">
        <f>IF(Tabela1[[#This Row],[11]]&lt;&gt;"",IF(ISNUMBER(FIND(",",Tabela1[[#This Row],[11]])),LEN(Tabela1[[#This Row],[11]])-LEN(SUBSTITUTE(Tabela1[[#This Row],[11]],",",""))+1,1),"")</f>
        <v/>
      </c>
      <c r="AK538" t="str">
        <f>IF(Tabela1[[#This Row],[12]]&lt;&gt;"",IF(ISNUMBER(FIND(",",Tabela1[[#This Row],[12]])),LEN(Tabela1[[#This Row],[12]])-LEN(SUBSTITUTE(Tabela1[[#This Row],[12]],",",""))+1,1),"")</f>
        <v/>
      </c>
      <c r="AL538" t="str">
        <f>IF(Tabela1[[#This Row],[13]]&lt;&gt;"",IF(ISNUMBER(FIND(",",Tabela1[[#This Row],[13]])),LEN(Tabela1[[#This Row],[13]])-LEN(SUBSTITUTE(Tabela1[[#This Row],[13]],",",""))+1,1),"")</f>
        <v/>
      </c>
      <c r="AM538" t="str">
        <f>IF(Tabela1[[#This Row],[14]]&lt;&gt;"",IF(ISNUMBER(FIND(",",Tabela1[[#This Row],[14]])),LEN(Tabela1[[#This Row],[14]])-LEN(SUBSTITUTE(Tabela1[[#This Row],[14]],",",""))+1,1),"")</f>
        <v/>
      </c>
      <c r="AN538" t="str">
        <f>IF(Tabela1[[#This Row],[15]]&lt;&gt;"",IF(ISNUMBER(FIND(",",Tabela1[[#This Row],[15]])),LEN(Tabela1[[#This Row],[15]])-LEN(SUBSTITUTE(Tabela1[[#This Row],[15]],",",""))+1,1),"")</f>
        <v/>
      </c>
      <c r="AO538" t="str">
        <f>IF(Tabela1[[#This Row],[16]]&lt;&gt;"",IF(ISNUMBER(FIND(",",Tabela1[[#This Row],[16]])),LEN(Tabela1[[#This Row],[16]])-LEN(SUBSTITUTE(Tabela1[[#This Row],[16]],",",""))+1,1),"")</f>
        <v/>
      </c>
      <c r="AP538" t="str">
        <f>IF(Tabela1[[#This Row],[17]]&lt;&gt;"",IF(ISNUMBER(FIND(",",Tabela1[[#This Row],[17]])),LEN(Tabela1[[#This Row],[17]])-LEN(SUBSTITUTE(Tabela1[[#This Row],[17]],",",""))+1,1),"")</f>
        <v/>
      </c>
      <c r="AQ538" t="str">
        <f>IF(Tabela1[[#This Row],[18]]&lt;&gt;"",IF(ISNUMBER(FIND(",",Tabela1[[#This Row],[18]])),LEN(Tabela1[[#This Row],[18]])-LEN(SUBSTITUTE(Tabela1[[#This Row],[18]],",",""))+1,1),"")</f>
        <v/>
      </c>
      <c r="AR538" s="13" t="str">
        <f>IF(Tabela1[[#This Row],[19_LENGTH]]&lt;&gt;"",IF(ISNUMBER(FIND(",",Tabela1[[#This Row],[19_LENGTH]])),LEN(Tabela1[[#This Row],[19_LENGTH]])-LEN(SUBSTITUTE(Tabela1[[#This Row],[19_LENGTH]],",",""))+1,1),"")</f>
        <v/>
      </c>
      <c r="AS538" s="21">
        <f>SUM(Tabela1[[#This Row],[1_]:[19_]])</f>
        <v>1</v>
      </c>
    </row>
    <row r="539" spans="1:45" x14ac:dyDescent="0.25">
      <c r="A539" s="27" t="s">
        <v>1325</v>
      </c>
      <c r="B539" s="19" t="s">
        <v>584</v>
      </c>
      <c r="C539" s="19">
        <v>202</v>
      </c>
      <c r="D539" s="19" t="s">
        <v>1315</v>
      </c>
      <c r="E539" s="20">
        <v>43540</v>
      </c>
      <c r="F539" s="19"/>
      <c r="G539" s="19"/>
      <c r="H539" s="19" t="s">
        <v>213</v>
      </c>
      <c r="I539" s="19">
        <v>193</v>
      </c>
      <c r="J539" s="19"/>
      <c r="K539" s="19"/>
      <c r="L539" s="19"/>
      <c r="M539" s="19" t="s">
        <v>214</v>
      </c>
      <c r="N539" s="19"/>
      <c r="O539" s="19"/>
      <c r="P539" s="19"/>
      <c r="Q539" s="19"/>
      <c r="R539" s="19"/>
      <c r="S539" s="19"/>
      <c r="T539" s="19"/>
      <c r="U539" s="19"/>
      <c r="V539" s="19"/>
      <c r="W539" s="19"/>
      <c r="X539" s="19"/>
      <c r="Y539" s="19"/>
      <c r="Z539" t="str">
        <f>IF(Tabela1[[#This Row],[1]]&lt;&gt;"",IF(ISNUMBER(FIND(",",Tabela1[[#This Row],[1]])),LEN(Tabela1[[#This Row],[1]])-LEN(SUBSTITUTE(Tabela1[[#This Row],[1]],",",""))+1,1),"")</f>
        <v/>
      </c>
      <c r="AA539" t="str">
        <f>IF(Tabela1[[#This Row],[2]]&lt;&gt;"",IF(ISNUMBER(FIND(",",Tabela1[[#This Row],[2]])),LEN(Tabela1[[#This Row],[2]])-LEN(SUBSTITUTE(Tabela1[[#This Row],[2]],",",""))+1,1),"")</f>
        <v/>
      </c>
      <c r="AB539">
        <f>IF(Tabela1[[#This Row],[3]]&lt;&gt;"",IF(ISNUMBER(FIND(",",Tabela1[[#This Row],[3]])),LEN(Tabela1[[#This Row],[3]])-LEN(SUBSTITUTE(Tabela1[[#This Row],[3]],",",""))+1,1),"")</f>
        <v>1</v>
      </c>
      <c r="AC539">
        <f>IF(Tabela1[[#This Row],[4]]&lt;&gt;"",IF(ISNUMBER(FIND(",",Tabela1[[#This Row],[4]])),LEN(Tabela1[[#This Row],[4]])-LEN(SUBSTITUTE(Tabela1[[#This Row],[4]],",",""))+1,1),"")</f>
        <v>1</v>
      </c>
      <c r="AD539" t="str">
        <f>IF(Tabela1[[#This Row],[5]]&lt;&gt;"",IF(ISNUMBER(FIND(",",Tabela1[[#This Row],[5]])),LEN(Tabela1[[#This Row],[5]])-LEN(SUBSTITUTE(Tabela1[[#This Row],[5]],",",""))+1,1),"")</f>
        <v/>
      </c>
      <c r="AE539" t="str">
        <f>IF(Tabela1[[#This Row],[6]]&lt;&gt;"",IF(ISNUMBER(FIND(",",Tabela1[[#This Row],[6]])),LEN(Tabela1[[#This Row],[6]])-LEN(SUBSTITUTE(Tabela1[[#This Row],[6]],",",""))+1,1),"")</f>
        <v/>
      </c>
      <c r="AF539" t="str">
        <f>IF(Tabela1[[#This Row],[7]]&lt;&gt;"",IF(ISNUMBER(FIND(",",Tabela1[[#This Row],[7]])),LEN(Tabela1[[#This Row],[7]])-LEN(SUBSTITUTE(Tabela1[[#This Row],[7]],",",""))+1,1),"")</f>
        <v/>
      </c>
      <c r="AG539">
        <f>IF(Tabela1[[#This Row],[8]]&lt;&gt;"",IF(ISNUMBER(FIND(",",Tabela1[[#This Row],[8]])),LEN(Tabela1[[#This Row],[8]])-LEN(SUBSTITUTE(Tabela1[[#This Row],[8]],",",""))+1,1),"")</f>
        <v>2</v>
      </c>
      <c r="AH539" t="str">
        <f>IF(Tabela1[[#This Row],[9]]&lt;&gt;"",IF(ISNUMBER(FIND(",",Tabela1[[#This Row],[9]])),LEN(Tabela1[[#This Row],[9]])-LEN(SUBSTITUTE(Tabela1[[#This Row],[9]],",",""))+1,1),"")</f>
        <v/>
      </c>
      <c r="AI539" t="str">
        <f>IF(Tabela1[[#This Row],[10]]&lt;&gt;"",IF(ISNUMBER(FIND(",",Tabela1[[#This Row],[10]])),LEN(Tabela1[[#This Row],[10]])-LEN(SUBSTITUTE(Tabela1[[#This Row],[10]],",",""))+1,1),"")</f>
        <v/>
      </c>
      <c r="AJ539" t="str">
        <f>IF(Tabela1[[#This Row],[11]]&lt;&gt;"",IF(ISNUMBER(FIND(",",Tabela1[[#This Row],[11]])),LEN(Tabela1[[#This Row],[11]])-LEN(SUBSTITUTE(Tabela1[[#This Row],[11]],",",""))+1,1),"")</f>
        <v/>
      </c>
      <c r="AK539" t="str">
        <f>IF(Tabela1[[#This Row],[12]]&lt;&gt;"",IF(ISNUMBER(FIND(",",Tabela1[[#This Row],[12]])),LEN(Tabela1[[#This Row],[12]])-LEN(SUBSTITUTE(Tabela1[[#This Row],[12]],",",""))+1,1),"")</f>
        <v/>
      </c>
      <c r="AL539" t="str">
        <f>IF(Tabela1[[#This Row],[13]]&lt;&gt;"",IF(ISNUMBER(FIND(",",Tabela1[[#This Row],[13]])),LEN(Tabela1[[#This Row],[13]])-LEN(SUBSTITUTE(Tabela1[[#This Row],[13]],",",""))+1,1),"")</f>
        <v/>
      </c>
      <c r="AM539" t="str">
        <f>IF(Tabela1[[#This Row],[14]]&lt;&gt;"",IF(ISNUMBER(FIND(",",Tabela1[[#This Row],[14]])),LEN(Tabela1[[#This Row],[14]])-LEN(SUBSTITUTE(Tabela1[[#This Row],[14]],",",""))+1,1),"")</f>
        <v/>
      </c>
      <c r="AN539" t="str">
        <f>IF(Tabela1[[#This Row],[15]]&lt;&gt;"",IF(ISNUMBER(FIND(",",Tabela1[[#This Row],[15]])),LEN(Tabela1[[#This Row],[15]])-LEN(SUBSTITUTE(Tabela1[[#This Row],[15]],",",""))+1,1),"")</f>
        <v/>
      </c>
      <c r="AO539" t="str">
        <f>IF(Tabela1[[#This Row],[16]]&lt;&gt;"",IF(ISNUMBER(FIND(",",Tabela1[[#This Row],[16]])),LEN(Tabela1[[#This Row],[16]])-LEN(SUBSTITUTE(Tabela1[[#This Row],[16]],",",""))+1,1),"")</f>
        <v/>
      </c>
      <c r="AP539" t="str">
        <f>IF(Tabela1[[#This Row],[17]]&lt;&gt;"",IF(ISNUMBER(FIND(",",Tabela1[[#This Row],[17]])),LEN(Tabela1[[#This Row],[17]])-LEN(SUBSTITUTE(Tabela1[[#This Row],[17]],",",""))+1,1),"")</f>
        <v/>
      </c>
      <c r="AQ539" t="str">
        <f>IF(Tabela1[[#This Row],[18]]&lt;&gt;"",IF(ISNUMBER(FIND(",",Tabela1[[#This Row],[18]])),LEN(Tabela1[[#This Row],[18]])-LEN(SUBSTITUTE(Tabela1[[#This Row],[18]],",",""))+1,1),"")</f>
        <v/>
      </c>
      <c r="AR539" s="13" t="str">
        <f>IF(Tabela1[[#This Row],[19_LENGTH]]&lt;&gt;"",IF(ISNUMBER(FIND(",",Tabela1[[#This Row],[19_LENGTH]])),LEN(Tabela1[[#This Row],[19_LENGTH]])-LEN(SUBSTITUTE(Tabela1[[#This Row],[19_LENGTH]],",",""))+1,1),"")</f>
        <v/>
      </c>
      <c r="AS539" s="21">
        <f>SUM(Tabela1[[#This Row],[1_]:[19_]])</f>
        <v>4</v>
      </c>
    </row>
    <row r="540" spans="1:45" x14ac:dyDescent="0.25">
      <c r="A540" s="27" t="s">
        <v>1325</v>
      </c>
      <c r="B540" s="19" t="s">
        <v>585</v>
      </c>
      <c r="C540" s="19">
        <v>202</v>
      </c>
      <c r="D540" s="19" t="s">
        <v>1297</v>
      </c>
      <c r="E540" s="20">
        <v>43540</v>
      </c>
      <c r="F540" s="19"/>
      <c r="G540" s="19">
        <v>99</v>
      </c>
      <c r="H540" s="19"/>
      <c r="I540" s="19"/>
      <c r="J540" s="19"/>
      <c r="K540" s="19"/>
      <c r="L540" s="19"/>
      <c r="M540" s="19"/>
      <c r="N540" s="19"/>
      <c r="O540" s="19"/>
      <c r="P540" s="19"/>
      <c r="Q540" s="19"/>
      <c r="R540" s="19"/>
      <c r="S540" s="19"/>
      <c r="T540" s="19"/>
      <c r="U540" s="19"/>
      <c r="V540" s="19"/>
      <c r="W540" s="19"/>
      <c r="X540" s="19"/>
      <c r="Y540" s="19"/>
      <c r="Z540" t="str">
        <f>IF(Tabela1[[#This Row],[1]]&lt;&gt;"",IF(ISNUMBER(FIND(",",Tabela1[[#This Row],[1]])),LEN(Tabela1[[#This Row],[1]])-LEN(SUBSTITUTE(Tabela1[[#This Row],[1]],",",""))+1,1),"")</f>
        <v/>
      </c>
      <c r="AA540">
        <f>IF(Tabela1[[#This Row],[2]]&lt;&gt;"",IF(ISNUMBER(FIND(",",Tabela1[[#This Row],[2]])),LEN(Tabela1[[#This Row],[2]])-LEN(SUBSTITUTE(Tabela1[[#This Row],[2]],",",""))+1,1),"")</f>
        <v>1</v>
      </c>
      <c r="AB540" t="str">
        <f>IF(Tabela1[[#This Row],[3]]&lt;&gt;"",IF(ISNUMBER(FIND(",",Tabela1[[#This Row],[3]])),LEN(Tabela1[[#This Row],[3]])-LEN(SUBSTITUTE(Tabela1[[#This Row],[3]],",",""))+1,1),"")</f>
        <v/>
      </c>
      <c r="AC540" t="str">
        <f>IF(Tabela1[[#This Row],[4]]&lt;&gt;"",IF(ISNUMBER(FIND(",",Tabela1[[#This Row],[4]])),LEN(Tabela1[[#This Row],[4]])-LEN(SUBSTITUTE(Tabela1[[#This Row],[4]],",",""))+1,1),"")</f>
        <v/>
      </c>
      <c r="AD540" t="str">
        <f>IF(Tabela1[[#This Row],[5]]&lt;&gt;"",IF(ISNUMBER(FIND(",",Tabela1[[#This Row],[5]])),LEN(Tabela1[[#This Row],[5]])-LEN(SUBSTITUTE(Tabela1[[#This Row],[5]],",",""))+1,1),"")</f>
        <v/>
      </c>
      <c r="AE540" t="str">
        <f>IF(Tabela1[[#This Row],[6]]&lt;&gt;"",IF(ISNUMBER(FIND(",",Tabela1[[#This Row],[6]])),LEN(Tabela1[[#This Row],[6]])-LEN(SUBSTITUTE(Tabela1[[#This Row],[6]],",",""))+1,1),"")</f>
        <v/>
      </c>
      <c r="AF540" t="str">
        <f>IF(Tabela1[[#This Row],[7]]&lt;&gt;"",IF(ISNUMBER(FIND(",",Tabela1[[#This Row],[7]])),LEN(Tabela1[[#This Row],[7]])-LEN(SUBSTITUTE(Tabela1[[#This Row],[7]],",",""))+1,1),"")</f>
        <v/>
      </c>
      <c r="AG540" t="str">
        <f>IF(Tabela1[[#This Row],[8]]&lt;&gt;"",IF(ISNUMBER(FIND(",",Tabela1[[#This Row],[8]])),LEN(Tabela1[[#This Row],[8]])-LEN(SUBSTITUTE(Tabela1[[#This Row],[8]],",",""))+1,1),"")</f>
        <v/>
      </c>
      <c r="AH540" t="str">
        <f>IF(Tabela1[[#This Row],[9]]&lt;&gt;"",IF(ISNUMBER(FIND(",",Tabela1[[#This Row],[9]])),LEN(Tabela1[[#This Row],[9]])-LEN(SUBSTITUTE(Tabela1[[#This Row],[9]],",",""))+1,1),"")</f>
        <v/>
      </c>
      <c r="AI540" t="str">
        <f>IF(Tabela1[[#This Row],[10]]&lt;&gt;"",IF(ISNUMBER(FIND(",",Tabela1[[#This Row],[10]])),LEN(Tabela1[[#This Row],[10]])-LEN(SUBSTITUTE(Tabela1[[#This Row],[10]],",",""))+1,1),"")</f>
        <v/>
      </c>
      <c r="AJ540" t="str">
        <f>IF(Tabela1[[#This Row],[11]]&lt;&gt;"",IF(ISNUMBER(FIND(",",Tabela1[[#This Row],[11]])),LEN(Tabela1[[#This Row],[11]])-LEN(SUBSTITUTE(Tabela1[[#This Row],[11]],",",""))+1,1),"")</f>
        <v/>
      </c>
      <c r="AK540" t="str">
        <f>IF(Tabela1[[#This Row],[12]]&lt;&gt;"",IF(ISNUMBER(FIND(",",Tabela1[[#This Row],[12]])),LEN(Tabela1[[#This Row],[12]])-LEN(SUBSTITUTE(Tabela1[[#This Row],[12]],",",""))+1,1),"")</f>
        <v/>
      </c>
      <c r="AL540" t="str">
        <f>IF(Tabela1[[#This Row],[13]]&lt;&gt;"",IF(ISNUMBER(FIND(",",Tabela1[[#This Row],[13]])),LEN(Tabela1[[#This Row],[13]])-LEN(SUBSTITUTE(Tabela1[[#This Row],[13]],",",""))+1,1),"")</f>
        <v/>
      </c>
      <c r="AM540" t="str">
        <f>IF(Tabela1[[#This Row],[14]]&lt;&gt;"",IF(ISNUMBER(FIND(",",Tabela1[[#This Row],[14]])),LEN(Tabela1[[#This Row],[14]])-LEN(SUBSTITUTE(Tabela1[[#This Row],[14]],",",""))+1,1),"")</f>
        <v/>
      </c>
      <c r="AN540" t="str">
        <f>IF(Tabela1[[#This Row],[15]]&lt;&gt;"",IF(ISNUMBER(FIND(",",Tabela1[[#This Row],[15]])),LEN(Tabela1[[#This Row],[15]])-LEN(SUBSTITUTE(Tabela1[[#This Row],[15]],",",""))+1,1),"")</f>
        <v/>
      </c>
      <c r="AO540" t="str">
        <f>IF(Tabela1[[#This Row],[16]]&lt;&gt;"",IF(ISNUMBER(FIND(",",Tabela1[[#This Row],[16]])),LEN(Tabela1[[#This Row],[16]])-LEN(SUBSTITUTE(Tabela1[[#This Row],[16]],",",""))+1,1),"")</f>
        <v/>
      </c>
      <c r="AP540" t="str">
        <f>IF(Tabela1[[#This Row],[17]]&lt;&gt;"",IF(ISNUMBER(FIND(",",Tabela1[[#This Row],[17]])),LEN(Tabela1[[#This Row],[17]])-LEN(SUBSTITUTE(Tabela1[[#This Row],[17]],",",""))+1,1),"")</f>
        <v/>
      </c>
      <c r="AQ540" t="str">
        <f>IF(Tabela1[[#This Row],[18]]&lt;&gt;"",IF(ISNUMBER(FIND(",",Tabela1[[#This Row],[18]])),LEN(Tabela1[[#This Row],[18]])-LEN(SUBSTITUTE(Tabela1[[#This Row],[18]],",",""))+1,1),"")</f>
        <v/>
      </c>
      <c r="AR540" s="13" t="str">
        <f>IF(Tabela1[[#This Row],[19_LENGTH]]&lt;&gt;"",IF(ISNUMBER(FIND(",",Tabela1[[#This Row],[19_LENGTH]])),LEN(Tabela1[[#This Row],[19_LENGTH]])-LEN(SUBSTITUTE(Tabela1[[#This Row],[19_LENGTH]],",",""))+1,1),"")</f>
        <v/>
      </c>
      <c r="AS540" s="21">
        <f>SUM(Tabela1[[#This Row],[1_]:[19_]])</f>
        <v>1</v>
      </c>
    </row>
    <row r="541" spans="1:45" x14ac:dyDescent="0.25">
      <c r="A541" s="27" t="s">
        <v>1325</v>
      </c>
      <c r="B541" s="19" t="s">
        <v>586</v>
      </c>
      <c r="C541" s="19">
        <v>202</v>
      </c>
      <c r="D541" s="19" t="s">
        <v>1315</v>
      </c>
      <c r="E541" s="20">
        <v>43540</v>
      </c>
      <c r="F541" s="19"/>
      <c r="G541" s="19">
        <v>140</v>
      </c>
      <c r="H541" s="19"/>
      <c r="I541" s="19"/>
      <c r="J541" s="19"/>
      <c r="K541" s="19"/>
      <c r="L541" s="19"/>
      <c r="M541" s="19"/>
      <c r="N541" s="19"/>
      <c r="O541" s="19"/>
      <c r="P541" s="19"/>
      <c r="Q541" s="19"/>
      <c r="R541" s="19"/>
      <c r="S541" s="19"/>
      <c r="T541" s="19"/>
      <c r="U541" s="19"/>
      <c r="V541" s="19"/>
      <c r="W541" s="19"/>
      <c r="X541" s="19"/>
      <c r="Y541" s="19"/>
      <c r="Z541" t="str">
        <f>IF(Tabela1[[#This Row],[1]]&lt;&gt;"",IF(ISNUMBER(FIND(",",Tabela1[[#This Row],[1]])),LEN(Tabela1[[#This Row],[1]])-LEN(SUBSTITUTE(Tabela1[[#This Row],[1]],",",""))+1,1),"")</f>
        <v/>
      </c>
      <c r="AA541">
        <f>IF(Tabela1[[#This Row],[2]]&lt;&gt;"",IF(ISNUMBER(FIND(",",Tabela1[[#This Row],[2]])),LEN(Tabela1[[#This Row],[2]])-LEN(SUBSTITUTE(Tabela1[[#This Row],[2]],",",""))+1,1),"")</f>
        <v>1</v>
      </c>
      <c r="AB541" t="str">
        <f>IF(Tabela1[[#This Row],[3]]&lt;&gt;"",IF(ISNUMBER(FIND(",",Tabela1[[#This Row],[3]])),LEN(Tabela1[[#This Row],[3]])-LEN(SUBSTITUTE(Tabela1[[#This Row],[3]],",",""))+1,1),"")</f>
        <v/>
      </c>
      <c r="AC541" t="str">
        <f>IF(Tabela1[[#This Row],[4]]&lt;&gt;"",IF(ISNUMBER(FIND(",",Tabela1[[#This Row],[4]])),LEN(Tabela1[[#This Row],[4]])-LEN(SUBSTITUTE(Tabela1[[#This Row],[4]],",",""))+1,1),"")</f>
        <v/>
      </c>
      <c r="AD541" t="str">
        <f>IF(Tabela1[[#This Row],[5]]&lt;&gt;"",IF(ISNUMBER(FIND(",",Tabela1[[#This Row],[5]])),LEN(Tabela1[[#This Row],[5]])-LEN(SUBSTITUTE(Tabela1[[#This Row],[5]],",",""))+1,1),"")</f>
        <v/>
      </c>
      <c r="AE541" t="str">
        <f>IF(Tabela1[[#This Row],[6]]&lt;&gt;"",IF(ISNUMBER(FIND(",",Tabela1[[#This Row],[6]])),LEN(Tabela1[[#This Row],[6]])-LEN(SUBSTITUTE(Tabela1[[#This Row],[6]],",",""))+1,1),"")</f>
        <v/>
      </c>
      <c r="AF541" t="str">
        <f>IF(Tabela1[[#This Row],[7]]&lt;&gt;"",IF(ISNUMBER(FIND(",",Tabela1[[#This Row],[7]])),LEN(Tabela1[[#This Row],[7]])-LEN(SUBSTITUTE(Tabela1[[#This Row],[7]],",",""))+1,1),"")</f>
        <v/>
      </c>
      <c r="AG541" t="str">
        <f>IF(Tabela1[[#This Row],[8]]&lt;&gt;"",IF(ISNUMBER(FIND(",",Tabela1[[#This Row],[8]])),LEN(Tabela1[[#This Row],[8]])-LEN(SUBSTITUTE(Tabela1[[#This Row],[8]],",",""))+1,1),"")</f>
        <v/>
      </c>
      <c r="AH541" t="str">
        <f>IF(Tabela1[[#This Row],[9]]&lt;&gt;"",IF(ISNUMBER(FIND(",",Tabela1[[#This Row],[9]])),LEN(Tabela1[[#This Row],[9]])-LEN(SUBSTITUTE(Tabela1[[#This Row],[9]],",",""))+1,1),"")</f>
        <v/>
      </c>
      <c r="AI541" t="str">
        <f>IF(Tabela1[[#This Row],[10]]&lt;&gt;"",IF(ISNUMBER(FIND(",",Tabela1[[#This Row],[10]])),LEN(Tabela1[[#This Row],[10]])-LEN(SUBSTITUTE(Tabela1[[#This Row],[10]],",",""))+1,1),"")</f>
        <v/>
      </c>
      <c r="AJ541" t="str">
        <f>IF(Tabela1[[#This Row],[11]]&lt;&gt;"",IF(ISNUMBER(FIND(",",Tabela1[[#This Row],[11]])),LEN(Tabela1[[#This Row],[11]])-LEN(SUBSTITUTE(Tabela1[[#This Row],[11]],",",""))+1,1),"")</f>
        <v/>
      </c>
      <c r="AK541" t="str">
        <f>IF(Tabela1[[#This Row],[12]]&lt;&gt;"",IF(ISNUMBER(FIND(",",Tabela1[[#This Row],[12]])),LEN(Tabela1[[#This Row],[12]])-LEN(SUBSTITUTE(Tabela1[[#This Row],[12]],",",""))+1,1),"")</f>
        <v/>
      </c>
      <c r="AL541" t="str">
        <f>IF(Tabela1[[#This Row],[13]]&lt;&gt;"",IF(ISNUMBER(FIND(",",Tabela1[[#This Row],[13]])),LEN(Tabela1[[#This Row],[13]])-LEN(SUBSTITUTE(Tabela1[[#This Row],[13]],",",""))+1,1),"")</f>
        <v/>
      </c>
      <c r="AM541" t="str">
        <f>IF(Tabela1[[#This Row],[14]]&lt;&gt;"",IF(ISNUMBER(FIND(",",Tabela1[[#This Row],[14]])),LEN(Tabela1[[#This Row],[14]])-LEN(SUBSTITUTE(Tabela1[[#This Row],[14]],",",""))+1,1),"")</f>
        <v/>
      </c>
      <c r="AN541" t="str">
        <f>IF(Tabela1[[#This Row],[15]]&lt;&gt;"",IF(ISNUMBER(FIND(",",Tabela1[[#This Row],[15]])),LEN(Tabela1[[#This Row],[15]])-LEN(SUBSTITUTE(Tabela1[[#This Row],[15]],",",""))+1,1),"")</f>
        <v/>
      </c>
      <c r="AO541" t="str">
        <f>IF(Tabela1[[#This Row],[16]]&lt;&gt;"",IF(ISNUMBER(FIND(",",Tabela1[[#This Row],[16]])),LEN(Tabela1[[#This Row],[16]])-LEN(SUBSTITUTE(Tabela1[[#This Row],[16]],",",""))+1,1),"")</f>
        <v/>
      </c>
      <c r="AP541" t="str">
        <f>IF(Tabela1[[#This Row],[17]]&lt;&gt;"",IF(ISNUMBER(FIND(",",Tabela1[[#This Row],[17]])),LEN(Tabela1[[#This Row],[17]])-LEN(SUBSTITUTE(Tabela1[[#This Row],[17]],",",""))+1,1),"")</f>
        <v/>
      </c>
      <c r="AQ541" t="str">
        <f>IF(Tabela1[[#This Row],[18]]&lt;&gt;"",IF(ISNUMBER(FIND(",",Tabela1[[#This Row],[18]])),LEN(Tabela1[[#This Row],[18]])-LEN(SUBSTITUTE(Tabela1[[#This Row],[18]],",",""))+1,1),"")</f>
        <v/>
      </c>
      <c r="AR541" s="13" t="str">
        <f>IF(Tabela1[[#This Row],[19_LENGTH]]&lt;&gt;"",IF(ISNUMBER(FIND(",",Tabela1[[#This Row],[19_LENGTH]])),LEN(Tabela1[[#This Row],[19_LENGTH]])-LEN(SUBSTITUTE(Tabela1[[#This Row],[19_LENGTH]],",",""))+1,1),"")</f>
        <v/>
      </c>
      <c r="AS541" s="21">
        <f>SUM(Tabela1[[#This Row],[1_]:[19_]])</f>
        <v>1</v>
      </c>
    </row>
    <row r="542" spans="1:45" x14ac:dyDescent="0.25">
      <c r="A542" s="27" t="s">
        <v>1325</v>
      </c>
      <c r="B542" s="19" t="s">
        <v>878</v>
      </c>
      <c r="C542" s="19">
        <v>202</v>
      </c>
      <c r="D542" s="19" t="s">
        <v>1297</v>
      </c>
      <c r="E542" s="20">
        <v>43539</v>
      </c>
      <c r="F542" s="19"/>
      <c r="G542" s="19"/>
      <c r="H542" s="19"/>
      <c r="I542" s="19">
        <v>21</v>
      </c>
      <c r="J542" s="19"/>
      <c r="K542" s="19"/>
      <c r="L542" s="19"/>
      <c r="M542" s="19"/>
      <c r="N542" s="19"/>
      <c r="O542" s="19"/>
      <c r="P542" s="19"/>
      <c r="Q542" s="19"/>
      <c r="R542" s="19"/>
      <c r="S542" s="19"/>
      <c r="T542" s="19"/>
      <c r="U542" s="19"/>
      <c r="V542" s="19"/>
      <c r="W542" s="19"/>
      <c r="X542" s="19"/>
      <c r="Y542" s="19"/>
      <c r="Z542" t="str">
        <f>IF(Tabela1[[#This Row],[1]]&lt;&gt;"",IF(ISNUMBER(FIND(",",Tabela1[[#This Row],[1]])),LEN(Tabela1[[#This Row],[1]])-LEN(SUBSTITUTE(Tabela1[[#This Row],[1]],",",""))+1,1),"")</f>
        <v/>
      </c>
      <c r="AA542" t="str">
        <f>IF(Tabela1[[#This Row],[2]]&lt;&gt;"",IF(ISNUMBER(FIND(",",Tabela1[[#This Row],[2]])),LEN(Tabela1[[#This Row],[2]])-LEN(SUBSTITUTE(Tabela1[[#This Row],[2]],",",""))+1,1),"")</f>
        <v/>
      </c>
      <c r="AB542" t="str">
        <f>IF(Tabela1[[#This Row],[3]]&lt;&gt;"",IF(ISNUMBER(FIND(",",Tabela1[[#This Row],[3]])),LEN(Tabela1[[#This Row],[3]])-LEN(SUBSTITUTE(Tabela1[[#This Row],[3]],",",""))+1,1),"")</f>
        <v/>
      </c>
      <c r="AC542">
        <f>IF(Tabela1[[#This Row],[4]]&lt;&gt;"",IF(ISNUMBER(FIND(",",Tabela1[[#This Row],[4]])),LEN(Tabela1[[#This Row],[4]])-LEN(SUBSTITUTE(Tabela1[[#This Row],[4]],",",""))+1,1),"")</f>
        <v>1</v>
      </c>
      <c r="AD542" t="str">
        <f>IF(Tabela1[[#This Row],[5]]&lt;&gt;"",IF(ISNUMBER(FIND(",",Tabela1[[#This Row],[5]])),LEN(Tabela1[[#This Row],[5]])-LEN(SUBSTITUTE(Tabela1[[#This Row],[5]],",",""))+1,1),"")</f>
        <v/>
      </c>
      <c r="AE542" t="str">
        <f>IF(Tabela1[[#This Row],[6]]&lt;&gt;"",IF(ISNUMBER(FIND(",",Tabela1[[#This Row],[6]])),LEN(Tabela1[[#This Row],[6]])-LEN(SUBSTITUTE(Tabela1[[#This Row],[6]],",",""))+1,1),"")</f>
        <v/>
      </c>
      <c r="AF542" t="str">
        <f>IF(Tabela1[[#This Row],[7]]&lt;&gt;"",IF(ISNUMBER(FIND(",",Tabela1[[#This Row],[7]])),LEN(Tabela1[[#This Row],[7]])-LEN(SUBSTITUTE(Tabela1[[#This Row],[7]],",",""))+1,1),"")</f>
        <v/>
      </c>
      <c r="AG542" t="str">
        <f>IF(Tabela1[[#This Row],[8]]&lt;&gt;"",IF(ISNUMBER(FIND(",",Tabela1[[#This Row],[8]])),LEN(Tabela1[[#This Row],[8]])-LEN(SUBSTITUTE(Tabela1[[#This Row],[8]],",",""))+1,1),"")</f>
        <v/>
      </c>
      <c r="AH542" t="str">
        <f>IF(Tabela1[[#This Row],[9]]&lt;&gt;"",IF(ISNUMBER(FIND(",",Tabela1[[#This Row],[9]])),LEN(Tabela1[[#This Row],[9]])-LEN(SUBSTITUTE(Tabela1[[#This Row],[9]],",",""))+1,1),"")</f>
        <v/>
      </c>
      <c r="AI542" t="str">
        <f>IF(Tabela1[[#This Row],[10]]&lt;&gt;"",IF(ISNUMBER(FIND(",",Tabela1[[#This Row],[10]])),LEN(Tabela1[[#This Row],[10]])-LEN(SUBSTITUTE(Tabela1[[#This Row],[10]],",",""))+1,1),"")</f>
        <v/>
      </c>
      <c r="AJ542" t="str">
        <f>IF(Tabela1[[#This Row],[11]]&lt;&gt;"",IF(ISNUMBER(FIND(",",Tabela1[[#This Row],[11]])),LEN(Tabela1[[#This Row],[11]])-LEN(SUBSTITUTE(Tabela1[[#This Row],[11]],",",""))+1,1),"")</f>
        <v/>
      </c>
      <c r="AK542" t="str">
        <f>IF(Tabela1[[#This Row],[12]]&lt;&gt;"",IF(ISNUMBER(FIND(",",Tabela1[[#This Row],[12]])),LEN(Tabela1[[#This Row],[12]])-LEN(SUBSTITUTE(Tabela1[[#This Row],[12]],",",""))+1,1),"")</f>
        <v/>
      </c>
      <c r="AL542" t="str">
        <f>IF(Tabela1[[#This Row],[13]]&lt;&gt;"",IF(ISNUMBER(FIND(",",Tabela1[[#This Row],[13]])),LEN(Tabela1[[#This Row],[13]])-LEN(SUBSTITUTE(Tabela1[[#This Row],[13]],",",""))+1,1),"")</f>
        <v/>
      </c>
      <c r="AM542" t="str">
        <f>IF(Tabela1[[#This Row],[14]]&lt;&gt;"",IF(ISNUMBER(FIND(",",Tabela1[[#This Row],[14]])),LEN(Tabela1[[#This Row],[14]])-LEN(SUBSTITUTE(Tabela1[[#This Row],[14]],",",""))+1,1),"")</f>
        <v/>
      </c>
      <c r="AN542" t="str">
        <f>IF(Tabela1[[#This Row],[15]]&lt;&gt;"",IF(ISNUMBER(FIND(",",Tabela1[[#This Row],[15]])),LEN(Tabela1[[#This Row],[15]])-LEN(SUBSTITUTE(Tabela1[[#This Row],[15]],",",""))+1,1),"")</f>
        <v/>
      </c>
      <c r="AO542" t="str">
        <f>IF(Tabela1[[#This Row],[16]]&lt;&gt;"",IF(ISNUMBER(FIND(",",Tabela1[[#This Row],[16]])),LEN(Tabela1[[#This Row],[16]])-LEN(SUBSTITUTE(Tabela1[[#This Row],[16]],",",""))+1,1),"")</f>
        <v/>
      </c>
      <c r="AP542" t="str">
        <f>IF(Tabela1[[#This Row],[17]]&lt;&gt;"",IF(ISNUMBER(FIND(",",Tabela1[[#This Row],[17]])),LEN(Tabela1[[#This Row],[17]])-LEN(SUBSTITUTE(Tabela1[[#This Row],[17]],",",""))+1,1),"")</f>
        <v/>
      </c>
      <c r="AQ542" t="str">
        <f>IF(Tabela1[[#This Row],[18]]&lt;&gt;"",IF(ISNUMBER(FIND(",",Tabela1[[#This Row],[18]])),LEN(Tabela1[[#This Row],[18]])-LEN(SUBSTITUTE(Tabela1[[#This Row],[18]],",",""))+1,1),"")</f>
        <v/>
      </c>
      <c r="AR542" s="13" t="str">
        <f>IF(Tabela1[[#This Row],[19_LENGTH]]&lt;&gt;"",IF(ISNUMBER(FIND(",",Tabela1[[#This Row],[19_LENGTH]])),LEN(Tabela1[[#This Row],[19_LENGTH]])-LEN(SUBSTITUTE(Tabela1[[#This Row],[19_LENGTH]],",",""))+1,1),"")</f>
        <v/>
      </c>
      <c r="AS542" s="21">
        <f>SUM(Tabela1[[#This Row],[1_]:[19_]])</f>
        <v>1</v>
      </c>
    </row>
    <row r="543" spans="1:45" x14ac:dyDescent="0.25">
      <c r="A543" s="27" t="s">
        <v>1325</v>
      </c>
      <c r="B543" s="19" t="s">
        <v>587</v>
      </c>
      <c r="C543" s="19">
        <v>214</v>
      </c>
      <c r="D543" s="19" t="s">
        <v>1301</v>
      </c>
      <c r="E543" s="20">
        <v>43539</v>
      </c>
      <c r="F543" s="19"/>
      <c r="G543" s="19"/>
      <c r="H543" s="19"/>
      <c r="I543" s="19"/>
      <c r="J543" s="19"/>
      <c r="K543" s="19"/>
      <c r="L543" s="19"/>
      <c r="M543" s="19">
        <v>204</v>
      </c>
      <c r="N543" s="19"/>
      <c r="O543" s="19"/>
      <c r="P543" s="19"/>
      <c r="Q543" s="19"/>
      <c r="R543" s="19"/>
      <c r="S543" s="19"/>
      <c r="T543" s="19"/>
      <c r="U543" s="19"/>
      <c r="V543" s="19"/>
      <c r="W543" s="19"/>
      <c r="X543" s="19"/>
      <c r="Y543" s="19"/>
      <c r="Z543" t="str">
        <f>IF(Tabela1[[#This Row],[1]]&lt;&gt;"",IF(ISNUMBER(FIND(",",Tabela1[[#This Row],[1]])),LEN(Tabela1[[#This Row],[1]])-LEN(SUBSTITUTE(Tabela1[[#This Row],[1]],",",""))+1,1),"")</f>
        <v/>
      </c>
      <c r="AA543" t="str">
        <f>IF(Tabela1[[#This Row],[2]]&lt;&gt;"",IF(ISNUMBER(FIND(",",Tabela1[[#This Row],[2]])),LEN(Tabela1[[#This Row],[2]])-LEN(SUBSTITUTE(Tabela1[[#This Row],[2]],",",""))+1,1),"")</f>
        <v/>
      </c>
      <c r="AB543" t="str">
        <f>IF(Tabela1[[#This Row],[3]]&lt;&gt;"",IF(ISNUMBER(FIND(",",Tabela1[[#This Row],[3]])),LEN(Tabela1[[#This Row],[3]])-LEN(SUBSTITUTE(Tabela1[[#This Row],[3]],",",""))+1,1),"")</f>
        <v/>
      </c>
      <c r="AC543" t="str">
        <f>IF(Tabela1[[#This Row],[4]]&lt;&gt;"",IF(ISNUMBER(FIND(",",Tabela1[[#This Row],[4]])),LEN(Tabela1[[#This Row],[4]])-LEN(SUBSTITUTE(Tabela1[[#This Row],[4]],",",""))+1,1),"")</f>
        <v/>
      </c>
      <c r="AD543" t="str">
        <f>IF(Tabela1[[#This Row],[5]]&lt;&gt;"",IF(ISNUMBER(FIND(",",Tabela1[[#This Row],[5]])),LEN(Tabela1[[#This Row],[5]])-LEN(SUBSTITUTE(Tabela1[[#This Row],[5]],",",""))+1,1),"")</f>
        <v/>
      </c>
      <c r="AE543" t="str">
        <f>IF(Tabela1[[#This Row],[6]]&lt;&gt;"",IF(ISNUMBER(FIND(",",Tabela1[[#This Row],[6]])),LEN(Tabela1[[#This Row],[6]])-LEN(SUBSTITUTE(Tabela1[[#This Row],[6]],",",""))+1,1),"")</f>
        <v/>
      </c>
      <c r="AF543" t="str">
        <f>IF(Tabela1[[#This Row],[7]]&lt;&gt;"",IF(ISNUMBER(FIND(",",Tabela1[[#This Row],[7]])),LEN(Tabela1[[#This Row],[7]])-LEN(SUBSTITUTE(Tabela1[[#This Row],[7]],",",""))+1,1),"")</f>
        <v/>
      </c>
      <c r="AG543">
        <f>IF(Tabela1[[#This Row],[8]]&lt;&gt;"",IF(ISNUMBER(FIND(",",Tabela1[[#This Row],[8]])),LEN(Tabela1[[#This Row],[8]])-LEN(SUBSTITUTE(Tabela1[[#This Row],[8]],",",""))+1,1),"")</f>
        <v>1</v>
      </c>
      <c r="AH543" t="str">
        <f>IF(Tabela1[[#This Row],[9]]&lt;&gt;"",IF(ISNUMBER(FIND(",",Tabela1[[#This Row],[9]])),LEN(Tabela1[[#This Row],[9]])-LEN(SUBSTITUTE(Tabela1[[#This Row],[9]],",",""))+1,1),"")</f>
        <v/>
      </c>
      <c r="AI543" t="str">
        <f>IF(Tabela1[[#This Row],[10]]&lt;&gt;"",IF(ISNUMBER(FIND(",",Tabela1[[#This Row],[10]])),LEN(Tabela1[[#This Row],[10]])-LEN(SUBSTITUTE(Tabela1[[#This Row],[10]],",",""))+1,1),"")</f>
        <v/>
      </c>
      <c r="AJ543" t="str">
        <f>IF(Tabela1[[#This Row],[11]]&lt;&gt;"",IF(ISNUMBER(FIND(",",Tabela1[[#This Row],[11]])),LEN(Tabela1[[#This Row],[11]])-LEN(SUBSTITUTE(Tabela1[[#This Row],[11]],",",""))+1,1),"")</f>
        <v/>
      </c>
      <c r="AK543" t="str">
        <f>IF(Tabela1[[#This Row],[12]]&lt;&gt;"",IF(ISNUMBER(FIND(",",Tabela1[[#This Row],[12]])),LEN(Tabela1[[#This Row],[12]])-LEN(SUBSTITUTE(Tabela1[[#This Row],[12]],",",""))+1,1),"")</f>
        <v/>
      </c>
      <c r="AL543" t="str">
        <f>IF(Tabela1[[#This Row],[13]]&lt;&gt;"",IF(ISNUMBER(FIND(",",Tabela1[[#This Row],[13]])),LEN(Tabela1[[#This Row],[13]])-LEN(SUBSTITUTE(Tabela1[[#This Row],[13]],",",""))+1,1),"")</f>
        <v/>
      </c>
      <c r="AM543" t="str">
        <f>IF(Tabela1[[#This Row],[14]]&lt;&gt;"",IF(ISNUMBER(FIND(",",Tabela1[[#This Row],[14]])),LEN(Tabela1[[#This Row],[14]])-LEN(SUBSTITUTE(Tabela1[[#This Row],[14]],",",""))+1,1),"")</f>
        <v/>
      </c>
      <c r="AN543" t="str">
        <f>IF(Tabela1[[#This Row],[15]]&lt;&gt;"",IF(ISNUMBER(FIND(",",Tabela1[[#This Row],[15]])),LEN(Tabela1[[#This Row],[15]])-LEN(SUBSTITUTE(Tabela1[[#This Row],[15]],",",""))+1,1),"")</f>
        <v/>
      </c>
      <c r="AO543" t="str">
        <f>IF(Tabela1[[#This Row],[16]]&lt;&gt;"",IF(ISNUMBER(FIND(",",Tabela1[[#This Row],[16]])),LEN(Tabela1[[#This Row],[16]])-LEN(SUBSTITUTE(Tabela1[[#This Row],[16]],",",""))+1,1),"")</f>
        <v/>
      </c>
      <c r="AP543" t="str">
        <f>IF(Tabela1[[#This Row],[17]]&lt;&gt;"",IF(ISNUMBER(FIND(",",Tabela1[[#This Row],[17]])),LEN(Tabela1[[#This Row],[17]])-LEN(SUBSTITUTE(Tabela1[[#This Row],[17]],",",""))+1,1),"")</f>
        <v/>
      </c>
      <c r="AQ543" t="str">
        <f>IF(Tabela1[[#This Row],[18]]&lt;&gt;"",IF(ISNUMBER(FIND(",",Tabela1[[#This Row],[18]])),LEN(Tabela1[[#This Row],[18]])-LEN(SUBSTITUTE(Tabela1[[#This Row],[18]],",",""))+1,1),"")</f>
        <v/>
      </c>
      <c r="AR543" s="13" t="str">
        <f>IF(Tabela1[[#This Row],[19_LENGTH]]&lt;&gt;"",IF(ISNUMBER(FIND(",",Tabela1[[#This Row],[19_LENGTH]])),LEN(Tabela1[[#This Row],[19_LENGTH]])-LEN(SUBSTITUTE(Tabela1[[#This Row],[19_LENGTH]],",",""))+1,1),"")</f>
        <v/>
      </c>
      <c r="AS543" s="21">
        <f>SUM(Tabela1[[#This Row],[1_]:[19_]])</f>
        <v>1</v>
      </c>
    </row>
    <row r="544" spans="1:45" x14ac:dyDescent="0.25">
      <c r="A544" s="27" t="s">
        <v>1325</v>
      </c>
      <c r="B544" s="19" t="s">
        <v>588</v>
      </c>
      <c r="C544" s="19">
        <v>202</v>
      </c>
      <c r="D544" s="19" t="s">
        <v>1301</v>
      </c>
      <c r="E544" s="20">
        <v>43539</v>
      </c>
      <c r="F544" s="19"/>
      <c r="G544" s="19"/>
      <c r="H544" s="19"/>
      <c r="I544" s="19">
        <v>70</v>
      </c>
      <c r="J544" s="19"/>
      <c r="K544" s="19"/>
      <c r="L544" s="19"/>
      <c r="M544" s="19"/>
      <c r="N544" s="19"/>
      <c r="O544" s="19"/>
      <c r="P544" s="19"/>
      <c r="Q544" s="19"/>
      <c r="R544" s="19"/>
      <c r="S544" s="19"/>
      <c r="T544" s="19"/>
      <c r="U544" s="19"/>
      <c r="V544" s="19"/>
      <c r="W544" s="19"/>
      <c r="X544" s="19"/>
      <c r="Y544" s="19"/>
      <c r="Z544" t="str">
        <f>IF(Tabela1[[#This Row],[1]]&lt;&gt;"",IF(ISNUMBER(FIND(",",Tabela1[[#This Row],[1]])),LEN(Tabela1[[#This Row],[1]])-LEN(SUBSTITUTE(Tabela1[[#This Row],[1]],",",""))+1,1),"")</f>
        <v/>
      </c>
      <c r="AA544" t="str">
        <f>IF(Tabela1[[#This Row],[2]]&lt;&gt;"",IF(ISNUMBER(FIND(",",Tabela1[[#This Row],[2]])),LEN(Tabela1[[#This Row],[2]])-LEN(SUBSTITUTE(Tabela1[[#This Row],[2]],",",""))+1,1),"")</f>
        <v/>
      </c>
      <c r="AB544" t="str">
        <f>IF(Tabela1[[#This Row],[3]]&lt;&gt;"",IF(ISNUMBER(FIND(",",Tabela1[[#This Row],[3]])),LEN(Tabela1[[#This Row],[3]])-LEN(SUBSTITUTE(Tabela1[[#This Row],[3]],",",""))+1,1),"")</f>
        <v/>
      </c>
      <c r="AC544">
        <f>IF(Tabela1[[#This Row],[4]]&lt;&gt;"",IF(ISNUMBER(FIND(",",Tabela1[[#This Row],[4]])),LEN(Tabela1[[#This Row],[4]])-LEN(SUBSTITUTE(Tabela1[[#This Row],[4]],",",""))+1,1),"")</f>
        <v>1</v>
      </c>
      <c r="AD544" t="str">
        <f>IF(Tabela1[[#This Row],[5]]&lt;&gt;"",IF(ISNUMBER(FIND(",",Tabela1[[#This Row],[5]])),LEN(Tabela1[[#This Row],[5]])-LEN(SUBSTITUTE(Tabela1[[#This Row],[5]],",",""))+1,1),"")</f>
        <v/>
      </c>
      <c r="AE544" t="str">
        <f>IF(Tabela1[[#This Row],[6]]&lt;&gt;"",IF(ISNUMBER(FIND(",",Tabela1[[#This Row],[6]])),LEN(Tabela1[[#This Row],[6]])-LEN(SUBSTITUTE(Tabela1[[#This Row],[6]],",",""))+1,1),"")</f>
        <v/>
      </c>
      <c r="AF544" t="str">
        <f>IF(Tabela1[[#This Row],[7]]&lt;&gt;"",IF(ISNUMBER(FIND(",",Tabela1[[#This Row],[7]])),LEN(Tabela1[[#This Row],[7]])-LEN(SUBSTITUTE(Tabela1[[#This Row],[7]],",",""))+1,1),"")</f>
        <v/>
      </c>
      <c r="AG544" t="str">
        <f>IF(Tabela1[[#This Row],[8]]&lt;&gt;"",IF(ISNUMBER(FIND(",",Tabela1[[#This Row],[8]])),LEN(Tabela1[[#This Row],[8]])-LEN(SUBSTITUTE(Tabela1[[#This Row],[8]],",",""))+1,1),"")</f>
        <v/>
      </c>
      <c r="AH544" t="str">
        <f>IF(Tabela1[[#This Row],[9]]&lt;&gt;"",IF(ISNUMBER(FIND(",",Tabela1[[#This Row],[9]])),LEN(Tabela1[[#This Row],[9]])-LEN(SUBSTITUTE(Tabela1[[#This Row],[9]],",",""))+1,1),"")</f>
        <v/>
      </c>
      <c r="AI544" t="str">
        <f>IF(Tabela1[[#This Row],[10]]&lt;&gt;"",IF(ISNUMBER(FIND(",",Tabela1[[#This Row],[10]])),LEN(Tabela1[[#This Row],[10]])-LEN(SUBSTITUTE(Tabela1[[#This Row],[10]],",",""))+1,1),"")</f>
        <v/>
      </c>
      <c r="AJ544" t="str">
        <f>IF(Tabela1[[#This Row],[11]]&lt;&gt;"",IF(ISNUMBER(FIND(",",Tabela1[[#This Row],[11]])),LEN(Tabela1[[#This Row],[11]])-LEN(SUBSTITUTE(Tabela1[[#This Row],[11]],",",""))+1,1),"")</f>
        <v/>
      </c>
      <c r="AK544" t="str">
        <f>IF(Tabela1[[#This Row],[12]]&lt;&gt;"",IF(ISNUMBER(FIND(",",Tabela1[[#This Row],[12]])),LEN(Tabela1[[#This Row],[12]])-LEN(SUBSTITUTE(Tabela1[[#This Row],[12]],",",""))+1,1),"")</f>
        <v/>
      </c>
      <c r="AL544" t="str">
        <f>IF(Tabela1[[#This Row],[13]]&lt;&gt;"",IF(ISNUMBER(FIND(",",Tabela1[[#This Row],[13]])),LEN(Tabela1[[#This Row],[13]])-LEN(SUBSTITUTE(Tabela1[[#This Row],[13]],",",""))+1,1),"")</f>
        <v/>
      </c>
      <c r="AM544" t="str">
        <f>IF(Tabela1[[#This Row],[14]]&lt;&gt;"",IF(ISNUMBER(FIND(",",Tabela1[[#This Row],[14]])),LEN(Tabela1[[#This Row],[14]])-LEN(SUBSTITUTE(Tabela1[[#This Row],[14]],",",""))+1,1),"")</f>
        <v/>
      </c>
      <c r="AN544" t="str">
        <f>IF(Tabela1[[#This Row],[15]]&lt;&gt;"",IF(ISNUMBER(FIND(",",Tabela1[[#This Row],[15]])),LEN(Tabela1[[#This Row],[15]])-LEN(SUBSTITUTE(Tabela1[[#This Row],[15]],",",""))+1,1),"")</f>
        <v/>
      </c>
      <c r="AO544" t="str">
        <f>IF(Tabela1[[#This Row],[16]]&lt;&gt;"",IF(ISNUMBER(FIND(",",Tabela1[[#This Row],[16]])),LEN(Tabela1[[#This Row],[16]])-LEN(SUBSTITUTE(Tabela1[[#This Row],[16]],",",""))+1,1),"")</f>
        <v/>
      </c>
      <c r="AP544" t="str">
        <f>IF(Tabela1[[#This Row],[17]]&lt;&gt;"",IF(ISNUMBER(FIND(",",Tabela1[[#This Row],[17]])),LEN(Tabela1[[#This Row],[17]])-LEN(SUBSTITUTE(Tabela1[[#This Row],[17]],",",""))+1,1),"")</f>
        <v/>
      </c>
      <c r="AQ544" t="str">
        <f>IF(Tabela1[[#This Row],[18]]&lt;&gt;"",IF(ISNUMBER(FIND(",",Tabela1[[#This Row],[18]])),LEN(Tabela1[[#This Row],[18]])-LEN(SUBSTITUTE(Tabela1[[#This Row],[18]],",",""))+1,1),"")</f>
        <v/>
      </c>
      <c r="AR544" s="13" t="str">
        <f>IF(Tabela1[[#This Row],[19_LENGTH]]&lt;&gt;"",IF(ISNUMBER(FIND(",",Tabela1[[#This Row],[19_LENGTH]])),LEN(Tabela1[[#This Row],[19_LENGTH]])-LEN(SUBSTITUTE(Tabela1[[#This Row],[19_LENGTH]],",",""))+1,1),"")</f>
        <v/>
      </c>
      <c r="AS544" s="21">
        <f>SUM(Tabela1[[#This Row],[1_]:[19_]])</f>
        <v>1</v>
      </c>
    </row>
    <row r="545" spans="1:45" x14ac:dyDescent="0.25">
      <c r="A545" s="27" t="s">
        <v>1325</v>
      </c>
      <c r="B545" s="19" t="s">
        <v>589</v>
      </c>
      <c r="C545" s="19">
        <v>202</v>
      </c>
      <c r="D545" s="19" t="s">
        <v>1297</v>
      </c>
      <c r="E545" s="20">
        <v>43539</v>
      </c>
      <c r="F545" s="19"/>
      <c r="G545" s="19"/>
      <c r="H545" s="19"/>
      <c r="I545" s="19"/>
      <c r="J545" s="19"/>
      <c r="K545" s="19">
        <v>47</v>
      </c>
      <c r="L545" s="19"/>
      <c r="M545" s="19"/>
      <c r="N545" s="19"/>
      <c r="O545" s="19"/>
      <c r="P545" s="19"/>
      <c r="Q545" s="19"/>
      <c r="R545" s="19"/>
      <c r="S545" s="19"/>
      <c r="T545" s="19"/>
      <c r="U545" s="19"/>
      <c r="V545" s="19"/>
      <c r="W545" s="19"/>
      <c r="X545" s="19"/>
      <c r="Y545" s="19"/>
      <c r="Z545" t="str">
        <f>IF(Tabela1[[#This Row],[1]]&lt;&gt;"",IF(ISNUMBER(FIND(",",Tabela1[[#This Row],[1]])),LEN(Tabela1[[#This Row],[1]])-LEN(SUBSTITUTE(Tabela1[[#This Row],[1]],",",""))+1,1),"")</f>
        <v/>
      </c>
      <c r="AA545" t="str">
        <f>IF(Tabela1[[#This Row],[2]]&lt;&gt;"",IF(ISNUMBER(FIND(",",Tabela1[[#This Row],[2]])),LEN(Tabela1[[#This Row],[2]])-LEN(SUBSTITUTE(Tabela1[[#This Row],[2]],",",""))+1,1),"")</f>
        <v/>
      </c>
      <c r="AB545" t="str">
        <f>IF(Tabela1[[#This Row],[3]]&lt;&gt;"",IF(ISNUMBER(FIND(",",Tabela1[[#This Row],[3]])),LEN(Tabela1[[#This Row],[3]])-LEN(SUBSTITUTE(Tabela1[[#This Row],[3]],",",""))+1,1),"")</f>
        <v/>
      </c>
      <c r="AC545" t="str">
        <f>IF(Tabela1[[#This Row],[4]]&lt;&gt;"",IF(ISNUMBER(FIND(",",Tabela1[[#This Row],[4]])),LEN(Tabela1[[#This Row],[4]])-LEN(SUBSTITUTE(Tabela1[[#This Row],[4]],",",""))+1,1),"")</f>
        <v/>
      </c>
      <c r="AD545" t="str">
        <f>IF(Tabela1[[#This Row],[5]]&lt;&gt;"",IF(ISNUMBER(FIND(",",Tabela1[[#This Row],[5]])),LEN(Tabela1[[#This Row],[5]])-LEN(SUBSTITUTE(Tabela1[[#This Row],[5]],",",""))+1,1),"")</f>
        <v/>
      </c>
      <c r="AE545">
        <f>IF(Tabela1[[#This Row],[6]]&lt;&gt;"",IF(ISNUMBER(FIND(",",Tabela1[[#This Row],[6]])),LEN(Tabela1[[#This Row],[6]])-LEN(SUBSTITUTE(Tabela1[[#This Row],[6]],",",""))+1,1),"")</f>
        <v>1</v>
      </c>
      <c r="AF545" t="str">
        <f>IF(Tabela1[[#This Row],[7]]&lt;&gt;"",IF(ISNUMBER(FIND(",",Tabela1[[#This Row],[7]])),LEN(Tabela1[[#This Row],[7]])-LEN(SUBSTITUTE(Tabela1[[#This Row],[7]],",",""))+1,1),"")</f>
        <v/>
      </c>
      <c r="AG545" t="str">
        <f>IF(Tabela1[[#This Row],[8]]&lt;&gt;"",IF(ISNUMBER(FIND(",",Tabela1[[#This Row],[8]])),LEN(Tabela1[[#This Row],[8]])-LEN(SUBSTITUTE(Tabela1[[#This Row],[8]],",",""))+1,1),"")</f>
        <v/>
      </c>
      <c r="AH545" t="str">
        <f>IF(Tabela1[[#This Row],[9]]&lt;&gt;"",IF(ISNUMBER(FIND(",",Tabela1[[#This Row],[9]])),LEN(Tabela1[[#This Row],[9]])-LEN(SUBSTITUTE(Tabela1[[#This Row],[9]],",",""))+1,1),"")</f>
        <v/>
      </c>
      <c r="AI545" t="str">
        <f>IF(Tabela1[[#This Row],[10]]&lt;&gt;"",IF(ISNUMBER(FIND(",",Tabela1[[#This Row],[10]])),LEN(Tabela1[[#This Row],[10]])-LEN(SUBSTITUTE(Tabela1[[#This Row],[10]],",",""))+1,1),"")</f>
        <v/>
      </c>
      <c r="AJ545" t="str">
        <f>IF(Tabela1[[#This Row],[11]]&lt;&gt;"",IF(ISNUMBER(FIND(",",Tabela1[[#This Row],[11]])),LEN(Tabela1[[#This Row],[11]])-LEN(SUBSTITUTE(Tabela1[[#This Row],[11]],",",""))+1,1),"")</f>
        <v/>
      </c>
      <c r="AK545" t="str">
        <f>IF(Tabela1[[#This Row],[12]]&lt;&gt;"",IF(ISNUMBER(FIND(",",Tabela1[[#This Row],[12]])),LEN(Tabela1[[#This Row],[12]])-LEN(SUBSTITUTE(Tabela1[[#This Row],[12]],",",""))+1,1),"")</f>
        <v/>
      </c>
      <c r="AL545" t="str">
        <f>IF(Tabela1[[#This Row],[13]]&lt;&gt;"",IF(ISNUMBER(FIND(",",Tabela1[[#This Row],[13]])),LEN(Tabela1[[#This Row],[13]])-LEN(SUBSTITUTE(Tabela1[[#This Row],[13]],",",""))+1,1),"")</f>
        <v/>
      </c>
      <c r="AM545" t="str">
        <f>IF(Tabela1[[#This Row],[14]]&lt;&gt;"",IF(ISNUMBER(FIND(",",Tabela1[[#This Row],[14]])),LEN(Tabela1[[#This Row],[14]])-LEN(SUBSTITUTE(Tabela1[[#This Row],[14]],",",""))+1,1),"")</f>
        <v/>
      </c>
      <c r="AN545" t="str">
        <f>IF(Tabela1[[#This Row],[15]]&lt;&gt;"",IF(ISNUMBER(FIND(",",Tabela1[[#This Row],[15]])),LEN(Tabela1[[#This Row],[15]])-LEN(SUBSTITUTE(Tabela1[[#This Row],[15]],",",""))+1,1),"")</f>
        <v/>
      </c>
      <c r="AO545" t="str">
        <f>IF(Tabela1[[#This Row],[16]]&lt;&gt;"",IF(ISNUMBER(FIND(",",Tabela1[[#This Row],[16]])),LEN(Tabela1[[#This Row],[16]])-LEN(SUBSTITUTE(Tabela1[[#This Row],[16]],",",""))+1,1),"")</f>
        <v/>
      </c>
      <c r="AP545" t="str">
        <f>IF(Tabela1[[#This Row],[17]]&lt;&gt;"",IF(ISNUMBER(FIND(",",Tabela1[[#This Row],[17]])),LEN(Tabela1[[#This Row],[17]])-LEN(SUBSTITUTE(Tabela1[[#This Row],[17]],",",""))+1,1),"")</f>
        <v/>
      </c>
      <c r="AQ545" t="str">
        <f>IF(Tabela1[[#This Row],[18]]&lt;&gt;"",IF(ISNUMBER(FIND(",",Tabela1[[#This Row],[18]])),LEN(Tabela1[[#This Row],[18]])-LEN(SUBSTITUTE(Tabela1[[#This Row],[18]],",",""))+1,1),"")</f>
        <v/>
      </c>
      <c r="AR545" s="13" t="str">
        <f>IF(Tabela1[[#This Row],[19_LENGTH]]&lt;&gt;"",IF(ISNUMBER(FIND(",",Tabela1[[#This Row],[19_LENGTH]])),LEN(Tabela1[[#This Row],[19_LENGTH]])-LEN(SUBSTITUTE(Tabela1[[#This Row],[19_LENGTH]],",",""))+1,1),"")</f>
        <v/>
      </c>
      <c r="AS545" s="21">
        <f>SUM(Tabela1[[#This Row],[1_]:[19_]])</f>
        <v>1</v>
      </c>
    </row>
    <row r="546" spans="1:45" x14ac:dyDescent="0.25">
      <c r="A546" s="27" t="s">
        <v>1325</v>
      </c>
      <c r="B546" s="19" t="s">
        <v>590</v>
      </c>
      <c r="C546" s="19">
        <v>202</v>
      </c>
      <c r="D546" s="19" t="s">
        <v>1297</v>
      </c>
      <c r="E546" s="20">
        <v>43539</v>
      </c>
      <c r="F546" s="19"/>
      <c r="G546" s="19"/>
      <c r="H546" s="19"/>
      <c r="I546" s="19"/>
      <c r="J546" s="19"/>
      <c r="K546" s="19"/>
      <c r="L546" s="19"/>
      <c r="M546" s="19"/>
      <c r="N546" s="19"/>
      <c r="O546" s="19"/>
      <c r="P546" s="19"/>
      <c r="Q546" s="19"/>
      <c r="R546" s="19"/>
      <c r="S546" s="19"/>
      <c r="T546" s="19"/>
      <c r="U546" s="19">
        <v>62</v>
      </c>
      <c r="V546" s="19"/>
      <c r="W546" s="19"/>
      <c r="X546" s="19"/>
      <c r="Y546" s="19"/>
      <c r="Z546" t="str">
        <f>IF(Tabela1[[#This Row],[1]]&lt;&gt;"",IF(ISNUMBER(FIND(",",Tabela1[[#This Row],[1]])),LEN(Tabela1[[#This Row],[1]])-LEN(SUBSTITUTE(Tabela1[[#This Row],[1]],",",""))+1,1),"")</f>
        <v/>
      </c>
      <c r="AA546" t="str">
        <f>IF(Tabela1[[#This Row],[2]]&lt;&gt;"",IF(ISNUMBER(FIND(",",Tabela1[[#This Row],[2]])),LEN(Tabela1[[#This Row],[2]])-LEN(SUBSTITUTE(Tabela1[[#This Row],[2]],",",""))+1,1),"")</f>
        <v/>
      </c>
      <c r="AB546" t="str">
        <f>IF(Tabela1[[#This Row],[3]]&lt;&gt;"",IF(ISNUMBER(FIND(",",Tabela1[[#This Row],[3]])),LEN(Tabela1[[#This Row],[3]])-LEN(SUBSTITUTE(Tabela1[[#This Row],[3]],",",""))+1,1),"")</f>
        <v/>
      </c>
      <c r="AC546" t="str">
        <f>IF(Tabela1[[#This Row],[4]]&lt;&gt;"",IF(ISNUMBER(FIND(",",Tabela1[[#This Row],[4]])),LEN(Tabela1[[#This Row],[4]])-LEN(SUBSTITUTE(Tabela1[[#This Row],[4]],",",""))+1,1),"")</f>
        <v/>
      </c>
      <c r="AD546" t="str">
        <f>IF(Tabela1[[#This Row],[5]]&lt;&gt;"",IF(ISNUMBER(FIND(",",Tabela1[[#This Row],[5]])),LEN(Tabela1[[#This Row],[5]])-LEN(SUBSTITUTE(Tabela1[[#This Row],[5]],",",""))+1,1),"")</f>
        <v/>
      </c>
      <c r="AE546" t="str">
        <f>IF(Tabela1[[#This Row],[6]]&lt;&gt;"",IF(ISNUMBER(FIND(",",Tabela1[[#This Row],[6]])),LEN(Tabela1[[#This Row],[6]])-LEN(SUBSTITUTE(Tabela1[[#This Row],[6]],",",""))+1,1),"")</f>
        <v/>
      </c>
      <c r="AF546" t="str">
        <f>IF(Tabela1[[#This Row],[7]]&lt;&gt;"",IF(ISNUMBER(FIND(",",Tabela1[[#This Row],[7]])),LEN(Tabela1[[#This Row],[7]])-LEN(SUBSTITUTE(Tabela1[[#This Row],[7]],",",""))+1,1),"")</f>
        <v/>
      </c>
      <c r="AG546" t="str">
        <f>IF(Tabela1[[#This Row],[8]]&lt;&gt;"",IF(ISNUMBER(FIND(",",Tabela1[[#This Row],[8]])),LEN(Tabela1[[#This Row],[8]])-LEN(SUBSTITUTE(Tabela1[[#This Row],[8]],",",""))+1,1),"")</f>
        <v/>
      </c>
      <c r="AH546" t="str">
        <f>IF(Tabela1[[#This Row],[9]]&lt;&gt;"",IF(ISNUMBER(FIND(",",Tabela1[[#This Row],[9]])),LEN(Tabela1[[#This Row],[9]])-LEN(SUBSTITUTE(Tabela1[[#This Row],[9]],",",""))+1,1),"")</f>
        <v/>
      </c>
      <c r="AI546" t="str">
        <f>IF(Tabela1[[#This Row],[10]]&lt;&gt;"",IF(ISNUMBER(FIND(",",Tabela1[[#This Row],[10]])),LEN(Tabela1[[#This Row],[10]])-LEN(SUBSTITUTE(Tabela1[[#This Row],[10]],",",""))+1,1),"")</f>
        <v/>
      </c>
      <c r="AJ546" t="str">
        <f>IF(Tabela1[[#This Row],[11]]&lt;&gt;"",IF(ISNUMBER(FIND(",",Tabela1[[#This Row],[11]])),LEN(Tabela1[[#This Row],[11]])-LEN(SUBSTITUTE(Tabela1[[#This Row],[11]],",",""))+1,1),"")</f>
        <v/>
      </c>
      <c r="AK546" t="str">
        <f>IF(Tabela1[[#This Row],[12]]&lt;&gt;"",IF(ISNUMBER(FIND(",",Tabela1[[#This Row],[12]])),LEN(Tabela1[[#This Row],[12]])-LEN(SUBSTITUTE(Tabela1[[#This Row],[12]],",",""))+1,1),"")</f>
        <v/>
      </c>
      <c r="AL546" t="str">
        <f>IF(Tabela1[[#This Row],[13]]&lt;&gt;"",IF(ISNUMBER(FIND(",",Tabela1[[#This Row],[13]])),LEN(Tabela1[[#This Row],[13]])-LEN(SUBSTITUTE(Tabela1[[#This Row],[13]],",",""))+1,1),"")</f>
        <v/>
      </c>
      <c r="AM546" t="str">
        <f>IF(Tabela1[[#This Row],[14]]&lt;&gt;"",IF(ISNUMBER(FIND(",",Tabela1[[#This Row],[14]])),LEN(Tabela1[[#This Row],[14]])-LEN(SUBSTITUTE(Tabela1[[#This Row],[14]],",",""))+1,1),"")</f>
        <v/>
      </c>
      <c r="AN546" t="str">
        <f>IF(Tabela1[[#This Row],[15]]&lt;&gt;"",IF(ISNUMBER(FIND(",",Tabela1[[#This Row],[15]])),LEN(Tabela1[[#This Row],[15]])-LEN(SUBSTITUTE(Tabela1[[#This Row],[15]],",",""))+1,1),"")</f>
        <v/>
      </c>
      <c r="AO546">
        <f>IF(Tabela1[[#This Row],[16]]&lt;&gt;"",IF(ISNUMBER(FIND(",",Tabela1[[#This Row],[16]])),LEN(Tabela1[[#This Row],[16]])-LEN(SUBSTITUTE(Tabela1[[#This Row],[16]],",",""))+1,1),"")</f>
        <v>1</v>
      </c>
      <c r="AP546" t="str">
        <f>IF(Tabela1[[#This Row],[17]]&lt;&gt;"",IF(ISNUMBER(FIND(",",Tabela1[[#This Row],[17]])),LEN(Tabela1[[#This Row],[17]])-LEN(SUBSTITUTE(Tabela1[[#This Row],[17]],",",""))+1,1),"")</f>
        <v/>
      </c>
      <c r="AQ546" t="str">
        <f>IF(Tabela1[[#This Row],[18]]&lt;&gt;"",IF(ISNUMBER(FIND(",",Tabela1[[#This Row],[18]])),LEN(Tabela1[[#This Row],[18]])-LEN(SUBSTITUTE(Tabela1[[#This Row],[18]],",",""))+1,1),"")</f>
        <v/>
      </c>
      <c r="AR546" s="13" t="str">
        <f>IF(Tabela1[[#This Row],[19_LENGTH]]&lt;&gt;"",IF(ISNUMBER(FIND(",",Tabela1[[#This Row],[19_LENGTH]])),LEN(Tabela1[[#This Row],[19_LENGTH]])-LEN(SUBSTITUTE(Tabela1[[#This Row],[19_LENGTH]],",",""))+1,1),"")</f>
        <v/>
      </c>
      <c r="AS546" s="21">
        <f>SUM(Tabela1[[#This Row],[1_]:[19_]])</f>
        <v>1</v>
      </c>
    </row>
    <row r="547" spans="1:45" x14ac:dyDescent="0.25">
      <c r="A547" s="27" t="s">
        <v>1325</v>
      </c>
      <c r="B547" s="19" t="s">
        <v>591</v>
      </c>
      <c r="C547" s="19">
        <v>202</v>
      </c>
      <c r="D547" s="19" t="s">
        <v>1297</v>
      </c>
      <c r="E547" s="20">
        <v>43539</v>
      </c>
      <c r="F547" s="19"/>
      <c r="G547" s="19"/>
      <c r="H547" s="19"/>
      <c r="I547" s="19">
        <v>42</v>
      </c>
      <c r="J547" s="19"/>
      <c r="K547" s="19"/>
      <c r="L547" s="19"/>
      <c r="M547" s="19"/>
      <c r="N547" s="19"/>
      <c r="O547" s="19"/>
      <c r="P547" s="19"/>
      <c r="Q547" s="19"/>
      <c r="R547" s="19"/>
      <c r="S547" s="19"/>
      <c r="T547" s="19"/>
      <c r="U547" s="19"/>
      <c r="V547" s="19"/>
      <c r="W547" s="19"/>
      <c r="X547" s="19"/>
      <c r="Y547" s="19"/>
      <c r="Z547" t="str">
        <f>IF(Tabela1[[#This Row],[1]]&lt;&gt;"",IF(ISNUMBER(FIND(",",Tabela1[[#This Row],[1]])),LEN(Tabela1[[#This Row],[1]])-LEN(SUBSTITUTE(Tabela1[[#This Row],[1]],",",""))+1,1),"")</f>
        <v/>
      </c>
      <c r="AA547" t="str">
        <f>IF(Tabela1[[#This Row],[2]]&lt;&gt;"",IF(ISNUMBER(FIND(",",Tabela1[[#This Row],[2]])),LEN(Tabela1[[#This Row],[2]])-LEN(SUBSTITUTE(Tabela1[[#This Row],[2]],",",""))+1,1),"")</f>
        <v/>
      </c>
      <c r="AB547" t="str">
        <f>IF(Tabela1[[#This Row],[3]]&lt;&gt;"",IF(ISNUMBER(FIND(",",Tabela1[[#This Row],[3]])),LEN(Tabela1[[#This Row],[3]])-LEN(SUBSTITUTE(Tabela1[[#This Row],[3]],",",""))+1,1),"")</f>
        <v/>
      </c>
      <c r="AC547">
        <f>IF(Tabela1[[#This Row],[4]]&lt;&gt;"",IF(ISNUMBER(FIND(",",Tabela1[[#This Row],[4]])),LEN(Tabela1[[#This Row],[4]])-LEN(SUBSTITUTE(Tabela1[[#This Row],[4]],",",""))+1,1),"")</f>
        <v>1</v>
      </c>
      <c r="AD547" t="str">
        <f>IF(Tabela1[[#This Row],[5]]&lt;&gt;"",IF(ISNUMBER(FIND(",",Tabela1[[#This Row],[5]])),LEN(Tabela1[[#This Row],[5]])-LEN(SUBSTITUTE(Tabela1[[#This Row],[5]],",",""))+1,1),"")</f>
        <v/>
      </c>
      <c r="AE547" t="str">
        <f>IF(Tabela1[[#This Row],[6]]&lt;&gt;"",IF(ISNUMBER(FIND(",",Tabela1[[#This Row],[6]])),LEN(Tabela1[[#This Row],[6]])-LEN(SUBSTITUTE(Tabela1[[#This Row],[6]],",",""))+1,1),"")</f>
        <v/>
      </c>
      <c r="AF547" t="str">
        <f>IF(Tabela1[[#This Row],[7]]&lt;&gt;"",IF(ISNUMBER(FIND(",",Tabela1[[#This Row],[7]])),LEN(Tabela1[[#This Row],[7]])-LEN(SUBSTITUTE(Tabela1[[#This Row],[7]],",",""))+1,1),"")</f>
        <v/>
      </c>
      <c r="AG547" t="str">
        <f>IF(Tabela1[[#This Row],[8]]&lt;&gt;"",IF(ISNUMBER(FIND(",",Tabela1[[#This Row],[8]])),LEN(Tabela1[[#This Row],[8]])-LEN(SUBSTITUTE(Tabela1[[#This Row],[8]],",",""))+1,1),"")</f>
        <v/>
      </c>
      <c r="AH547" t="str">
        <f>IF(Tabela1[[#This Row],[9]]&lt;&gt;"",IF(ISNUMBER(FIND(",",Tabela1[[#This Row],[9]])),LEN(Tabela1[[#This Row],[9]])-LEN(SUBSTITUTE(Tabela1[[#This Row],[9]],",",""))+1,1),"")</f>
        <v/>
      </c>
      <c r="AI547" t="str">
        <f>IF(Tabela1[[#This Row],[10]]&lt;&gt;"",IF(ISNUMBER(FIND(",",Tabela1[[#This Row],[10]])),LEN(Tabela1[[#This Row],[10]])-LEN(SUBSTITUTE(Tabela1[[#This Row],[10]],",",""))+1,1),"")</f>
        <v/>
      </c>
      <c r="AJ547" t="str">
        <f>IF(Tabela1[[#This Row],[11]]&lt;&gt;"",IF(ISNUMBER(FIND(",",Tabela1[[#This Row],[11]])),LEN(Tabela1[[#This Row],[11]])-LEN(SUBSTITUTE(Tabela1[[#This Row],[11]],",",""))+1,1),"")</f>
        <v/>
      </c>
      <c r="AK547" t="str">
        <f>IF(Tabela1[[#This Row],[12]]&lt;&gt;"",IF(ISNUMBER(FIND(",",Tabela1[[#This Row],[12]])),LEN(Tabela1[[#This Row],[12]])-LEN(SUBSTITUTE(Tabela1[[#This Row],[12]],",",""))+1,1),"")</f>
        <v/>
      </c>
      <c r="AL547" t="str">
        <f>IF(Tabela1[[#This Row],[13]]&lt;&gt;"",IF(ISNUMBER(FIND(",",Tabela1[[#This Row],[13]])),LEN(Tabela1[[#This Row],[13]])-LEN(SUBSTITUTE(Tabela1[[#This Row],[13]],",",""))+1,1),"")</f>
        <v/>
      </c>
      <c r="AM547" t="str">
        <f>IF(Tabela1[[#This Row],[14]]&lt;&gt;"",IF(ISNUMBER(FIND(",",Tabela1[[#This Row],[14]])),LEN(Tabela1[[#This Row],[14]])-LEN(SUBSTITUTE(Tabela1[[#This Row],[14]],",",""))+1,1),"")</f>
        <v/>
      </c>
      <c r="AN547" t="str">
        <f>IF(Tabela1[[#This Row],[15]]&lt;&gt;"",IF(ISNUMBER(FIND(",",Tabela1[[#This Row],[15]])),LEN(Tabela1[[#This Row],[15]])-LEN(SUBSTITUTE(Tabela1[[#This Row],[15]],",",""))+1,1),"")</f>
        <v/>
      </c>
      <c r="AO547" t="str">
        <f>IF(Tabela1[[#This Row],[16]]&lt;&gt;"",IF(ISNUMBER(FIND(",",Tabela1[[#This Row],[16]])),LEN(Tabela1[[#This Row],[16]])-LEN(SUBSTITUTE(Tabela1[[#This Row],[16]],",",""))+1,1),"")</f>
        <v/>
      </c>
      <c r="AP547" t="str">
        <f>IF(Tabela1[[#This Row],[17]]&lt;&gt;"",IF(ISNUMBER(FIND(",",Tabela1[[#This Row],[17]])),LEN(Tabela1[[#This Row],[17]])-LEN(SUBSTITUTE(Tabela1[[#This Row],[17]],",",""))+1,1),"")</f>
        <v/>
      </c>
      <c r="AQ547" t="str">
        <f>IF(Tabela1[[#This Row],[18]]&lt;&gt;"",IF(ISNUMBER(FIND(",",Tabela1[[#This Row],[18]])),LEN(Tabela1[[#This Row],[18]])-LEN(SUBSTITUTE(Tabela1[[#This Row],[18]],",",""))+1,1),"")</f>
        <v/>
      </c>
      <c r="AR547" s="13" t="str">
        <f>IF(Tabela1[[#This Row],[19_LENGTH]]&lt;&gt;"",IF(ISNUMBER(FIND(",",Tabela1[[#This Row],[19_LENGTH]])),LEN(Tabela1[[#This Row],[19_LENGTH]])-LEN(SUBSTITUTE(Tabela1[[#This Row],[19_LENGTH]],",",""))+1,1),"")</f>
        <v/>
      </c>
      <c r="AS547" s="21">
        <f>SUM(Tabela1[[#This Row],[1_]:[19_]])</f>
        <v>1</v>
      </c>
    </row>
    <row r="548" spans="1:45" x14ac:dyDescent="0.25">
      <c r="A548" s="27" t="s">
        <v>1325</v>
      </c>
      <c r="B548" s="19" t="s">
        <v>592</v>
      </c>
      <c r="C548" s="19">
        <v>202</v>
      </c>
      <c r="D548" s="19" t="s">
        <v>1297</v>
      </c>
      <c r="E548" s="20">
        <v>43539</v>
      </c>
      <c r="F548" s="19"/>
      <c r="G548" s="19"/>
      <c r="H548" s="19">
        <v>175</v>
      </c>
      <c r="I548" s="19"/>
      <c r="J548" s="19"/>
      <c r="K548" s="19"/>
      <c r="L548" s="19"/>
      <c r="M548" s="19"/>
      <c r="N548" s="19"/>
      <c r="O548" s="19">
        <v>175</v>
      </c>
      <c r="P548" s="19"/>
      <c r="Q548" s="19"/>
      <c r="R548" s="19"/>
      <c r="S548" s="19"/>
      <c r="T548" s="19"/>
      <c r="U548" s="19"/>
      <c r="V548" s="19"/>
      <c r="W548" s="19"/>
      <c r="X548" s="19"/>
      <c r="Y548" s="19"/>
      <c r="Z548" t="str">
        <f>IF(Tabela1[[#This Row],[1]]&lt;&gt;"",IF(ISNUMBER(FIND(",",Tabela1[[#This Row],[1]])),LEN(Tabela1[[#This Row],[1]])-LEN(SUBSTITUTE(Tabela1[[#This Row],[1]],",",""))+1,1),"")</f>
        <v/>
      </c>
      <c r="AA548" t="str">
        <f>IF(Tabela1[[#This Row],[2]]&lt;&gt;"",IF(ISNUMBER(FIND(",",Tabela1[[#This Row],[2]])),LEN(Tabela1[[#This Row],[2]])-LEN(SUBSTITUTE(Tabela1[[#This Row],[2]],",",""))+1,1),"")</f>
        <v/>
      </c>
      <c r="AB548">
        <f>IF(Tabela1[[#This Row],[3]]&lt;&gt;"",IF(ISNUMBER(FIND(",",Tabela1[[#This Row],[3]])),LEN(Tabela1[[#This Row],[3]])-LEN(SUBSTITUTE(Tabela1[[#This Row],[3]],",",""))+1,1),"")</f>
        <v>1</v>
      </c>
      <c r="AC548" t="str">
        <f>IF(Tabela1[[#This Row],[4]]&lt;&gt;"",IF(ISNUMBER(FIND(",",Tabela1[[#This Row],[4]])),LEN(Tabela1[[#This Row],[4]])-LEN(SUBSTITUTE(Tabela1[[#This Row],[4]],",",""))+1,1),"")</f>
        <v/>
      </c>
      <c r="AD548" t="str">
        <f>IF(Tabela1[[#This Row],[5]]&lt;&gt;"",IF(ISNUMBER(FIND(",",Tabela1[[#This Row],[5]])),LEN(Tabela1[[#This Row],[5]])-LEN(SUBSTITUTE(Tabela1[[#This Row],[5]],",",""))+1,1),"")</f>
        <v/>
      </c>
      <c r="AE548" t="str">
        <f>IF(Tabela1[[#This Row],[6]]&lt;&gt;"",IF(ISNUMBER(FIND(",",Tabela1[[#This Row],[6]])),LEN(Tabela1[[#This Row],[6]])-LEN(SUBSTITUTE(Tabela1[[#This Row],[6]],",",""))+1,1),"")</f>
        <v/>
      </c>
      <c r="AF548" t="str">
        <f>IF(Tabela1[[#This Row],[7]]&lt;&gt;"",IF(ISNUMBER(FIND(",",Tabela1[[#This Row],[7]])),LEN(Tabela1[[#This Row],[7]])-LEN(SUBSTITUTE(Tabela1[[#This Row],[7]],",",""))+1,1),"")</f>
        <v/>
      </c>
      <c r="AG548" t="str">
        <f>IF(Tabela1[[#This Row],[8]]&lt;&gt;"",IF(ISNUMBER(FIND(",",Tabela1[[#This Row],[8]])),LEN(Tabela1[[#This Row],[8]])-LEN(SUBSTITUTE(Tabela1[[#This Row],[8]],",",""))+1,1),"")</f>
        <v/>
      </c>
      <c r="AH548" t="str">
        <f>IF(Tabela1[[#This Row],[9]]&lt;&gt;"",IF(ISNUMBER(FIND(",",Tabela1[[#This Row],[9]])),LEN(Tabela1[[#This Row],[9]])-LEN(SUBSTITUTE(Tabela1[[#This Row],[9]],",",""))+1,1),"")</f>
        <v/>
      </c>
      <c r="AI548">
        <f>IF(Tabela1[[#This Row],[10]]&lt;&gt;"",IF(ISNUMBER(FIND(",",Tabela1[[#This Row],[10]])),LEN(Tabela1[[#This Row],[10]])-LEN(SUBSTITUTE(Tabela1[[#This Row],[10]],",",""))+1,1),"")</f>
        <v>1</v>
      </c>
      <c r="AJ548" t="str">
        <f>IF(Tabela1[[#This Row],[11]]&lt;&gt;"",IF(ISNUMBER(FIND(",",Tabela1[[#This Row],[11]])),LEN(Tabela1[[#This Row],[11]])-LEN(SUBSTITUTE(Tabela1[[#This Row],[11]],",",""))+1,1),"")</f>
        <v/>
      </c>
      <c r="AK548" t="str">
        <f>IF(Tabela1[[#This Row],[12]]&lt;&gt;"",IF(ISNUMBER(FIND(",",Tabela1[[#This Row],[12]])),LEN(Tabela1[[#This Row],[12]])-LEN(SUBSTITUTE(Tabela1[[#This Row],[12]],",",""))+1,1),"")</f>
        <v/>
      </c>
      <c r="AL548" t="str">
        <f>IF(Tabela1[[#This Row],[13]]&lt;&gt;"",IF(ISNUMBER(FIND(",",Tabela1[[#This Row],[13]])),LEN(Tabela1[[#This Row],[13]])-LEN(SUBSTITUTE(Tabela1[[#This Row],[13]],",",""))+1,1),"")</f>
        <v/>
      </c>
      <c r="AM548" t="str">
        <f>IF(Tabela1[[#This Row],[14]]&lt;&gt;"",IF(ISNUMBER(FIND(",",Tabela1[[#This Row],[14]])),LEN(Tabela1[[#This Row],[14]])-LEN(SUBSTITUTE(Tabela1[[#This Row],[14]],",",""))+1,1),"")</f>
        <v/>
      </c>
      <c r="AN548" t="str">
        <f>IF(Tabela1[[#This Row],[15]]&lt;&gt;"",IF(ISNUMBER(FIND(",",Tabela1[[#This Row],[15]])),LEN(Tabela1[[#This Row],[15]])-LEN(SUBSTITUTE(Tabela1[[#This Row],[15]],",",""))+1,1),"")</f>
        <v/>
      </c>
      <c r="AO548" t="str">
        <f>IF(Tabela1[[#This Row],[16]]&lt;&gt;"",IF(ISNUMBER(FIND(",",Tabela1[[#This Row],[16]])),LEN(Tabela1[[#This Row],[16]])-LEN(SUBSTITUTE(Tabela1[[#This Row],[16]],",",""))+1,1),"")</f>
        <v/>
      </c>
      <c r="AP548" t="str">
        <f>IF(Tabela1[[#This Row],[17]]&lt;&gt;"",IF(ISNUMBER(FIND(",",Tabela1[[#This Row],[17]])),LEN(Tabela1[[#This Row],[17]])-LEN(SUBSTITUTE(Tabela1[[#This Row],[17]],",",""))+1,1),"")</f>
        <v/>
      </c>
      <c r="AQ548" t="str">
        <f>IF(Tabela1[[#This Row],[18]]&lt;&gt;"",IF(ISNUMBER(FIND(",",Tabela1[[#This Row],[18]])),LEN(Tabela1[[#This Row],[18]])-LEN(SUBSTITUTE(Tabela1[[#This Row],[18]],",",""))+1,1),"")</f>
        <v/>
      </c>
      <c r="AR548" s="13" t="str">
        <f>IF(Tabela1[[#This Row],[19_LENGTH]]&lt;&gt;"",IF(ISNUMBER(FIND(",",Tabela1[[#This Row],[19_LENGTH]])),LEN(Tabela1[[#This Row],[19_LENGTH]])-LEN(SUBSTITUTE(Tabela1[[#This Row],[19_LENGTH]],",",""))+1,1),"")</f>
        <v/>
      </c>
      <c r="AS548" s="21">
        <f>SUM(Tabela1[[#This Row],[1_]:[19_]])</f>
        <v>2</v>
      </c>
    </row>
    <row r="549" spans="1:45" x14ac:dyDescent="0.25">
      <c r="A549" s="27" t="s">
        <v>1325</v>
      </c>
      <c r="B549" s="19" t="s">
        <v>593</v>
      </c>
      <c r="C549" s="19">
        <v>202</v>
      </c>
      <c r="D549" s="19" t="s">
        <v>1298</v>
      </c>
      <c r="E549" s="20">
        <v>43539</v>
      </c>
      <c r="F549" s="19"/>
      <c r="G549" s="19"/>
      <c r="H549" s="19"/>
      <c r="I549" s="19"/>
      <c r="J549" s="19"/>
      <c r="K549" s="19"/>
      <c r="L549" s="19"/>
      <c r="M549" s="19" t="s">
        <v>215</v>
      </c>
      <c r="N549" s="19"/>
      <c r="O549" s="19"/>
      <c r="P549" s="19"/>
      <c r="Q549" s="19"/>
      <c r="R549" s="19"/>
      <c r="S549" s="19"/>
      <c r="T549" s="19"/>
      <c r="U549" s="19"/>
      <c r="V549" s="19"/>
      <c r="W549" s="19"/>
      <c r="X549" s="19"/>
      <c r="Y549" s="19"/>
      <c r="Z549" t="str">
        <f>IF(Tabela1[[#This Row],[1]]&lt;&gt;"",IF(ISNUMBER(FIND(",",Tabela1[[#This Row],[1]])),LEN(Tabela1[[#This Row],[1]])-LEN(SUBSTITUTE(Tabela1[[#This Row],[1]],",",""))+1,1),"")</f>
        <v/>
      </c>
      <c r="AA549" t="str">
        <f>IF(Tabela1[[#This Row],[2]]&lt;&gt;"",IF(ISNUMBER(FIND(",",Tabela1[[#This Row],[2]])),LEN(Tabela1[[#This Row],[2]])-LEN(SUBSTITUTE(Tabela1[[#This Row],[2]],",",""))+1,1),"")</f>
        <v/>
      </c>
      <c r="AB549" t="str">
        <f>IF(Tabela1[[#This Row],[3]]&lt;&gt;"",IF(ISNUMBER(FIND(",",Tabela1[[#This Row],[3]])),LEN(Tabela1[[#This Row],[3]])-LEN(SUBSTITUTE(Tabela1[[#This Row],[3]],",",""))+1,1),"")</f>
        <v/>
      </c>
      <c r="AC549" t="str">
        <f>IF(Tabela1[[#This Row],[4]]&lt;&gt;"",IF(ISNUMBER(FIND(",",Tabela1[[#This Row],[4]])),LEN(Tabela1[[#This Row],[4]])-LEN(SUBSTITUTE(Tabela1[[#This Row],[4]],",",""))+1,1),"")</f>
        <v/>
      </c>
      <c r="AD549" t="str">
        <f>IF(Tabela1[[#This Row],[5]]&lt;&gt;"",IF(ISNUMBER(FIND(",",Tabela1[[#This Row],[5]])),LEN(Tabela1[[#This Row],[5]])-LEN(SUBSTITUTE(Tabela1[[#This Row],[5]],",",""))+1,1),"")</f>
        <v/>
      </c>
      <c r="AE549" t="str">
        <f>IF(Tabela1[[#This Row],[6]]&lt;&gt;"",IF(ISNUMBER(FIND(",",Tabela1[[#This Row],[6]])),LEN(Tabela1[[#This Row],[6]])-LEN(SUBSTITUTE(Tabela1[[#This Row],[6]],",",""))+1,1),"")</f>
        <v/>
      </c>
      <c r="AF549" t="str">
        <f>IF(Tabela1[[#This Row],[7]]&lt;&gt;"",IF(ISNUMBER(FIND(",",Tabela1[[#This Row],[7]])),LEN(Tabela1[[#This Row],[7]])-LEN(SUBSTITUTE(Tabela1[[#This Row],[7]],",",""))+1,1),"")</f>
        <v/>
      </c>
      <c r="AG549">
        <f>IF(Tabela1[[#This Row],[8]]&lt;&gt;"",IF(ISNUMBER(FIND(",",Tabela1[[#This Row],[8]])),LEN(Tabela1[[#This Row],[8]])-LEN(SUBSTITUTE(Tabela1[[#This Row],[8]],",",""))+1,1),"")</f>
        <v>1</v>
      </c>
      <c r="AH549" t="str">
        <f>IF(Tabela1[[#This Row],[9]]&lt;&gt;"",IF(ISNUMBER(FIND(",",Tabela1[[#This Row],[9]])),LEN(Tabela1[[#This Row],[9]])-LEN(SUBSTITUTE(Tabela1[[#This Row],[9]],",",""))+1,1),"")</f>
        <v/>
      </c>
      <c r="AI549" t="str">
        <f>IF(Tabela1[[#This Row],[10]]&lt;&gt;"",IF(ISNUMBER(FIND(",",Tabela1[[#This Row],[10]])),LEN(Tabela1[[#This Row],[10]])-LEN(SUBSTITUTE(Tabela1[[#This Row],[10]],",",""))+1,1),"")</f>
        <v/>
      </c>
      <c r="AJ549" t="str">
        <f>IF(Tabela1[[#This Row],[11]]&lt;&gt;"",IF(ISNUMBER(FIND(",",Tabela1[[#This Row],[11]])),LEN(Tabela1[[#This Row],[11]])-LEN(SUBSTITUTE(Tabela1[[#This Row],[11]],",",""))+1,1),"")</f>
        <v/>
      </c>
      <c r="AK549" t="str">
        <f>IF(Tabela1[[#This Row],[12]]&lt;&gt;"",IF(ISNUMBER(FIND(",",Tabela1[[#This Row],[12]])),LEN(Tabela1[[#This Row],[12]])-LEN(SUBSTITUTE(Tabela1[[#This Row],[12]],",",""))+1,1),"")</f>
        <v/>
      </c>
      <c r="AL549" t="str">
        <f>IF(Tabela1[[#This Row],[13]]&lt;&gt;"",IF(ISNUMBER(FIND(",",Tabela1[[#This Row],[13]])),LEN(Tabela1[[#This Row],[13]])-LEN(SUBSTITUTE(Tabela1[[#This Row],[13]],",",""))+1,1),"")</f>
        <v/>
      </c>
      <c r="AM549" t="str">
        <f>IF(Tabela1[[#This Row],[14]]&lt;&gt;"",IF(ISNUMBER(FIND(",",Tabela1[[#This Row],[14]])),LEN(Tabela1[[#This Row],[14]])-LEN(SUBSTITUTE(Tabela1[[#This Row],[14]],",",""))+1,1),"")</f>
        <v/>
      </c>
      <c r="AN549" t="str">
        <f>IF(Tabela1[[#This Row],[15]]&lt;&gt;"",IF(ISNUMBER(FIND(",",Tabela1[[#This Row],[15]])),LEN(Tabela1[[#This Row],[15]])-LEN(SUBSTITUTE(Tabela1[[#This Row],[15]],",",""))+1,1),"")</f>
        <v/>
      </c>
      <c r="AO549" t="str">
        <f>IF(Tabela1[[#This Row],[16]]&lt;&gt;"",IF(ISNUMBER(FIND(",",Tabela1[[#This Row],[16]])),LEN(Tabela1[[#This Row],[16]])-LEN(SUBSTITUTE(Tabela1[[#This Row],[16]],",",""))+1,1),"")</f>
        <v/>
      </c>
      <c r="AP549" t="str">
        <f>IF(Tabela1[[#This Row],[17]]&lt;&gt;"",IF(ISNUMBER(FIND(",",Tabela1[[#This Row],[17]])),LEN(Tabela1[[#This Row],[17]])-LEN(SUBSTITUTE(Tabela1[[#This Row],[17]],",",""))+1,1),"")</f>
        <v/>
      </c>
      <c r="AQ549" t="str">
        <f>IF(Tabela1[[#This Row],[18]]&lt;&gt;"",IF(ISNUMBER(FIND(",",Tabela1[[#This Row],[18]])),LEN(Tabela1[[#This Row],[18]])-LEN(SUBSTITUTE(Tabela1[[#This Row],[18]],",",""))+1,1),"")</f>
        <v/>
      </c>
      <c r="AR549" s="13" t="str">
        <f>IF(Tabela1[[#This Row],[19_LENGTH]]&lt;&gt;"",IF(ISNUMBER(FIND(",",Tabela1[[#This Row],[19_LENGTH]])),LEN(Tabela1[[#This Row],[19_LENGTH]])-LEN(SUBSTITUTE(Tabela1[[#This Row],[19_LENGTH]],",",""))+1,1),"")</f>
        <v/>
      </c>
      <c r="AS549" s="21">
        <f>SUM(Tabela1[[#This Row],[1_]:[19_]])</f>
        <v>1</v>
      </c>
    </row>
    <row r="550" spans="1:45" x14ac:dyDescent="0.25">
      <c r="A550" s="27" t="s">
        <v>1325</v>
      </c>
      <c r="B550" s="19" t="s">
        <v>594</v>
      </c>
      <c r="C550" s="19">
        <v>202</v>
      </c>
      <c r="D550" s="19" t="s">
        <v>1298</v>
      </c>
      <c r="E550" s="20">
        <v>43539</v>
      </c>
      <c r="F550" s="19"/>
      <c r="G550" s="19"/>
      <c r="H550" s="19"/>
      <c r="I550" s="19"/>
      <c r="J550" s="19"/>
      <c r="K550" s="19"/>
      <c r="L550" s="19"/>
      <c r="M550" s="19"/>
      <c r="N550" s="19"/>
      <c r="O550" s="19"/>
      <c r="P550" s="19"/>
      <c r="Q550" s="19"/>
      <c r="R550" s="19"/>
      <c r="S550" s="19"/>
      <c r="T550" s="19"/>
      <c r="U550" s="19" t="s">
        <v>216</v>
      </c>
      <c r="V550" s="19"/>
      <c r="W550" s="19"/>
      <c r="X550" s="19"/>
      <c r="Y550" s="19"/>
      <c r="Z550" t="str">
        <f>IF(Tabela1[[#This Row],[1]]&lt;&gt;"",IF(ISNUMBER(FIND(",",Tabela1[[#This Row],[1]])),LEN(Tabela1[[#This Row],[1]])-LEN(SUBSTITUTE(Tabela1[[#This Row],[1]],",",""))+1,1),"")</f>
        <v/>
      </c>
      <c r="AA550" t="str">
        <f>IF(Tabela1[[#This Row],[2]]&lt;&gt;"",IF(ISNUMBER(FIND(",",Tabela1[[#This Row],[2]])),LEN(Tabela1[[#This Row],[2]])-LEN(SUBSTITUTE(Tabela1[[#This Row],[2]],",",""))+1,1),"")</f>
        <v/>
      </c>
      <c r="AB550" t="str">
        <f>IF(Tabela1[[#This Row],[3]]&lt;&gt;"",IF(ISNUMBER(FIND(",",Tabela1[[#This Row],[3]])),LEN(Tabela1[[#This Row],[3]])-LEN(SUBSTITUTE(Tabela1[[#This Row],[3]],",",""))+1,1),"")</f>
        <v/>
      </c>
      <c r="AC550" t="str">
        <f>IF(Tabela1[[#This Row],[4]]&lt;&gt;"",IF(ISNUMBER(FIND(",",Tabela1[[#This Row],[4]])),LEN(Tabela1[[#This Row],[4]])-LEN(SUBSTITUTE(Tabela1[[#This Row],[4]],",",""))+1,1),"")</f>
        <v/>
      </c>
      <c r="AD550" t="str">
        <f>IF(Tabela1[[#This Row],[5]]&lt;&gt;"",IF(ISNUMBER(FIND(",",Tabela1[[#This Row],[5]])),LEN(Tabela1[[#This Row],[5]])-LEN(SUBSTITUTE(Tabela1[[#This Row],[5]],",",""))+1,1),"")</f>
        <v/>
      </c>
      <c r="AE550" t="str">
        <f>IF(Tabela1[[#This Row],[6]]&lt;&gt;"",IF(ISNUMBER(FIND(",",Tabela1[[#This Row],[6]])),LEN(Tabela1[[#This Row],[6]])-LEN(SUBSTITUTE(Tabela1[[#This Row],[6]],",",""))+1,1),"")</f>
        <v/>
      </c>
      <c r="AF550" t="str">
        <f>IF(Tabela1[[#This Row],[7]]&lt;&gt;"",IF(ISNUMBER(FIND(",",Tabela1[[#This Row],[7]])),LEN(Tabela1[[#This Row],[7]])-LEN(SUBSTITUTE(Tabela1[[#This Row],[7]],",",""))+1,1),"")</f>
        <v/>
      </c>
      <c r="AG550" t="str">
        <f>IF(Tabela1[[#This Row],[8]]&lt;&gt;"",IF(ISNUMBER(FIND(",",Tabela1[[#This Row],[8]])),LEN(Tabela1[[#This Row],[8]])-LEN(SUBSTITUTE(Tabela1[[#This Row],[8]],",",""))+1,1),"")</f>
        <v/>
      </c>
      <c r="AH550" t="str">
        <f>IF(Tabela1[[#This Row],[9]]&lt;&gt;"",IF(ISNUMBER(FIND(",",Tabela1[[#This Row],[9]])),LEN(Tabela1[[#This Row],[9]])-LEN(SUBSTITUTE(Tabela1[[#This Row],[9]],",",""))+1,1),"")</f>
        <v/>
      </c>
      <c r="AI550" t="str">
        <f>IF(Tabela1[[#This Row],[10]]&lt;&gt;"",IF(ISNUMBER(FIND(",",Tabela1[[#This Row],[10]])),LEN(Tabela1[[#This Row],[10]])-LEN(SUBSTITUTE(Tabela1[[#This Row],[10]],",",""))+1,1),"")</f>
        <v/>
      </c>
      <c r="AJ550" t="str">
        <f>IF(Tabela1[[#This Row],[11]]&lt;&gt;"",IF(ISNUMBER(FIND(",",Tabela1[[#This Row],[11]])),LEN(Tabela1[[#This Row],[11]])-LEN(SUBSTITUTE(Tabela1[[#This Row],[11]],",",""))+1,1),"")</f>
        <v/>
      </c>
      <c r="AK550" t="str">
        <f>IF(Tabela1[[#This Row],[12]]&lt;&gt;"",IF(ISNUMBER(FIND(",",Tabela1[[#This Row],[12]])),LEN(Tabela1[[#This Row],[12]])-LEN(SUBSTITUTE(Tabela1[[#This Row],[12]],",",""))+1,1),"")</f>
        <v/>
      </c>
      <c r="AL550" t="str">
        <f>IF(Tabela1[[#This Row],[13]]&lt;&gt;"",IF(ISNUMBER(FIND(",",Tabela1[[#This Row],[13]])),LEN(Tabela1[[#This Row],[13]])-LEN(SUBSTITUTE(Tabela1[[#This Row],[13]],",",""))+1,1),"")</f>
        <v/>
      </c>
      <c r="AM550" t="str">
        <f>IF(Tabela1[[#This Row],[14]]&lt;&gt;"",IF(ISNUMBER(FIND(",",Tabela1[[#This Row],[14]])),LEN(Tabela1[[#This Row],[14]])-LEN(SUBSTITUTE(Tabela1[[#This Row],[14]],",",""))+1,1),"")</f>
        <v/>
      </c>
      <c r="AN550" t="str">
        <f>IF(Tabela1[[#This Row],[15]]&lt;&gt;"",IF(ISNUMBER(FIND(",",Tabela1[[#This Row],[15]])),LEN(Tabela1[[#This Row],[15]])-LEN(SUBSTITUTE(Tabela1[[#This Row],[15]],",",""))+1,1),"")</f>
        <v/>
      </c>
      <c r="AO550">
        <f>IF(Tabela1[[#This Row],[16]]&lt;&gt;"",IF(ISNUMBER(FIND(",",Tabela1[[#This Row],[16]])),LEN(Tabela1[[#This Row],[16]])-LEN(SUBSTITUTE(Tabela1[[#This Row],[16]],",",""))+1,1),"")</f>
        <v>2</v>
      </c>
      <c r="AP550" t="str">
        <f>IF(Tabela1[[#This Row],[17]]&lt;&gt;"",IF(ISNUMBER(FIND(",",Tabela1[[#This Row],[17]])),LEN(Tabela1[[#This Row],[17]])-LEN(SUBSTITUTE(Tabela1[[#This Row],[17]],",",""))+1,1),"")</f>
        <v/>
      </c>
      <c r="AQ550" t="str">
        <f>IF(Tabela1[[#This Row],[18]]&lt;&gt;"",IF(ISNUMBER(FIND(",",Tabela1[[#This Row],[18]])),LEN(Tabela1[[#This Row],[18]])-LEN(SUBSTITUTE(Tabela1[[#This Row],[18]],",",""))+1,1),"")</f>
        <v/>
      </c>
      <c r="AR550" s="13" t="str">
        <f>IF(Tabela1[[#This Row],[19_LENGTH]]&lt;&gt;"",IF(ISNUMBER(FIND(",",Tabela1[[#This Row],[19_LENGTH]])),LEN(Tabela1[[#This Row],[19_LENGTH]])-LEN(SUBSTITUTE(Tabela1[[#This Row],[19_LENGTH]],",",""))+1,1),"")</f>
        <v/>
      </c>
      <c r="AS550" s="21">
        <f>SUM(Tabela1[[#This Row],[1_]:[19_]])</f>
        <v>2</v>
      </c>
    </row>
    <row r="551" spans="1:45" x14ac:dyDescent="0.25">
      <c r="A551" s="27" t="s">
        <v>1325</v>
      </c>
      <c r="B551" s="19" t="s">
        <v>595</v>
      </c>
      <c r="C551" s="19">
        <v>202</v>
      </c>
      <c r="D551" s="19" t="s">
        <v>1298</v>
      </c>
      <c r="E551" s="20">
        <v>43539</v>
      </c>
      <c r="F551" s="19"/>
      <c r="G551" s="19">
        <v>114</v>
      </c>
      <c r="H551" s="19"/>
      <c r="I551" s="19"/>
      <c r="J551" s="19"/>
      <c r="K551" s="19"/>
      <c r="L551" s="19"/>
      <c r="M551" s="19"/>
      <c r="N551" s="19"/>
      <c r="O551" s="19"/>
      <c r="P551" s="19"/>
      <c r="Q551" s="19"/>
      <c r="R551" s="19"/>
      <c r="S551" s="19"/>
      <c r="T551" s="19"/>
      <c r="U551" s="19"/>
      <c r="V551" s="19"/>
      <c r="W551" s="19"/>
      <c r="X551" s="19"/>
      <c r="Y551" s="19"/>
      <c r="Z551" t="str">
        <f>IF(Tabela1[[#This Row],[1]]&lt;&gt;"",IF(ISNUMBER(FIND(",",Tabela1[[#This Row],[1]])),LEN(Tabela1[[#This Row],[1]])-LEN(SUBSTITUTE(Tabela1[[#This Row],[1]],",",""))+1,1),"")</f>
        <v/>
      </c>
      <c r="AA551">
        <f>IF(Tabela1[[#This Row],[2]]&lt;&gt;"",IF(ISNUMBER(FIND(",",Tabela1[[#This Row],[2]])),LEN(Tabela1[[#This Row],[2]])-LEN(SUBSTITUTE(Tabela1[[#This Row],[2]],",",""))+1,1),"")</f>
        <v>1</v>
      </c>
      <c r="AB551" t="str">
        <f>IF(Tabela1[[#This Row],[3]]&lt;&gt;"",IF(ISNUMBER(FIND(",",Tabela1[[#This Row],[3]])),LEN(Tabela1[[#This Row],[3]])-LEN(SUBSTITUTE(Tabela1[[#This Row],[3]],",",""))+1,1),"")</f>
        <v/>
      </c>
      <c r="AC551" t="str">
        <f>IF(Tabela1[[#This Row],[4]]&lt;&gt;"",IF(ISNUMBER(FIND(",",Tabela1[[#This Row],[4]])),LEN(Tabela1[[#This Row],[4]])-LEN(SUBSTITUTE(Tabela1[[#This Row],[4]],",",""))+1,1),"")</f>
        <v/>
      </c>
      <c r="AD551" t="str">
        <f>IF(Tabela1[[#This Row],[5]]&lt;&gt;"",IF(ISNUMBER(FIND(",",Tabela1[[#This Row],[5]])),LEN(Tabela1[[#This Row],[5]])-LEN(SUBSTITUTE(Tabela1[[#This Row],[5]],",",""))+1,1),"")</f>
        <v/>
      </c>
      <c r="AE551" t="str">
        <f>IF(Tabela1[[#This Row],[6]]&lt;&gt;"",IF(ISNUMBER(FIND(",",Tabela1[[#This Row],[6]])),LEN(Tabela1[[#This Row],[6]])-LEN(SUBSTITUTE(Tabela1[[#This Row],[6]],",",""))+1,1),"")</f>
        <v/>
      </c>
      <c r="AF551" t="str">
        <f>IF(Tabela1[[#This Row],[7]]&lt;&gt;"",IF(ISNUMBER(FIND(",",Tabela1[[#This Row],[7]])),LEN(Tabela1[[#This Row],[7]])-LEN(SUBSTITUTE(Tabela1[[#This Row],[7]],",",""))+1,1),"")</f>
        <v/>
      </c>
      <c r="AG551" t="str">
        <f>IF(Tabela1[[#This Row],[8]]&lt;&gt;"",IF(ISNUMBER(FIND(",",Tabela1[[#This Row],[8]])),LEN(Tabela1[[#This Row],[8]])-LEN(SUBSTITUTE(Tabela1[[#This Row],[8]],",",""))+1,1),"")</f>
        <v/>
      </c>
      <c r="AH551" t="str">
        <f>IF(Tabela1[[#This Row],[9]]&lt;&gt;"",IF(ISNUMBER(FIND(",",Tabela1[[#This Row],[9]])),LEN(Tabela1[[#This Row],[9]])-LEN(SUBSTITUTE(Tabela1[[#This Row],[9]],",",""))+1,1),"")</f>
        <v/>
      </c>
      <c r="AI551" t="str">
        <f>IF(Tabela1[[#This Row],[10]]&lt;&gt;"",IF(ISNUMBER(FIND(",",Tabela1[[#This Row],[10]])),LEN(Tabela1[[#This Row],[10]])-LEN(SUBSTITUTE(Tabela1[[#This Row],[10]],",",""))+1,1),"")</f>
        <v/>
      </c>
      <c r="AJ551" t="str">
        <f>IF(Tabela1[[#This Row],[11]]&lt;&gt;"",IF(ISNUMBER(FIND(",",Tabela1[[#This Row],[11]])),LEN(Tabela1[[#This Row],[11]])-LEN(SUBSTITUTE(Tabela1[[#This Row],[11]],",",""))+1,1),"")</f>
        <v/>
      </c>
      <c r="AK551" t="str">
        <f>IF(Tabela1[[#This Row],[12]]&lt;&gt;"",IF(ISNUMBER(FIND(",",Tabela1[[#This Row],[12]])),LEN(Tabela1[[#This Row],[12]])-LEN(SUBSTITUTE(Tabela1[[#This Row],[12]],",",""))+1,1),"")</f>
        <v/>
      </c>
      <c r="AL551" t="str">
        <f>IF(Tabela1[[#This Row],[13]]&lt;&gt;"",IF(ISNUMBER(FIND(",",Tabela1[[#This Row],[13]])),LEN(Tabela1[[#This Row],[13]])-LEN(SUBSTITUTE(Tabela1[[#This Row],[13]],",",""))+1,1),"")</f>
        <v/>
      </c>
      <c r="AM551" t="str">
        <f>IF(Tabela1[[#This Row],[14]]&lt;&gt;"",IF(ISNUMBER(FIND(",",Tabela1[[#This Row],[14]])),LEN(Tabela1[[#This Row],[14]])-LEN(SUBSTITUTE(Tabela1[[#This Row],[14]],",",""))+1,1),"")</f>
        <v/>
      </c>
      <c r="AN551" t="str">
        <f>IF(Tabela1[[#This Row],[15]]&lt;&gt;"",IF(ISNUMBER(FIND(",",Tabela1[[#This Row],[15]])),LEN(Tabela1[[#This Row],[15]])-LEN(SUBSTITUTE(Tabela1[[#This Row],[15]],",",""))+1,1),"")</f>
        <v/>
      </c>
      <c r="AO551" t="str">
        <f>IF(Tabela1[[#This Row],[16]]&lt;&gt;"",IF(ISNUMBER(FIND(",",Tabela1[[#This Row],[16]])),LEN(Tabela1[[#This Row],[16]])-LEN(SUBSTITUTE(Tabela1[[#This Row],[16]],",",""))+1,1),"")</f>
        <v/>
      </c>
      <c r="AP551" t="str">
        <f>IF(Tabela1[[#This Row],[17]]&lt;&gt;"",IF(ISNUMBER(FIND(",",Tabela1[[#This Row],[17]])),LEN(Tabela1[[#This Row],[17]])-LEN(SUBSTITUTE(Tabela1[[#This Row],[17]],",",""))+1,1),"")</f>
        <v/>
      </c>
      <c r="AQ551" t="str">
        <f>IF(Tabela1[[#This Row],[18]]&lt;&gt;"",IF(ISNUMBER(FIND(",",Tabela1[[#This Row],[18]])),LEN(Tabela1[[#This Row],[18]])-LEN(SUBSTITUTE(Tabela1[[#This Row],[18]],",",""))+1,1),"")</f>
        <v/>
      </c>
      <c r="AR551" s="13" t="str">
        <f>IF(Tabela1[[#This Row],[19_LENGTH]]&lt;&gt;"",IF(ISNUMBER(FIND(",",Tabela1[[#This Row],[19_LENGTH]])),LEN(Tabela1[[#This Row],[19_LENGTH]])-LEN(SUBSTITUTE(Tabela1[[#This Row],[19_LENGTH]],",",""))+1,1),"")</f>
        <v/>
      </c>
      <c r="AS551" s="21">
        <f>SUM(Tabela1[[#This Row],[1_]:[19_]])</f>
        <v>1</v>
      </c>
    </row>
    <row r="552" spans="1:45" x14ac:dyDescent="0.25">
      <c r="A552" s="27" t="s">
        <v>1327</v>
      </c>
      <c r="B552" s="19" t="s">
        <v>596</v>
      </c>
      <c r="C552" s="19">
        <v>214</v>
      </c>
      <c r="D552" s="19" t="s">
        <v>1304</v>
      </c>
      <c r="E552" s="20">
        <v>43539</v>
      </c>
      <c r="F552" s="19"/>
      <c r="G552" s="19"/>
      <c r="H552" s="19"/>
      <c r="I552" s="19">
        <v>53</v>
      </c>
      <c r="J552" s="19"/>
      <c r="K552" s="19"/>
      <c r="L552" s="19"/>
      <c r="M552" s="19"/>
      <c r="N552" s="19"/>
      <c r="O552" s="19"/>
      <c r="P552" s="19"/>
      <c r="Q552" s="19"/>
      <c r="R552" s="19"/>
      <c r="S552" s="19"/>
      <c r="T552" s="19"/>
      <c r="U552" s="19"/>
      <c r="V552" s="19"/>
      <c r="W552" s="19"/>
      <c r="X552" s="19" t="s">
        <v>43</v>
      </c>
      <c r="Y552" s="19">
        <v>12</v>
      </c>
      <c r="Z552" t="str">
        <f>IF(Tabela1[[#This Row],[1]]&lt;&gt;"",IF(ISNUMBER(FIND(",",Tabela1[[#This Row],[1]])),LEN(Tabela1[[#This Row],[1]])-LEN(SUBSTITUTE(Tabela1[[#This Row],[1]],",",""))+1,1),"")</f>
        <v/>
      </c>
      <c r="AA552" t="str">
        <f>IF(Tabela1[[#This Row],[2]]&lt;&gt;"",IF(ISNUMBER(FIND(",",Tabela1[[#This Row],[2]])),LEN(Tabela1[[#This Row],[2]])-LEN(SUBSTITUTE(Tabela1[[#This Row],[2]],",",""))+1,1),"")</f>
        <v/>
      </c>
      <c r="AB552" t="str">
        <f>IF(Tabela1[[#This Row],[3]]&lt;&gt;"",IF(ISNUMBER(FIND(",",Tabela1[[#This Row],[3]])),LEN(Tabela1[[#This Row],[3]])-LEN(SUBSTITUTE(Tabela1[[#This Row],[3]],",",""))+1,1),"")</f>
        <v/>
      </c>
      <c r="AC552">
        <f>IF(Tabela1[[#This Row],[4]]&lt;&gt;"",IF(ISNUMBER(FIND(",",Tabela1[[#This Row],[4]])),LEN(Tabela1[[#This Row],[4]])-LEN(SUBSTITUTE(Tabela1[[#This Row],[4]],",",""))+1,1),"")</f>
        <v>1</v>
      </c>
      <c r="AD552" t="str">
        <f>IF(Tabela1[[#This Row],[5]]&lt;&gt;"",IF(ISNUMBER(FIND(",",Tabela1[[#This Row],[5]])),LEN(Tabela1[[#This Row],[5]])-LEN(SUBSTITUTE(Tabela1[[#This Row],[5]],",",""))+1,1),"")</f>
        <v/>
      </c>
      <c r="AE552" t="str">
        <f>IF(Tabela1[[#This Row],[6]]&lt;&gt;"",IF(ISNUMBER(FIND(",",Tabela1[[#This Row],[6]])),LEN(Tabela1[[#This Row],[6]])-LEN(SUBSTITUTE(Tabela1[[#This Row],[6]],",",""))+1,1),"")</f>
        <v/>
      </c>
      <c r="AF552" t="str">
        <f>IF(Tabela1[[#This Row],[7]]&lt;&gt;"",IF(ISNUMBER(FIND(",",Tabela1[[#This Row],[7]])),LEN(Tabela1[[#This Row],[7]])-LEN(SUBSTITUTE(Tabela1[[#This Row],[7]],",",""))+1,1),"")</f>
        <v/>
      </c>
      <c r="AG552" t="str">
        <f>IF(Tabela1[[#This Row],[8]]&lt;&gt;"",IF(ISNUMBER(FIND(",",Tabela1[[#This Row],[8]])),LEN(Tabela1[[#This Row],[8]])-LEN(SUBSTITUTE(Tabela1[[#This Row],[8]],",",""))+1,1),"")</f>
        <v/>
      </c>
      <c r="AH552" t="str">
        <f>IF(Tabela1[[#This Row],[9]]&lt;&gt;"",IF(ISNUMBER(FIND(",",Tabela1[[#This Row],[9]])),LEN(Tabela1[[#This Row],[9]])-LEN(SUBSTITUTE(Tabela1[[#This Row],[9]],",",""))+1,1),"")</f>
        <v/>
      </c>
      <c r="AI552" t="str">
        <f>IF(Tabela1[[#This Row],[10]]&lt;&gt;"",IF(ISNUMBER(FIND(",",Tabela1[[#This Row],[10]])),LEN(Tabela1[[#This Row],[10]])-LEN(SUBSTITUTE(Tabela1[[#This Row],[10]],",",""))+1,1),"")</f>
        <v/>
      </c>
      <c r="AJ552" t="str">
        <f>IF(Tabela1[[#This Row],[11]]&lt;&gt;"",IF(ISNUMBER(FIND(",",Tabela1[[#This Row],[11]])),LEN(Tabela1[[#This Row],[11]])-LEN(SUBSTITUTE(Tabela1[[#This Row],[11]],",",""))+1,1),"")</f>
        <v/>
      </c>
      <c r="AK552" t="str">
        <f>IF(Tabela1[[#This Row],[12]]&lt;&gt;"",IF(ISNUMBER(FIND(",",Tabela1[[#This Row],[12]])),LEN(Tabela1[[#This Row],[12]])-LEN(SUBSTITUTE(Tabela1[[#This Row],[12]],",",""))+1,1),"")</f>
        <v/>
      </c>
      <c r="AL552" t="str">
        <f>IF(Tabela1[[#This Row],[13]]&lt;&gt;"",IF(ISNUMBER(FIND(",",Tabela1[[#This Row],[13]])),LEN(Tabela1[[#This Row],[13]])-LEN(SUBSTITUTE(Tabela1[[#This Row],[13]],",",""))+1,1),"")</f>
        <v/>
      </c>
      <c r="AM552" t="str">
        <f>IF(Tabela1[[#This Row],[14]]&lt;&gt;"",IF(ISNUMBER(FIND(",",Tabela1[[#This Row],[14]])),LEN(Tabela1[[#This Row],[14]])-LEN(SUBSTITUTE(Tabela1[[#This Row],[14]],",",""))+1,1),"")</f>
        <v/>
      </c>
      <c r="AN552" t="str">
        <f>IF(Tabela1[[#This Row],[15]]&lt;&gt;"",IF(ISNUMBER(FIND(",",Tabela1[[#This Row],[15]])),LEN(Tabela1[[#This Row],[15]])-LEN(SUBSTITUTE(Tabela1[[#This Row],[15]],",",""))+1,1),"")</f>
        <v/>
      </c>
      <c r="AO552" t="str">
        <f>IF(Tabela1[[#This Row],[16]]&lt;&gt;"",IF(ISNUMBER(FIND(",",Tabela1[[#This Row],[16]])),LEN(Tabela1[[#This Row],[16]])-LEN(SUBSTITUTE(Tabela1[[#This Row],[16]],",",""))+1,1),"")</f>
        <v/>
      </c>
      <c r="AP552" t="str">
        <f>IF(Tabela1[[#This Row],[17]]&lt;&gt;"",IF(ISNUMBER(FIND(",",Tabela1[[#This Row],[17]])),LEN(Tabela1[[#This Row],[17]])-LEN(SUBSTITUTE(Tabela1[[#This Row],[17]],",",""))+1,1),"")</f>
        <v/>
      </c>
      <c r="AQ552" t="str">
        <f>IF(Tabela1[[#This Row],[18]]&lt;&gt;"",IF(ISNUMBER(FIND(",",Tabela1[[#This Row],[18]])),LEN(Tabela1[[#This Row],[18]])-LEN(SUBSTITUTE(Tabela1[[#This Row],[18]],",",""))+1,1),"")</f>
        <v/>
      </c>
      <c r="AR552" s="13">
        <f>IF(Tabela1[[#This Row],[19_LENGTH]]&lt;&gt;"",IF(ISNUMBER(FIND(",",Tabela1[[#This Row],[19_LENGTH]])),LEN(Tabela1[[#This Row],[19_LENGTH]])-LEN(SUBSTITUTE(Tabela1[[#This Row],[19_LENGTH]],",",""))+1,1),"")</f>
        <v>1</v>
      </c>
      <c r="AS552" s="21">
        <f>SUM(Tabela1[[#This Row],[1_]:[19_]])</f>
        <v>2</v>
      </c>
    </row>
    <row r="553" spans="1:45" x14ac:dyDescent="0.25">
      <c r="A553" s="27" t="s">
        <v>1327</v>
      </c>
      <c r="B553" s="19" t="s">
        <v>597</v>
      </c>
      <c r="C553" s="19">
        <v>202</v>
      </c>
      <c r="D553" s="19" t="s">
        <v>1304</v>
      </c>
      <c r="E553" s="20">
        <v>43539</v>
      </c>
      <c r="F553" s="19"/>
      <c r="G553" s="19">
        <v>30</v>
      </c>
      <c r="H553" s="19"/>
      <c r="I553" s="19"/>
      <c r="J553" s="19"/>
      <c r="K553" s="19"/>
      <c r="L553" s="19"/>
      <c r="M553" s="19"/>
      <c r="N553" s="19"/>
      <c r="O553" s="19"/>
      <c r="P553" s="19"/>
      <c r="Q553" s="19"/>
      <c r="R553" s="19"/>
      <c r="S553" s="19"/>
      <c r="T553" s="19"/>
      <c r="U553" s="19">
        <v>33</v>
      </c>
      <c r="V553" s="19"/>
      <c r="W553" s="19"/>
      <c r="X553" s="19"/>
      <c r="Y553" s="19"/>
      <c r="Z553" t="str">
        <f>IF(Tabela1[[#This Row],[1]]&lt;&gt;"",IF(ISNUMBER(FIND(",",Tabela1[[#This Row],[1]])),LEN(Tabela1[[#This Row],[1]])-LEN(SUBSTITUTE(Tabela1[[#This Row],[1]],",",""))+1,1),"")</f>
        <v/>
      </c>
      <c r="AA553">
        <f>IF(Tabela1[[#This Row],[2]]&lt;&gt;"",IF(ISNUMBER(FIND(",",Tabela1[[#This Row],[2]])),LEN(Tabela1[[#This Row],[2]])-LEN(SUBSTITUTE(Tabela1[[#This Row],[2]],",",""))+1,1),"")</f>
        <v>1</v>
      </c>
      <c r="AB553" t="str">
        <f>IF(Tabela1[[#This Row],[3]]&lt;&gt;"",IF(ISNUMBER(FIND(",",Tabela1[[#This Row],[3]])),LEN(Tabela1[[#This Row],[3]])-LEN(SUBSTITUTE(Tabela1[[#This Row],[3]],",",""))+1,1),"")</f>
        <v/>
      </c>
      <c r="AC553" t="str">
        <f>IF(Tabela1[[#This Row],[4]]&lt;&gt;"",IF(ISNUMBER(FIND(",",Tabela1[[#This Row],[4]])),LEN(Tabela1[[#This Row],[4]])-LEN(SUBSTITUTE(Tabela1[[#This Row],[4]],",",""))+1,1),"")</f>
        <v/>
      </c>
      <c r="AD553" t="str">
        <f>IF(Tabela1[[#This Row],[5]]&lt;&gt;"",IF(ISNUMBER(FIND(",",Tabela1[[#This Row],[5]])),LEN(Tabela1[[#This Row],[5]])-LEN(SUBSTITUTE(Tabela1[[#This Row],[5]],",",""))+1,1),"")</f>
        <v/>
      </c>
      <c r="AE553" t="str">
        <f>IF(Tabela1[[#This Row],[6]]&lt;&gt;"",IF(ISNUMBER(FIND(",",Tabela1[[#This Row],[6]])),LEN(Tabela1[[#This Row],[6]])-LEN(SUBSTITUTE(Tabela1[[#This Row],[6]],",",""))+1,1),"")</f>
        <v/>
      </c>
      <c r="AF553" t="str">
        <f>IF(Tabela1[[#This Row],[7]]&lt;&gt;"",IF(ISNUMBER(FIND(",",Tabela1[[#This Row],[7]])),LEN(Tabela1[[#This Row],[7]])-LEN(SUBSTITUTE(Tabela1[[#This Row],[7]],",",""))+1,1),"")</f>
        <v/>
      </c>
      <c r="AG553" t="str">
        <f>IF(Tabela1[[#This Row],[8]]&lt;&gt;"",IF(ISNUMBER(FIND(",",Tabela1[[#This Row],[8]])),LEN(Tabela1[[#This Row],[8]])-LEN(SUBSTITUTE(Tabela1[[#This Row],[8]],",",""))+1,1),"")</f>
        <v/>
      </c>
      <c r="AH553" t="str">
        <f>IF(Tabela1[[#This Row],[9]]&lt;&gt;"",IF(ISNUMBER(FIND(",",Tabela1[[#This Row],[9]])),LEN(Tabela1[[#This Row],[9]])-LEN(SUBSTITUTE(Tabela1[[#This Row],[9]],",",""))+1,1),"")</f>
        <v/>
      </c>
      <c r="AI553" t="str">
        <f>IF(Tabela1[[#This Row],[10]]&lt;&gt;"",IF(ISNUMBER(FIND(",",Tabela1[[#This Row],[10]])),LEN(Tabela1[[#This Row],[10]])-LEN(SUBSTITUTE(Tabela1[[#This Row],[10]],",",""))+1,1),"")</f>
        <v/>
      </c>
      <c r="AJ553" t="str">
        <f>IF(Tabela1[[#This Row],[11]]&lt;&gt;"",IF(ISNUMBER(FIND(",",Tabela1[[#This Row],[11]])),LEN(Tabela1[[#This Row],[11]])-LEN(SUBSTITUTE(Tabela1[[#This Row],[11]],",",""))+1,1),"")</f>
        <v/>
      </c>
      <c r="AK553" t="str">
        <f>IF(Tabela1[[#This Row],[12]]&lt;&gt;"",IF(ISNUMBER(FIND(",",Tabela1[[#This Row],[12]])),LEN(Tabela1[[#This Row],[12]])-LEN(SUBSTITUTE(Tabela1[[#This Row],[12]],",",""))+1,1),"")</f>
        <v/>
      </c>
      <c r="AL553" t="str">
        <f>IF(Tabela1[[#This Row],[13]]&lt;&gt;"",IF(ISNUMBER(FIND(",",Tabela1[[#This Row],[13]])),LEN(Tabela1[[#This Row],[13]])-LEN(SUBSTITUTE(Tabela1[[#This Row],[13]],",",""))+1,1),"")</f>
        <v/>
      </c>
      <c r="AM553" t="str">
        <f>IF(Tabela1[[#This Row],[14]]&lt;&gt;"",IF(ISNUMBER(FIND(",",Tabela1[[#This Row],[14]])),LEN(Tabela1[[#This Row],[14]])-LEN(SUBSTITUTE(Tabela1[[#This Row],[14]],",",""))+1,1),"")</f>
        <v/>
      </c>
      <c r="AN553" t="str">
        <f>IF(Tabela1[[#This Row],[15]]&lt;&gt;"",IF(ISNUMBER(FIND(",",Tabela1[[#This Row],[15]])),LEN(Tabela1[[#This Row],[15]])-LEN(SUBSTITUTE(Tabela1[[#This Row],[15]],",",""))+1,1),"")</f>
        <v/>
      </c>
      <c r="AO553">
        <f>IF(Tabela1[[#This Row],[16]]&lt;&gt;"",IF(ISNUMBER(FIND(",",Tabela1[[#This Row],[16]])),LEN(Tabela1[[#This Row],[16]])-LEN(SUBSTITUTE(Tabela1[[#This Row],[16]],",",""))+1,1),"")</f>
        <v>1</v>
      </c>
      <c r="AP553" t="str">
        <f>IF(Tabela1[[#This Row],[17]]&lt;&gt;"",IF(ISNUMBER(FIND(",",Tabela1[[#This Row],[17]])),LEN(Tabela1[[#This Row],[17]])-LEN(SUBSTITUTE(Tabela1[[#This Row],[17]],",",""))+1,1),"")</f>
        <v/>
      </c>
      <c r="AQ553" t="str">
        <f>IF(Tabela1[[#This Row],[18]]&lt;&gt;"",IF(ISNUMBER(FIND(",",Tabela1[[#This Row],[18]])),LEN(Tabela1[[#This Row],[18]])-LEN(SUBSTITUTE(Tabela1[[#This Row],[18]],",",""))+1,1),"")</f>
        <v/>
      </c>
      <c r="AR553" s="13" t="str">
        <f>IF(Tabela1[[#This Row],[19_LENGTH]]&lt;&gt;"",IF(ISNUMBER(FIND(",",Tabela1[[#This Row],[19_LENGTH]])),LEN(Tabela1[[#This Row],[19_LENGTH]])-LEN(SUBSTITUTE(Tabela1[[#This Row],[19_LENGTH]],",",""))+1,1),"")</f>
        <v/>
      </c>
      <c r="AS553" s="21">
        <f>SUM(Tabela1[[#This Row],[1_]:[19_]])</f>
        <v>2</v>
      </c>
    </row>
    <row r="554" spans="1:45" x14ac:dyDescent="0.25">
      <c r="A554" s="27" t="s">
        <v>1328</v>
      </c>
      <c r="B554" s="19" t="s">
        <v>598</v>
      </c>
      <c r="C554" s="19">
        <v>100</v>
      </c>
      <c r="D554" s="19" t="s">
        <v>1310</v>
      </c>
      <c r="E554" s="20">
        <v>43542</v>
      </c>
      <c r="F554" s="19"/>
      <c r="G554" s="19" t="s">
        <v>217</v>
      </c>
      <c r="H554" s="19" t="s">
        <v>218</v>
      </c>
      <c r="I554" s="19"/>
      <c r="J554" s="19"/>
      <c r="K554" s="19">
        <v>36</v>
      </c>
      <c r="L554" s="19"/>
      <c r="M554" s="19"/>
      <c r="N554" s="19"/>
      <c r="O554" s="19"/>
      <c r="P554" s="19"/>
      <c r="Q554" s="19"/>
      <c r="R554" s="19"/>
      <c r="S554" s="19"/>
      <c r="T554" s="19"/>
      <c r="U554" s="19">
        <v>18</v>
      </c>
      <c r="V554" s="19"/>
      <c r="W554" s="19"/>
      <c r="X554" s="19"/>
      <c r="Y554" s="19"/>
      <c r="Z554" t="str">
        <f>IF(Tabela1[[#This Row],[1]]&lt;&gt;"",IF(ISNUMBER(FIND(",",Tabela1[[#This Row],[1]])),LEN(Tabela1[[#This Row],[1]])-LEN(SUBSTITUTE(Tabela1[[#This Row],[1]],",",""))+1,1),"")</f>
        <v/>
      </c>
      <c r="AA554">
        <f>IF(Tabela1[[#This Row],[2]]&lt;&gt;"",IF(ISNUMBER(FIND(",",Tabela1[[#This Row],[2]])),LEN(Tabela1[[#This Row],[2]])-LEN(SUBSTITUTE(Tabela1[[#This Row],[2]],",",""))+1,1),"")</f>
        <v>2</v>
      </c>
      <c r="AB554">
        <f>IF(Tabela1[[#This Row],[3]]&lt;&gt;"",IF(ISNUMBER(FIND(",",Tabela1[[#This Row],[3]])),LEN(Tabela1[[#This Row],[3]])-LEN(SUBSTITUTE(Tabela1[[#This Row],[3]],",",""))+1,1),"")</f>
        <v>2</v>
      </c>
      <c r="AC554" t="str">
        <f>IF(Tabela1[[#This Row],[4]]&lt;&gt;"",IF(ISNUMBER(FIND(",",Tabela1[[#This Row],[4]])),LEN(Tabela1[[#This Row],[4]])-LEN(SUBSTITUTE(Tabela1[[#This Row],[4]],",",""))+1,1),"")</f>
        <v/>
      </c>
      <c r="AD554" t="str">
        <f>IF(Tabela1[[#This Row],[5]]&lt;&gt;"",IF(ISNUMBER(FIND(",",Tabela1[[#This Row],[5]])),LEN(Tabela1[[#This Row],[5]])-LEN(SUBSTITUTE(Tabela1[[#This Row],[5]],",",""))+1,1),"")</f>
        <v/>
      </c>
      <c r="AE554">
        <f>IF(Tabela1[[#This Row],[6]]&lt;&gt;"",IF(ISNUMBER(FIND(",",Tabela1[[#This Row],[6]])),LEN(Tabela1[[#This Row],[6]])-LEN(SUBSTITUTE(Tabela1[[#This Row],[6]],",",""))+1,1),"")</f>
        <v>1</v>
      </c>
      <c r="AF554" t="str">
        <f>IF(Tabela1[[#This Row],[7]]&lt;&gt;"",IF(ISNUMBER(FIND(",",Tabela1[[#This Row],[7]])),LEN(Tabela1[[#This Row],[7]])-LEN(SUBSTITUTE(Tabela1[[#This Row],[7]],",",""))+1,1),"")</f>
        <v/>
      </c>
      <c r="AG554" t="str">
        <f>IF(Tabela1[[#This Row],[8]]&lt;&gt;"",IF(ISNUMBER(FIND(",",Tabela1[[#This Row],[8]])),LEN(Tabela1[[#This Row],[8]])-LEN(SUBSTITUTE(Tabela1[[#This Row],[8]],",",""))+1,1),"")</f>
        <v/>
      </c>
      <c r="AH554" t="str">
        <f>IF(Tabela1[[#This Row],[9]]&lt;&gt;"",IF(ISNUMBER(FIND(",",Tabela1[[#This Row],[9]])),LEN(Tabela1[[#This Row],[9]])-LEN(SUBSTITUTE(Tabela1[[#This Row],[9]],",",""))+1,1),"")</f>
        <v/>
      </c>
      <c r="AI554" t="str">
        <f>IF(Tabela1[[#This Row],[10]]&lt;&gt;"",IF(ISNUMBER(FIND(",",Tabela1[[#This Row],[10]])),LEN(Tabela1[[#This Row],[10]])-LEN(SUBSTITUTE(Tabela1[[#This Row],[10]],",",""))+1,1),"")</f>
        <v/>
      </c>
      <c r="AJ554" t="str">
        <f>IF(Tabela1[[#This Row],[11]]&lt;&gt;"",IF(ISNUMBER(FIND(",",Tabela1[[#This Row],[11]])),LEN(Tabela1[[#This Row],[11]])-LEN(SUBSTITUTE(Tabela1[[#This Row],[11]],",",""))+1,1),"")</f>
        <v/>
      </c>
      <c r="AK554" t="str">
        <f>IF(Tabela1[[#This Row],[12]]&lt;&gt;"",IF(ISNUMBER(FIND(",",Tabela1[[#This Row],[12]])),LEN(Tabela1[[#This Row],[12]])-LEN(SUBSTITUTE(Tabela1[[#This Row],[12]],",",""))+1,1),"")</f>
        <v/>
      </c>
      <c r="AL554" t="str">
        <f>IF(Tabela1[[#This Row],[13]]&lt;&gt;"",IF(ISNUMBER(FIND(",",Tabela1[[#This Row],[13]])),LEN(Tabela1[[#This Row],[13]])-LEN(SUBSTITUTE(Tabela1[[#This Row],[13]],",",""))+1,1),"")</f>
        <v/>
      </c>
      <c r="AM554" t="str">
        <f>IF(Tabela1[[#This Row],[14]]&lt;&gt;"",IF(ISNUMBER(FIND(",",Tabela1[[#This Row],[14]])),LEN(Tabela1[[#This Row],[14]])-LEN(SUBSTITUTE(Tabela1[[#This Row],[14]],",",""))+1,1),"")</f>
        <v/>
      </c>
      <c r="AN554" t="str">
        <f>IF(Tabela1[[#This Row],[15]]&lt;&gt;"",IF(ISNUMBER(FIND(",",Tabela1[[#This Row],[15]])),LEN(Tabela1[[#This Row],[15]])-LEN(SUBSTITUTE(Tabela1[[#This Row],[15]],",",""))+1,1),"")</f>
        <v/>
      </c>
      <c r="AO554">
        <f>IF(Tabela1[[#This Row],[16]]&lt;&gt;"",IF(ISNUMBER(FIND(",",Tabela1[[#This Row],[16]])),LEN(Tabela1[[#This Row],[16]])-LEN(SUBSTITUTE(Tabela1[[#This Row],[16]],",",""))+1,1),"")</f>
        <v>1</v>
      </c>
      <c r="AP554" t="str">
        <f>IF(Tabela1[[#This Row],[17]]&lt;&gt;"",IF(ISNUMBER(FIND(",",Tabela1[[#This Row],[17]])),LEN(Tabela1[[#This Row],[17]])-LEN(SUBSTITUTE(Tabela1[[#This Row],[17]],",",""))+1,1),"")</f>
        <v/>
      </c>
      <c r="AQ554" t="str">
        <f>IF(Tabela1[[#This Row],[18]]&lt;&gt;"",IF(ISNUMBER(FIND(",",Tabela1[[#This Row],[18]])),LEN(Tabela1[[#This Row],[18]])-LEN(SUBSTITUTE(Tabela1[[#This Row],[18]],",",""))+1,1),"")</f>
        <v/>
      </c>
      <c r="AR554" s="13" t="str">
        <f>IF(Tabela1[[#This Row],[19_LENGTH]]&lt;&gt;"",IF(ISNUMBER(FIND(",",Tabela1[[#This Row],[19_LENGTH]])),LEN(Tabela1[[#This Row],[19_LENGTH]])-LEN(SUBSTITUTE(Tabela1[[#This Row],[19_LENGTH]],",",""))+1,1),"")</f>
        <v/>
      </c>
      <c r="AS554" s="21">
        <f>SUM(Tabela1[[#This Row],[1_]:[19_]])</f>
        <v>6</v>
      </c>
    </row>
    <row r="555" spans="1:45" x14ac:dyDescent="0.25">
      <c r="A555" s="27" t="s">
        <v>1328</v>
      </c>
      <c r="B555" s="19" t="s">
        <v>599</v>
      </c>
      <c r="C555" s="19">
        <v>102</v>
      </c>
      <c r="D555" s="19" t="s">
        <v>1310</v>
      </c>
      <c r="E555" s="20">
        <v>43542</v>
      </c>
      <c r="F555" s="19"/>
      <c r="G555" s="19"/>
      <c r="H555" s="19">
        <v>68</v>
      </c>
      <c r="I555" s="19"/>
      <c r="J555" s="19"/>
      <c r="K555" s="19"/>
      <c r="L555" s="19"/>
      <c r="M555" s="19"/>
      <c r="N555" s="19"/>
      <c r="O555" s="19"/>
      <c r="P555" s="19"/>
      <c r="Q555" s="19"/>
      <c r="R555" s="19"/>
      <c r="S555" s="19"/>
      <c r="T555" s="19"/>
      <c r="U555" s="19"/>
      <c r="V555" s="19"/>
      <c r="W555" s="19"/>
      <c r="X555" s="19"/>
      <c r="Y555" s="19"/>
      <c r="Z555" t="str">
        <f>IF(Tabela1[[#This Row],[1]]&lt;&gt;"",IF(ISNUMBER(FIND(",",Tabela1[[#This Row],[1]])),LEN(Tabela1[[#This Row],[1]])-LEN(SUBSTITUTE(Tabela1[[#This Row],[1]],",",""))+1,1),"")</f>
        <v/>
      </c>
      <c r="AA555" t="str">
        <f>IF(Tabela1[[#This Row],[2]]&lt;&gt;"",IF(ISNUMBER(FIND(",",Tabela1[[#This Row],[2]])),LEN(Tabela1[[#This Row],[2]])-LEN(SUBSTITUTE(Tabela1[[#This Row],[2]],",",""))+1,1),"")</f>
        <v/>
      </c>
      <c r="AB555">
        <f>IF(Tabela1[[#This Row],[3]]&lt;&gt;"",IF(ISNUMBER(FIND(",",Tabela1[[#This Row],[3]])),LEN(Tabela1[[#This Row],[3]])-LEN(SUBSTITUTE(Tabela1[[#This Row],[3]],",",""))+1,1),"")</f>
        <v>1</v>
      </c>
      <c r="AC555" t="str">
        <f>IF(Tabela1[[#This Row],[4]]&lt;&gt;"",IF(ISNUMBER(FIND(",",Tabela1[[#This Row],[4]])),LEN(Tabela1[[#This Row],[4]])-LEN(SUBSTITUTE(Tabela1[[#This Row],[4]],",",""))+1,1),"")</f>
        <v/>
      </c>
      <c r="AD555" t="str">
        <f>IF(Tabela1[[#This Row],[5]]&lt;&gt;"",IF(ISNUMBER(FIND(",",Tabela1[[#This Row],[5]])),LEN(Tabela1[[#This Row],[5]])-LEN(SUBSTITUTE(Tabela1[[#This Row],[5]],",",""))+1,1),"")</f>
        <v/>
      </c>
      <c r="AE555" t="str">
        <f>IF(Tabela1[[#This Row],[6]]&lt;&gt;"",IF(ISNUMBER(FIND(",",Tabela1[[#This Row],[6]])),LEN(Tabela1[[#This Row],[6]])-LEN(SUBSTITUTE(Tabela1[[#This Row],[6]],",",""))+1,1),"")</f>
        <v/>
      </c>
      <c r="AF555" t="str">
        <f>IF(Tabela1[[#This Row],[7]]&lt;&gt;"",IF(ISNUMBER(FIND(",",Tabela1[[#This Row],[7]])),LEN(Tabela1[[#This Row],[7]])-LEN(SUBSTITUTE(Tabela1[[#This Row],[7]],",",""))+1,1),"")</f>
        <v/>
      </c>
      <c r="AG555" t="str">
        <f>IF(Tabela1[[#This Row],[8]]&lt;&gt;"",IF(ISNUMBER(FIND(",",Tabela1[[#This Row],[8]])),LEN(Tabela1[[#This Row],[8]])-LEN(SUBSTITUTE(Tabela1[[#This Row],[8]],",",""))+1,1),"")</f>
        <v/>
      </c>
      <c r="AH555" t="str">
        <f>IF(Tabela1[[#This Row],[9]]&lt;&gt;"",IF(ISNUMBER(FIND(",",Tabela1[[#This Row],[9]])),LEN(Tabela1[[#This Row],[9]])-LEN(SUBSTITUTE(Tabela1[[#This Row],[9]],",",""))+1,1),"")</f>
        <v/>
      </c>
      <c r="AI555" t="str">
        <f>IF(Tabela1[[#This Row],[10]]&lt;&gt;"",IF(ISNUMBER(FIND(",",Tabela1[[#This Row],[10]])),LEN(Tabela1[[#This Row],[10]])-LEN(SUBSTITUTE(Tabela1[[#This Row],[10]],",",""))+1,1),"")</f>
        <v/>
      </c>
      <c r="AJ555" t="str">
        <f>IF(Tabela1[[#This Row],[11]]&lt;&gt;"",IF(ISNUMBER(FIND(",",Tabela1[[#This Row],[11]])),LEN(Tabela1[[#This Row],[11]])-LEN(SUBSTITUTE(Tabela1[[#This Row],[11]],",",""))+1,1),"")</f>
        <v/>
      </c>
      <c r="AK555" t="str">
        <f>IF(Tabela1[[#This Row],[12]]&lt;&gt;"",IF(ISNUMBER(FIND(",",Tabela1[[#This Row],[12]])),LEN(Tabela1[[#This Row],[12]])-LEN(SUBSTITUTE(Tabela1[[#This Row],[12]],",",""))+1,1),"")</f>
        <v/>
      </c>
      <c r="AL555" t="str">
        <f>IF(Tabela1[[#This Row],[13]]&lt;&gt;"",IF(ISNUMBER(FIND(",",Tabela1[[#This Row],[13]])),LEN(Tabela1[[#This Row],[13]])-LEN(SUBSTITUTE(Tabela1[[#This Row],[13]],",",""))+1,1),"")</f>
        <v/>
      </c>
      <c r="AM555" t="str">
        <f>IF(Tabela1[[#This Row],[14]]&lt;&gt;"",IF(ISNUMBER(FIND(",",Tabela1[[#This Row],[14]])),LEN(Tabela1[[#This Row],[14]])-LEN(SUBSTITUTE(Tabela1[[#This Row],[14]],",",""))+1,1),"")</f>
        <v/>
      </c>
      <c r="AN555" t="str">
        <f>IF(Tabela1[[#This Row],[15]]&lt;&gt;"",IF(ISNUMBER(FIND(",",Tabela1[[#This Row],[15]])),LEN(Tabela1[[#This Row],[15]])-LEN(SUBSTITUTE(Tabela1[[#This Row],[15]],",",""))+1,1),"")</f>
        <v/>
      </c>
      <c r="AO555" t="str">
        <f>IF(Tabela1[[#This Row],[16]]&lt;&gt;"",IF(ISNUMBER(FIND(",",Tabela1[[#This Row],[16]])),LEN(Tabela1[[#This Row],[16]])-LEN(SUBSTITUTE(Tabela1[[#This Row],[16]],",",""))+1,1),"")</f>
        <v/>
      </c>
      <c r="AP555" t="str">
        <f>IF(Tabela1[[#This Row],[17]]&lt;&gt;"",IF(ISNUMBER(FIND(",",Tabela1[[#This Row],[17]])),LEN(Tabela1[[#This Row],[17]])-LEN(SUBSTITUTE(Tabela1[[#This Row],[17]],",",""))+1,1),"")</f>
        <v/>
      </c>
      <c r="AQ555" t="str">
        <f>IF(Tabela1[[#This Row],[18]]&lt;&gt;"",IF(ISNUMBER(FIND(",",Tabela1[[#This Row],[18]])),LEN(Tabela1[[#This Row],[18]])-LEN(SUBSTITUTE(Tabela1[[#This Row],[18]],",",""))+1,1),"")</f>
        <v/>
      </c>
      <c r="AR555" s="13" t="str">
        <f>IF(Tabela1[[#This Row],[19_LENGTH]]&lt;&gt;"",IF(ISNUMBER(FIND(",",Tabela1[[#This Row],[19_LENGTH]])),LEN(Tabela1[[#This Row],[19_LENGTH]])-LEN(SUBSTITUTE(Tabela1[[#This Row],[19_LENGTH]],",",""))+1,1),"")</f>
        <v/>
      </c>
      <c r="AS555" s="21">
        <f>SUM(Tabela1[[#This Row],[1_]:[19_]])</f>
        <v>1</v>
      </c>
    </row>
    <row r="556" spans="1:45" x14ac:dyDescent="0.25">
      <c r="A556" s="27" t="s">
        <v>1328</v>
      </c>
      <c r="B556" s="19" t="s">
        <v>600</v>
      </c>
      <c r="C556" s="19">
        <v>102</v>
      </c>
      <c r="D556" s="19" t="s">
        <v>1310</v>
      </c>
      <c r="E556" s="20">
        <v>43542</v>
      </c>
      <c r="F556" s="19"/>
      <c r="G556" s="19"/>
      <c r="H556" s="19">
        <v>9</v>
      </c>
      <c r="I556" s="19"/>
      <c r="J556" s="19"/>
      <c r="K556" s="19">
        <v>22</v>
      </c>
      <c r="L556" s="19"/>
      <c r="M556" s="19"/>
      <c r="N556" s="19"/>
      <c r="O556" s="19"/>
      <c r="P556" s="19"/>
      <c r="Q556" s="19"/>
      <c r="R556" s="19"/>
      <c r="S556" s="19"/>
      <c r="T556" s="19"/>
      <c r="U556" s="19"/>
      <c r="V556" s="19"/>
      <c r="W556" s="19"/>
      <c r="X556" s="19"/>
      <c r="Y556" s="19"/>
      <c r="Z556" t="str">
        <f>IF(Tabela1[[#This Row],[1]]&lt;&gt;"",IF(ISNUMBER(FIND(",",Tabela1[[#This Row],[1]])),LEN(Tabela1[[#This Row],[1]])-LEN(SUBSTITUTE(Tabela1[[#This Row],[1]],",",""))+1,1),"")</f>
        <v/>
      </c>
      <c r="AA556" t="str">
        <f>IF(Tabela1[[#This Row],[2]]&lt;&gt;"",IF(ISNUMBER(FIND(",",Tabela1[[#This Row],[2]])),LEN(Tabela1[[#This Row],[2]])-LEN(SUBSTITUTE(Tabela1[[#This Row],[2]],",",""))+1,1),"")</f>
        <v/>
      </c>
      <c r="AB556">
        <f>IF(Tabela1[[#This Row],[3]]&lt;&gt;"",IF(ISNUMBER(FIND(",",Tabela1[[#This Row],[3]])),LEN(Tabela1[[#This Row],[3]])-LEN(SUBSTITUTE(Tabela1[[#This Row],[3]],",",""))+1,1),"")</f>
        <v>1</v>
      </c>
      <c r="AC556" t="str">
        <f>IF(Tabela1[[#This Row],[4]]&lt;&gt;"",IF(ISNUMBER(FIND(",",Tabela1[[#This Row],[4]])),LEN(Tabela1[[#This Row],[4]])-LEN(SUBSTITUTE(Tabela1[[#This Row],[4]],",",""))+1,1),"")</f>
        <v/>
      </c>
      <c r="AD556" t="str">
        <f>IF(Tabela1[[#This Row],[5]]&lt;&gt;"",IF(ISNUMBER(FIND(",",Tabela1[[#This Row],[5]])),LEN(Tabela1[[#This Row],[5]])-LEN(SUBSTITUTE(Tabela1[[#This Row],[5]],",",""))+1,1),"")</f>
        <v/>
      </c>
      <c r="AE556">
        <f>IF(Tabela1[[#This Row],[6]]&lt;&gt;"",IF(ISNUMBER(FIND(",",Tabela1[[#This Row],[6]])),LEN(Tabela1[[#This Row],[6]])-LEN(SUBSTITUTE(Tabela1[[#This Row],[6]],",",""))+1,1),"")</f>
        <v>1</v>
      </c>
      <c r="AF556" t="str">
        <f>IF(Tabela1[[#This Row],[7]]&lt;&gt;"",IF(ISNUMBER(FIND(",",Tabela1[[#This Row],[7]])),LEN(Tabela1[[#This Row],[7]])-LEN(SUBSTITUTE(Tabela1[[#This Row],[7]],",",""))+1,1),"")</f>
        <v/>
      </c>
      <c r="AG556" t="str">
        <f>IF(Tabela1[[#This Row],[8]]&lt;&gt;"",IF(ISNUMBER(FIND(",",Tabela1[[#This Row],[8]])),LEN(Tabela1[[#This Row],[8]])-LEN(SUBSTITUTE(Tabela1[[#This Row],[8]],",",""))+1,1),"")</f>
        <v/>
      </c>
      <c r="AH556" t="str">
        <f>IF(Tabela1[[#This Row],[9]]&lt;&gt;"",IF(ISNUMBER(FIND(",",Tabela1[[#This Row],[9]])),LEN(Tabela1[[#This Row],[9]])-LEN(SUBSTITUTE(Tabela1[[#This Row],[9]],",",""))+1,1),"")</f>
        <v/>
      </c>
      <c r="AI556" t="str">
        <f>IF(Tabela1[[#This Row],[10]]&lt;&gt;"",IF(ISNUMBER(FIND(",",Tabela1[[#This Row],[10]])),LEN(Tabela1[[#This Row],[10]])-LEN(SUBSTITUTE(Tabela1[[#This Row],[10]],",",""))+1,1),"")</f>
        <v/>
      </c>
      <c r="AJ556" t="str">
        <f>IF(Tabela1[[#This Row],[11]]&lt;&gt;"",IF(ISNUMBER(FIND(",",Tabela1[[#This Row],[11]])),LEN(Tabela1[[#This Row],[11]])-LEN(SUBSTITUTE(Tabela1[[#This Row],[11]],",",""))+1,1),"")</f>
        <v/>
      </c>
      <c r="AK556" t="str">
        <f>IF(Tabela1[[#This Row],[12]]&lt;&gt;"",IF(ISNUMBER(FIND(",",Tabela1[[#This Row],[12]])),LEN(Tabela1[[#This Row],[12]])-LEN(SUBSTITUTE(Tabela1[[#This Row],[12]],",",""))+1,1),"")</f>
        <v/>
      </c>
      <c r="AL556" t="str">
        <f>IF(Tabela1[[#This Row],[13]]&lt;&gt;"",IF(ISNUMBER(FIND(",",Tabela1[[#This Row],[13]])),LEN(Tabela1[[#This Row],[13]])-LEN(SUBSTITUTE(Tabela1[[#This Row],[13]],",",""))+1,1),"")</f>
        <v/>
      </c>
      <c r="AM556" t="str">
        <f>IF(Tabela1[[#This Row],[14]]&lt;&gt;"",IF(ISNUMBER(FIND(",",Tabela1[[#This Row],[14]])),LEN(Tabela1[[#This Row],[14]])-LEN(SUBSTITUTE(Tabela1[[#This Row],[14]],",",""))+1,1),"")</f>
        <v/>
      </c>
      <c r="AN556" t="str">
        <f>IF(Tabela1[[#This Row],[15]]&lt;&gt;"",IF(ISNUMBER(FIND(",",Tabela1[[#This Row],[15]])),LEN(Tabela1[[#This Row],[15]])-LEN(SUBSTITUTE(Tabela1[[#This Row],[15]],",",""))+1,1),"")</f>
        <v/>
      </c>
      <c r="AO556" t="str">
        <f>IF(Tabela1[[#This Row],[16]]&lt;&gt;"",IF(ISNUMBER(FIND(",",Tabela1[[#This Row],[16]])),LEN(Tabela1[[#This Row],[16]])-LEN(SUBSTITUTE(Tabela1[[#This Row],[16]],",",""))+1,1),"")</f>
        <v/>
      </c>
      <c r="AP556" t="str">
        <f>IF(Tabela1[[#This Row],[17]]&lt;&gt;"",IF(ISNUMBER(FIND(",",Tabela1[[#This Row],[17]])),LEN(Tabela1[[#This Row],[17]])-LEN(SUBSTITUTE(Tabela1[[#This Row],[17]],",",""))+1,1),"")</f>
        <v/>
      </c>
      <c r="AQ556" t="str">
        <f>IF(Tabela1[[#This Row],[18]]&lt;&gt;"",IF(ISNUMBER(FIND(",",Tabela1[[#This Row],[18]])),LEN(Tabela1[[#This Row],[18]])-LEN(SUBSTITUTE(Tabela1[[#This Row],[18]],",",""))+1,1),"")</f>
        <v/>
      </c>
      <c r="AR556" s="13" t="str">
        <f>IF(Tabela1[[#This Row],[19_LENGTH]]&lt;&gt;"",IF(ISNUMBER(FIND(",",Tabela1[[#This Row],[19_LENGTH]])),LEN(Tabela1[[#This Row],[19_LENGTH]])-LEN(SUBSTITUTE(Tabela1[[#This Row],[19_LENGTH]],",",""))+1,1),"")</f>
        <v/>
      </c>
      <c r="AS556" s="21">
        <f>SUM(Tabela1[[#This Row],[1_]:[19_]])</f>
        <v>2</v>
      </c>
    </row>
    <row r="557" spans="1:45" x14ac:dyDescent="0.25">
      <c r="A557" s="27" t="s">
        <v>1328</v>
      </c>
      <c r="B557" s="19" t="s">
        <v>601</v>
      </c>
      <c r="C557" s="19">
        <v>102</v>
      </c>
      <c r="D557" s="19" t="s">
        <v>1310</v>
      </c>
      <c r="E557" s="20">
        <v>43542</v>
      </c>
      <c r="F557" s="19"/>
      <c r="G557" s="19"/>
      <c r="H557" s="19"/>
      <c r="I557" s="19"/>
      <c r="J557" s="19"/>
      <c r="K557" s="19"/>
      <c r="L557" s="19"/>
      <c r="M557" s="19"/>
      <c r="N557" s="19"/>
      <c r="O557" s="19"/>
      <c r="P557" s="19"/>
      <c r="Q557" s="19"/>
      <c r="R557" s="19"/>
      <c r="S557" s="19"/>
      <c r="T557" s="19"/>
      <c r="U557" s="19"/>
      <c r="V557" s="19">
        <v>94</v>
      </c>
      <c r="W557" s="19"/>
      <c r="X557" s="19"/>
      <c r="Y557" s="19"/>
      <c r="Z557" t="str">
        <f>IF(Tabela1[[#This Row],[1]]&lt;&gt;"",IF(ISNUMBER(FIND(",",Tabela1[[#This Row],[1]])),LEN(Tabela1[[#This Row],[1]])-LEN(SUBSTITUTE(Tabela1[[#This Row],[1]],",",""))+1,1),"")</f>
        <v/>
      </c>
      <c r="AA557" t="str">
        <f>IF(Tabela1[[#This Row],[2]]&lt;&gt;"",IF(ISNUMBER(FIND(",",Tabela1[[#This Row],[2]])),LEN(Tabela1[[#This Row],[2]])-LEN(SUBSTITUTE(Tabela1[[#This Row],[2]],",",""))+1,1),"")</f>
        <v/>
      </c>
      <c r="AB557" t="str">
        <f>IF(Tabela1[[#This Row],[3]]&lt;&gt;"",IF(ISNUMBER(FIND(",",Tabela1[[#This Row],[3]])),LEN(Tabela1[[#This Row],[3]])-LEN(SUBSTITUTE(Tabela1[[#This Row],[3]],",",""))+1,1),"")</f>
        <v/>
      </c>
      <c r="AC557" t="str">
        <f>IF(Tabela1[[#This Row],[4]]&lt;&gt;"",IF(ISNUMBER(FIND(",",Tabela1[[#This Row],[4]])),LEN(Tabela1[[#This Row],[4]])-LEN(SUBSTITUTE(Tabela1[[#This Row],[4]],",",""))+1,1),"")</f>
        <v/>
      </c>
      <c r="AD557" t="str">
        <f>IF(Tabela1[[#This Row],[5]]&lt;&gt;"",IF(ISNUMBER(FIND(",",Tabela1[[#This Row],[5]])),LEN(Tabela1[[#This Row],[5]])-LEN(SUBSTITUTE(Tabela1[[#This Row],[5]],",",""))+1,1),"")</f>
        <v/>
      </c>
      <c r="AE557" t="str">
        <f>IF(Tabela1[[#This Row],[6]]&lt;&gt;"",IF(ISNUMBER(FIND(",",Tabela1[[#This Row],[6]])),LEN(Tabela1[[#This Row],[6]])-LEN(SUBSTITUTE(Tabela1[[#This Row],[6]],",",""))+1,1),"")</f>
        <v/>
      </c>
      <c r="AF557" t="str">
        <f>IF(Tabela1[[#This Row],[7]]&lt;&gt;"",IF(ISNUMBER(FIND(",",Tabela1[[#This Row],[7]])),LEN(Tabela1[[#This Row],[7]])-LEN(SUBSTITUTE(Tabela1[[#This Row],[7]],",",""))+1,1),"")</f>
        <v/>
      </c>
      <c r="AG557" t="str">
        <f>IF(Tabela1[[#This Row],[8]]&lt;&gt;"",IF(ISNUMBER(FIND(",",Tabela1[[#This Row],[8]])),LEN(Tabela1[[#This Row],[8]])-LEN(SUBSTITUTE(Tabela1[[#This Row],[8]],",",""))+1,1),"")</f>
        <v/>
      </c>
      <c r="AH557" t="str">
        <f>IF(Tabela1[[#This Row],[9]]&lt;&gt;"",IF(ISNUMBER(FIND(",",Tabela1[[#This Row],[9]])),LEN(Tabela1[[#This Row],[9]])-LEN(SUBSTITUTE(Tabela1[[#This Row],[9]],",",""))+1,1),"")</f>
        <v/>
      </c>
      <c r="AI557" t="str">
        <f>IF(Tabela1[[#This Row],[10]]&lt;&gt;"",IF(ISNUMBER(FIND(",",Tabela1[[#This Row],[10]])),LEN(Tabela1[[#This Row],[10]])-LEN(SUBSTITUTE(Tabela1[[#This Row],[10]],",",""))+1,1),"")</f>
        <v/>
      </c>
      <c r="AJ557" t="str">
        <f>IF(Tabela1[[#This Row],[11]]&lt;&gt;"",IF(ISNUMBER(FIND(",",Tabela1[[#This Row],[11]])),LEN(Tabela1[[#This Row],[11]])-LEN(SUBSTITUTE(Tabela1[[#This Row],[11]],",",""))+1,1),"")</f>
        <v/>
      </c>
      <c r="AK557" t="str">
        <f>IF(Tabela1[[#This Row],[12]]&lt;&gt;"",IF(ISNUMBER(FIND(",",Tabela1[[#This Row],[12]])),LEN(Tabela1[[#This Row],[12]])-LEN(SUBSTITUTE(Tabela1[[#This Row],[12]],",",""))+1,1),"")</f>
        <v/>
      </c>
      <c r="AL557" t="str">
        <f>IF(Tabela1[[#This Row],[13]]&lt;&gt;"",IF(ISNUMBER(FIND(",",Tabela1[[#This Row],[13]])),LEN(Tabela1[[#This Row],[13]])-LEN(SUBSTITUTE(Tabela1[[#This Row],[13]],",",""))+1,1),"")</f>
        <v/>
      </c>
      <c r="AM557" t="str">
        <f>IF(Tabela1[[#This Row],[14]]&lt;&gt;"",IF(ISNUMBER(FIND(",",Tabela1[[#This Row],[14]])),LEN(Tabela1[[#This Row],[14]])-LEN(SUBSTITUTE(Tabela1[[#This Row],[14]],",",""))+1,1),"")</f>
        <v/>
      </c>
      <c r="AN557" t="str">
        <f>IF(Tabela1[[#This Row],[15]]&lt;&gt;"",IF(ISNUMBER(FIND(",",Tabela1[[#This Row],[15]])),LEN(Tabela1[[#This Row],[15]])-LEN(SUBSTITUTE(Tabela1[[#This Row],[15]],",",""))+1,1),"")</f>
        <v/>
      </c>
      <c r="AO557" t="str">
        <f>IF(Tabela1[[#This Row],[16]]&lt;&gt;"",IF(ISNUMBER(FIND(",",Tabela1[[#This Row],[16]])),LEN(Tabela1[[#This Row],[16]])-LEN(SUBSTITUTE(Tabela1[[#This Row],[16]],",",""))+1,1),"")</f>
        <v/>
      </c>
      <c r="AP557">
        <f>IF(Tabela1[[#This Row],[17]]&lt;&gt;"",IF(ISNUMBER(FIND(",",Tabela1[[#This Row],[17]])),LEN(Tabela1[[#This Row],[17]])-LEN(SUBSTITUTE(Tabela1[[#This Row],[17]],",",""))+1,1),"")</f>
        <v>1</v>
      </c>
      <c r="AQ557" t="str">
        <f>IF(Tabela1[[#This Row],[18]]&lt;&gt;"",IF(ISNUMBER(FIND(",",Tabela1[[#This Row],[18]])),LEN(Tabela1[[#This Row],[18]])-LEN(SUBSTITUTE(Tabela1[[#This Row],[18]],",",""))+1,1),"")</f>
        <v/>
      </c>
      <c r="AR557" s="13" t="str">
        <f>IF(Tabela1[[#This Row],[19_LENGTH]]&lt;&gt;"",IF(ISNUMBER(FIND(",",Tabela1[[#This Row],[19_LENGTH]])),LEN(Tabela1[[#This Row],[19_LENGTH]])-LEN(SUBSTITUTE(Tabela1[[#This Row],[19_LENGTH]],",",""))+1,1),"")</f>
        <v/>
      </c>
      <c r="AS557" s="21">
        <f>SUM(Tabela1[[#This Row],[1_]:[19_]])</f>
        <v>1</v>
      </c>
    </row>
    <row r="558" spans="1:45" x14ac:dyDescent="0.25">
      <c r="A558" s="27" t="s">
        <v>1328</v>
      </c>
      <c r="B558" s="19" t="s">
        <v>602</v>
      </c>
      <c r="C558" s="19">
        <v>74</v>
      </c>
      <c r="D558" s="19" t="s">
        <v>1310</v>
      </c>
      <c r="E558" s="20">
        <v>43542</v>
      </c>
      <c r="F558" s="19"/>
      <c r="G558" s="19"/>
      <c r="H558" s="19"/>
      <c r="I558" s="19"/>
      <c r="J558" s="19"/>
      <c r="K558" s="19"/>
      <c r="L558" s="19"/>
      <c r="M558" s="19"/>
      <c r="N558" s="19"/>
      <c r="O558" s="19"/>
      <c r="P558" s="19"/>
      <c r="Q558" s="19"/>
      <c r="R558" s="19"/>
      <c r="S558" s="19"/>
      <c r="T558" s="19"/>
      <c r="U558" s="19">
        <v>55</v>
      </c>
      <c r="V558" s="19"/>
      <c r="W558" s="19"/>
      <c r="X558" s="19"/>
      <c r="Y558" s="19"/>
      <c r="Z558" t="str">
        <f>IF(Tabela1[[#This Row],[1]]&lt;&gt;"",IF(ISNUMBER(FIND(",",Tabela1[[#This Row],[1]])),LEN(Tabela1[[#This Row],[1]])-LEN(SUBSTITUTE(Tabela1[[#This Row],[1]],",",""))+1,1),"")</f>
        <v/>
      </c>
      <c r="AA558" t="str">
        <f>IF(Tabela1[[#This Row],[2]]&lt;&gt;"",IF(ISNUMBER(FIND(",",Tabela1[[#This Row],[2]])),LEN(Tabela1[[#This Row],[2]])-LEN(SUBSTITUTE(Tabela1[[#This Row],[2]],",",""))+1,1),"")</f>
        <v/>
      </c>
      <c r="AB558" t="str">
        <f>IF(Tabela1[[#This Row],[3]]&lt;&gt;"",IF(ISNUMBER(FIND(",",Tabela1[[#This Row],[3]])),LEN(Tabela1[[#This Row],[3]])-LEN(SUBSTITUTE(Tabela1[[#This Row],[3]],",",""))+1,1),"")</f>
        <v/>
      </c>
      <c r="AC558" t="str">
        <f>IF(Tabela1[[#This Row],[4]]&lt;&gt;"",IF(ISNUMBER(FIND(",",Tabela1[[#This Row],[4]])),LEN(Tabela1[[#This Row],[4]])-LEN(SUBSTITUTE(Tabela1[[#This Row],[4]],",",""))+1,1),"")</f>
        <v/>
      </c>
      <c r="AD558" t="str">
        <f>IF(Tabela1[[#This Row],[5]]&lt;&gt;"",IF(ISNUMBER(FIND(",",Tabela1[[#This Row],[5]])),LEN(Tabela1[[#This Row],[5]])-LEN(SUBSTITUTE(Tabela1[[#This Row],[5]],",",""))+1,1),"")</f>
        <v/>
      </c>
      <c r="AE558" t="str">
        <f>IF(Tabela1[[#This Row],[6]]&lt;&gt;"",IF(ISNUMBER(FIND(",",Tabela1[[#This Row],[6]])),LEN(Tabela1[[#This Row],[6]])-LEN(SUBSTITUTE(Tabela1[[#This Row],[6]],",",""))+1,1),"")</f>
        <v/>
      </c>
      <c r="AF558" t="str">
        <f>IF(Tabela1[[#This Row],[7]]&lt;&gt;"",IF(ISNUMBER(FIND(",",Tabela1[[#This Row],[7]])),LEN(Tabela1[[#This Row],[7]])-LEN(SUBSTITUTE(Tabela1[[#This Row],[7]],",",""))+1,1),"")</f>
        <v/>
      </c>
      <c r="AG558" t="str">
        <f>IF(Tabela1[[#This Row],[8]]&lt;&gt;"",IF(ISNUMBER(FIND(",",Tabela1[[#This Row],[8]])),LEN(Tabela1[[#This Row],[8]])-LEN(SUBSTITUTE(Tabela1[[#This Row],[8]],",",""))+1,1),"")</f>
        <v/>
      </c>
      <c r="AH558" t="str">
        <f>IF(Tabela1[[#This Row],[9]]&lt;&gt;"",IF(ISNUMBER(FIND(",",Tabela1[[#This Row],[9]])),LEN(Tabela1[[#This Row],[9]])-LEN(SUBSTITUTE(Tabela1[[#This Row],[9]],",",""))+1,1),"")</f>
        <v/>
      </c>
      <c r="AI558" t="str">
        <f>IF(Tabela1[[#This Row],[10]]&lt;&gt;"",IF(ISNUMBER(FIND(",",Tabela1[[#This Row],[10]])),LEN(Tabela1[[#This Row],[10]])-LEN(SUBSTITUTE(Tabela1[[#This Row],[10]],",",""))+1,1),"")</f>
        <v/>
      </c>
      <c r="AJ558" t="str">
        <f>IF(Tabela1[[#This Row],[11]]&lt;&gt;"",IF(ISNUMBER(FIND(",",Tabela1[[#This Row],[11]])),LEN(Tabela1[[#This Row],[11]])-LEN(SUBSTITUTE(Tabela1[[#This Row],[11]],",",""))+1,1),"")</f>
        <v/>
      </c>
      <c r="AK558" t="str">
        <f>IF(Tabela1[[#This Row],[12]]&lt;&gt;"",IF(ISNUMBER(FIND(",",Tabela1[[#This Row],[12]])),LEN(Tabela1[[#This Row],[12]])-LEN(SUBSTITUTE(Tabela1[[#This Row],[12]],",",""))+1,1),"")</f>
        <v/>
      </c>
      <c r="AL558" t="str">
        <f>IF(Tabela1[[#This Row],[13]]&lt;&gt;"",IF(ISNUMBER(FIND(",",Tabela1[[#This Row],[13]])),LEN(Tabela1[[#This Row],[13]])-LEN(SUBSTITUTE(Tabela1[[#This Row],[13]],",",""))+1,1),"")</f>
        <v/>
      </c>
      <c r="AM558" t="str">
        <f>IF(Tabela1[[#This Row],[14]]&lt;&gt;"",IF(ISNUMBER(FIND(",",Tabela1[[#This Row],[14]])),LEN(Tabela1[[#This Row],[14]])-LEN(SUBSTITUTE(Tabela1[[#This Row],[14]],",",""))+1,1),"")</f>
        <v/>
      </c>
      <c r="AN558" t="str">
        <f>IF(Tabela1[[#This Row],[15]]&lt;&gt;"",IF(ISNUMBER(FIND(",",Tabela1[[#This Row],[15]])),LEN(Tabela1[[#This Row],[15]])-LEN(SUBSTITUTE(Tabela1[[#This Row],[15]],",",""))+1,1),"")</f>
        <v/>
      </c>
      <c r="AO558">
        <f>IF(Tabela1[[#This Row],[16]]&lt;&gt;"",IF(ISNUMBER(FIND(",",Tabela1[[#This Row],[16]])),LEN(Tabela1[[#This Row],[16]])-LEN(SUBSTITUTE(Tabela1[[#This Row],[16]],",",""))+1,1),"")</f>
        <v>1</v>
      </c>
      <c r="AP558" t="str">
        <f>IF(Tabela1[[#This Row],[17]]&lt;&gt;"",IF(ISNUMBER(FIND(",",Tabela1[[#This Row],[17]])),LEN(Tabela1[[#This Row],[17]])-LEN(SUBSTITUTE(Tabela1[[#This Row],[17]],",",""))+1,1),"")</f>
        <v/>
      </c>
      <c r="AQ558" t="str">
        <f>IF(Tabela1[[#This Row],[18]]&lt;&gt;"",IF(ISNUMBER(FIND(",",Tabela1[[#This Row],[18]])),LEN(Tabela1[[#This Row],[18]])-LEN(SUBSTITUTE(Tabela1[[#This Row],[18]],",",""))+1,1),"")</f>
        <v/>
      </c>
      <c r="AR558" s="13" t="str">
        <f>IF(Tabela1[[#This Row],[19_LENGTH]]&lt;&gt;"",IF(ISNUMBER(FIND(",",Tabela1[[#This Row],[19_LENGTH]])),LEN(Tabela1[[#This Row],[19_LENGTH]])-LEN(SUBSTITUTE(Tabela1[[#This Row],[19_LENGTH]],",",""))+1,1),"")</f>
        <v/>
      </c>
      <c r="AS558" s="21">
        <f>SUM(Tabela1[[#This Row],[1_]:[19_]])</f>
        <v>1</v>
      </c>
    </row>
    <row r="559" spans="1:45" x14ac:dyDescent="0.25">
      <c r="A559" s="27" t="s">
        <v>1328</v>
      </c>
      <c r="B559" s="19" t="s">
        <v>879</v>
      </c>
      <c r="C559" s="19">
        <v>102</v>
      </c>
      <c r="D559" s="19" t="s">
        <v>1300</v>
      </c>
      <c r="E559" s="20">
        <v>43543</v>
      </c>
      <c r="F559" s="19"/>
      <c r="G559" s="19">
        <v>87</v>
      </c>
      <c r="H559" s="19"/>
      <c r="I559" s="19"/>
      <c r="J559" s="19"/>
      <c r="K559" s="19"/>
      <c r="L559" s="19"/>
      <c r="M559" s="19"/>
      <c r="N559" s="19"/>
      <c r="O559" s="19"/>
      <c r="P559" s="19"/>
      <c r="Q559" s="19"/>
      <c r="R559" s="19"/>
      <c r="S559" s="19"/>
      <c r="T559" s="19"/>
      <c r="U559" s="19"/>
      <c r="V559" s="19"/>
      <c r="W559" s="19"/>
      <c r="X559" s="19"/>
      <c r="Y559" s="19"/>
      <c r="Z559" t="str">
        <f>IF(Tabela1[[#This Row],[1]]&lt;&gt;"",IF(ISNUMBER(FIND(",",Tabela1[[#This Row],[1]])),LEN(Tabela1[[#This Row],[1]])-LEN(SUBSTITUTE(Tabela1[[#This Row],[1]],",",""))+1,1),"")</f>
        <v/>
      </c>
      <c r="AA559">
        <f>IF(Tabela1[[#This Row],[2]]&lt;&gt;"",IF(ISNUMBER(FIND(",",Tabela1[[#This Row],[2]])),LEN(Tabela1[[#This Row],[2]])-LEN(SUBSTITUTE(Tabela1[[#This Row],[2]],",",""))+1,1),"")</f>
        <v>1</v>
      </c>
      <c r="AB559" t="str">
        <f>IF(Tabela1[[#This Row],[3]]&lt;&gt;"",IF(ISNUMBER(FIND(",",Tabela1[[#This Row],[3]])),LEN(Tabela1[[#This Row],[3]])-LEN(SUBSTITUTE(Tabela1[[#This Row],[3]],",",""))+1,1),"")</f>
        <v/>
      </c>
      <c r="AC559" t="str">
        <f>IF(Tabela1[[#This Row],[4]]&lt;&gt;"",IF(ISNUMBER(FIND(",",Tabela1[[#This Row],[4]])),LEN(Tabela1[[#This Row],[4]])-LEN(SUBSTITUTE(Tabela1[[#This Row],[4]],",",""))+1,1),"")</f>
        <v/>
      </c>
      <c r="AD559" t="str">
        <f>IF(Tabela1[[#This Row],[5]]&lt;&gt;"",IF(ISNUMBER(FIND(",",Tabela1[[#This Row],[5]])),LEN(Tabela1[[#This Row],[5]])-LEN(SUBSTITUTE(Tabela1[[#This Row],[5]],",",""))+1,1),"")</f>
        <v/>
      </c>
      <c r="AE559" t="str">
        <f>IF(Tabela1[[#This Row],[6]]&lt;&gt;"",IF(ISNUMBER(FIND(",",Tabela1[[#This Row],[6]])),LEN(Tabela1[[#This Row],[6]])-LEN(SUBSTITUTE(Tabela1[[#This Row],[6]],",",""))+1,1),"")</f>
        <v/>
      </c>
      <c r="AF559" t="str">
        <f>IF(Tabela1[[#This Row],[7]]&lt;&gt;"",IF(ISNUMBER(FIND(",",Tabela1[[#This Row],[7]])),LEN(Tabela1[[#This Row],[7]])-LEN(SUBSTITUTE(Tabela1[[#This Row],[7]],",",""))+1,1),"")</f>
        <v/>
      </c>
      <c r="AG559" t="str">
        <f>IF(Tabela1[[#This Row],[8]]&lt;&gt;"",IF(ISNUMBER(FIND(",",Tabela1[[#This Row],[8]])),LEN(Tabela1[[#This Row],[8]])-LEN(SUBSTITUTE(Tabela1[[#This Row],[8]],",",""))+1,1),"")</f>
        <v/>
      </c>
      <c r="AH559" t="str">
        <f>IF(Tabela1[[#This Row],[9]]&lt;&gt;"",IF(ISNUMBER(FIND(",",Tabela1[[#This Row],[9]])),LEN(Tabela1[[#This Row],[9]])-LEN(SUBSTITUTE(Tabela1[[#This Row],[9]],",",""))+1,1),"")</f>
        <v/>
      </c>
      <c r="AI559" t="str">
        <f>IF(Tabela1[[#This Row],[10]]&lt;&gt;"",IF(ISNUMBER(FIND(",",Tabela1[[#This Row],[10]])),LEN(Tabela1[[#This Row],[10]])-LEN(SUBSTITUTE(Tabela1[[#This Row],[10]],",",""))+1,1),"")</f>
        <v/>
      </c>
      <c r="AJ559" t="str">
        <f>IF(Tabela1[[#This Row],[11]]&lt;&gt;"",IF(ISNUMBER(FIND(",",Tabela1[[#This Row],[11]])),LEN(Tabela1[[#This Row],[11]])-LEN(SUBSTITUTE(Tabela1[[#This Row],[11]],",",""))+1,1),"")</f>
        <v/>
      </c>
      <c r="AK559" t="str">
        <f>IF(Tabela1[[#This Row],[12]]&lt;&gt;"",IF(ISNUMBER(FIND(",",Tabela1[[#This Row],[12]])),LEN(Tabela1[[#This Row],[12]])-LEN(SUBSTITUTE(Tabela1[[#This Row],[12]],",",""))+1,1),"")</f>
        <v/>
      </c>
      <c r="AL559" t="str">
        <f>IF(Tabela1[[#This Row],[13]]&lt;&gt;"",IF(ISNUMBER(FIND(",",Tabela1[[#This Row],[13]])),LEN(Tabela1[[#This Row],[13]])-LEN(SUBSTITUTE(Tabela1[[#This Row],[13]],",",""))+1,1),"")</f>
        <v/>
      </c>
      <c r="AM559" t="str">
        <f>IF(Tabela1[[#This Row],[14]]&lt;&gt;"",IF(ISNUMBER(FIND(",",Tabela1[[#This Row],[14]])),LEN(Tabela1[[#This Row],[14]])-LEN(SUBSTITUTE(Tabela1[[#This Row],[14]],",",""))+1,1),"")</f>
        <v/>
      </c>
      <c r="AN559" t="str">
        <f>IF(Tabela1[[#This Row],[15]]&lt;&gt;"",IF(ISNUMBER(FIND(",",Tabela1[[#This Row],[15]])),LEN(Tabela1[[#This Row],[15]])-LEN(SUBSTITUTE(Tabela1[[#This Row],[15]],",",""))+1,1),"")</f>
        <v/>
      </c>
      <c r="AO559" t="str">
        <f>IF(Tabela1[[#This Row],[16]]&lt;&gt;"",IF(ISNUMBER(FIND(",",Tabela1[[#This Row],[16]])),LEN(Tabela1[[#This Row],[16]])-LEN(SUBSTITUTE(Tabela1[[#This Row],[16]],",",""))+1,1),"")</f>
        <v/>
      </c>
      <c r="AP559" t="str">
        <f>IF(Tabela1[[#This Row],[17]]&lt;&gt;"",IF(ISNUMBER(FIND(",",Tabela1[[#This Row],[17]])),LEN(Tabela1[[#This Row],[17]])-LEN(SUBSTITUTE(Tabela1[[#This Row],[17]],",",""))+1,1),"")</f>
        <v/>
      </c>
      <c r="AQ559" t="str">
        <f>IF(Tabela1[[#This Row],[18]]&lt;&gt;"",IF(ISNUMBER(FIND(",",Tabela1[[#This Row],[18]])),LEN(Tabela1[[#This Row],[18]])-LEN(SUBSTITUTE(Tabela1[[#This Row],[18]],",",""))+1,1),"")</f>
        <v/>
      </c>
      <c r="AR559" s="13" t="str">
        <f>IF(Tabela1[[#This Row],[19_LENGTH]]&lt;&gt;"",IF(ISNUMBER(FIND(",",Tabela1[[#This Row],[19_LENGTH]])),LEN(Tabela1[[#This Row],[19_LENGTH]])-LEN(SUBSTITUTE(Tabela1[[#This Row],[19_LENGTH]],",",""))+1,1),"")</f>
        <v/>
      </c>
      <c r="AS559" s="21">
        <f>SUM(Tabela1[[#This Row],[1_]:[19_]])</f>
        <v>1</v>
      </c>
    </row>
    <row r="560" spans="1:45" x14ac:dyDescent="0.25">
      <c r="A560" s="27" t="s">
        <v>1328</v>
      </c>
      <c r="B560" s="19" t="s">
        <v>880</v>
      </c>
      <c r="C560" s="19">
        <v>102</v>
      </c>
      <c r="D560" s="19" t="s">
        <v>1300</v>
      </c>
      <c r="E560" s="20">
        <v>43543</v>
      </c>
      <c r="F560" s="19"/>
      <c r="G560" s="19">
        <v>70</v>
      </c>
      <c r="H560" s="19">
        <v>69</v>
      </c>
      <c r="I560" s="19"/>
      <c r="J560" s="19"/>
      <c r="K560" s="19"/>
      <c r="L560" s="19"/>
      <c r="M560" s="19"/>
      <c r="N560" s="19"/>
      <c r="O560" s="19"/>
      <c r="P560" s="19"/>
      <c r="Q560" s="19"/>
      <c r="R560" s="19"/>
      <c r="S560" s="19"/>
      <c r="T560" s="19"/>
      <c r="U560" s="19"/>
      <c r="V560" s="19"/>
      <c r="W560" s="19"/>
      <c r="X560" s="19"/>
      <c r="Y560" s="19"/>
      <c r="Z560" t="str">
        <f>IF(Tabela1[[#This Row],[1]]&lt;&gt;"",IF(ISNUMBER(FIND(",",Tabela1[[#This Row],[1]])),LEN(Tabela1[[#This Row],[1]])-LEN(SUBSTITUTE(Tabela1[[#This Row],[1]],",",""))+1,1),"")</f>
        <v/>
      </c>
      <c r="AA560">
        <f>IF(Tabela1[[#This Row],[2]]&lt;&gt;"",IF(ISNUMBER(FIND(",",Tabela1[[#This Row],[2]])),LEN(Tabela1[[#This Row],[2]])-LEN(SUBSTITUTE(Tabela1[[#This Row],[2]],",",""))+1,1),"")</f>
        <v>1</v>
      </c>
      <c r="AB560">
        <f>IF(Tabela1[[#This Row],[3]]&lt;&gt;"",IF(ISNUMBER(FIND(",",Tabela1[[#This Row],[3]])),LEN(Tabela1[[#This Row],[3]])-LEN(SUBSTITUTE(Tabela1[[#This Row],[3]],",",""))+1,1),"")</f>
        <v>1</v>
      </c>
      <c r="AC560" t="str">
        <f>IF(Tabela1[[#This Row],[4]]&lt;&gt;"",IF(ISNUMBER(FIND(",",Tabela1[[#This Row],[4]])),LEN(Tabela1[[#This Row],[4]])-LEN(SUBSTITUTE(Tabela1[[#This Row],[4]],",",""))+1,1),"")</f>
        <v/>
      </c>
      <c r="AD560" t="str">
        <f>IF(Tabela1[[#This Row],[5]]&lt;&gt;"",IF(ISNUMBER(FIND(",",Tabela1[[#This Row],[5]])),LEN(Tabela1[[#This Row],[5]])-LEN(SUBSTITUTE(Tabela1[[#This Row],[5]],",",""))+1,1),"")</f>
        <v/>
      </c>
      <c r="AE560" t="str">
        <f>IF(Tabela1[[#This Row],[6]]&lt;&gt;"",IF(ISNUMBER(FIND(",",Tabela1[[#This Row],[6]])),LEN(Tabela1[[#This Row],[6]])-LEN(SUBSTITUTE(Tabela1[[#This Row],[6]],",",""))+1,1),"")</f>
        <v/>
      </c>
      <c r="AF560" t="str">
        <f>IF(Tabela1[[#This Row],[7]]&lt;&gt;"",IF(ISNUMBER(FIND(",",Tabela1[[#This Row],[7]])),LEN(Tabela1[[#This Row],[7]])-LEN(SUBSTITUTE(Tabela1[[#This Row],[7]],",",""))+1,1),"")</f>
        <v/>
      </c>
      <c r="AG560" t="str">
        <f>IF(Tabela1[[#This Row],[8]]&lt;&gt;"",IF(ISNUMBER(FIND(",",Tabela1[[#This Row],[8]])),LEN(Tabela1[[#This Row],[8]])-LEN(SUBSTITUTE(Tabela1[[#This Row],[8]],",",""))+1,1),"")</f>
        <v/>
      </c>
      <c r="AH560" t="str">
        <f>IF(Tabela1[[#This Row],[9]]&lt;&gt;"",IF(ISNUMBER(FIND(",",Tabela1[[#This Row],[9]])),LEN(Tabela1[[#This Row],[9]])-LEN(SUBSTITUTE(Tabela1[[#This Row],[9]],",",""))+1,1),"")</f>
        <v/>
      </c>
      <c r="AI560" t="str">
        <f>IF(Tabela1[[#This Row],[10]]&lt;&gt;"",IF(ISNUMBER(FIND(",",Tabela1[[#This Row],[10]])),LEN(Tabela1[[#This Row],[10]])-LEN(SUBSTITUTE(Tabela1[[#This Row],[10]],",",""))+1,1),"")</f>
        <v/>
      </c>
      <c r="AJ560" t="str">
        <f>IF(Tabela1[[#This Row],[11]]&lt;&gt;"",IF(ISNUMBER(FIND(",",Tabela1[[#This Row],[11]])),LEN(Tabela1[[#This Row],[11]])-LEN(SUBSTITUTE(Tabela1[[#This Row],[11]],",",""))+1,1),"")</f>
        <v/>
      </c>
      <c r="AK560" t="str">
        <f>IF(Tabela1[[#This Row],[12]]&lt;&gt;"",IF(ISNUMBER(FIND(",",Tabela1[[#This Row],[12]])),LEN(Tabela1[[#This Row],[12]])-LEN(SUBSTITUTE(Tabela1[[#This Row],[12]],",",""))+1,1),"")</f>
        <v/>
      </c>
      <c r="AL560" t="str">
        <f>IF(Tabela1[[#This Row],[13]]&lt;&gt;"",IF(ISNUMBER(FIND(",",Tabela1[[#This Row],[13]])),LEN(Tabela1[[#This Row],[13]])-LEN(SUBSTITUTE(Tabela1[[#This Row],[13]],",",""))+1,1),"")</f>
        <v/>
      </c>
      <c r="AM560" t="str">
        <f>IF(Tabela1[[#This Row],[14]]&lt;&gt;"",IF(ISNUMBER(FIND(",",Tabela1[[#This Row],[14]])),LEN(Tabela1[[#This Row],[14]])-LEN(SUBSTITUTE(Tabela1[[#This Row],[14]],",",""))+1,1),"")</f>
        <v/>
      </c>
      <c r="AN560" t="str">
        <f>IF(Tabela1[[#This Row],[15]]&lt;&gt;"",IF(ISNUMBER(FIND(",",Tabela1[[#This Row],[15]])),LEN(Tabela1[[#This Row],[15]])-LEN(SUBSTITUTE(Tabela1[[#This Row],[15]],",",""))+1,1),"")</f>
        <v/>
      </c>
      <c r="AO560" t="str">
        <f>IF(Tabela1[[#This Row],[16]]&lt;&gt;"",IF(ISNUMBER(FIND(",",Tabela1[[#This Row],[16]])),LEN(Tabela1[[#This Row],[16]])-LEN(SUBSTITUTE(Tabela1[[#This Row],[16]],",",""))+1,1),"")</f>
        <v/>
      </c>
      <c r="AP560" t="str">
        <f>IF(Tabela1[[#This Row],[17]]&lt;&gt;"",IF(ISNUMBER(FIND(",",Tabela1[[#This Row],[17]])),LEN(Tabela1[[#This Row],[17]])-LEN(SUBSTITUTE(Tabela1[[#This Row],[17]],",",""))+1,1),"")</f>
        <v/>
      </c>
      <c r="AQ560" t="str">
        <f>IF(Tabela1[[#This Row],[18]]&lt;&gt;"",IF(ISNUMBER(FIND(",",Tabela1[[#This Row],[18]])),LEN(Tabela1[[#This Row],[18]])-LEN(SUBSTITUTE(Tabela1[[#This Row],[18]],",",""))+1,1),"")</f>
        <v/>
      </c>
      <c r="AR560" s="13" t="str">
        <f>IF(Tabela1[[#This Row],[19_LENGTH]]&lt;&gt;"",IF(ISNUMBER(FIND(",",Tabela1[[#This Row],[19_LENGTH]])),LEN(Tabela1[[#This Row],[19_LENGTH]])-LEN(SUBSTITUTE(Tabela1[[#This Row],[19_LENGTH]],",",""))+1,1),"")</f>
        <v/>
      </c>
      <c r="AS560" s="21">
        <f>SUM(Tabela1[[#This Row],[1_]:[19_]])</f>
        <v>2</v>
      </c>
    </row>
    <row r="561" spans="1:45" x14ac:dyDescent="0.25">
      <c r="A561" s="27" t="s">
        <v>1328</v>
      </c>
      <c r="B561" s="19" t="s">
        <v>603</v>
      </c>
      <c r="C561" s="19">
        <v>102</v>
      </c>
      <c r="D561" s="19" t="s">
        <v>1308</v>
      </c>
      <c r="E561" s="20">
        <v>43542</v>
      </c>
      <c r="F561" s="19"/>
      <c r="G561" s="19">
        <v>30</v>
      </c>
      <c r="H561" s="19"/>
      <c r="I561" s="19"/>
      <c r="J561" s="19"/>
      <c r="K561" s="19"/>
      <c r="L561" s="19"/>
      <c r="M561" s="19"/>
      <c r="N561" s="19"/>
      <c r="O561" s="19"/>
      <c r="P561" s="19"/>
      <c r="Q561" s="19"/>
      <c r="R561" s="19"/>
      <c r="S561" s="19"/>
      <c r="T561" s="19"/>
      <c r="U561" s="19"/>
      <c r="V561" s="19"/>
      <c r="W561" s="19"/>
      <c r="X561" s="19"/>
      <c r="Y561" s="19"/>
      <c r="Z561" t="str">
        <f>IF(Tabela1[[#This Row],[1]]&lt;&gt;"",IF(ISNUMBER(FIND(",",Tabela1[[#This Row],[1]])),LEN(Tabela1[[#This Row],[1]])-LEN(SUBSTITUTE(Tabela1[[#This Row],[1]],",",""))+1,1),"")</f>
        <v/>
      </c>
      <c r="AA561">
        <f>IF(Tabela1[[#This Row],[2]]&lt;&gt;"",IF(ISNUMBER(FIND(",",Tabela1[[#This Row],[2]])),LEN(Tabela1[[#This Row],[2]])-LEN(SUBSTITUTE(Tabela1[[#This Row],[2]],",",""))+1,1),"")</f>
        <v>1</v>
      </c>
      <c r="AB561" t="str">
        <f>IF(Tabela1[[#This Row],[3]]&lt;&gt;"",IF(ISNUMBER(FIND(",",Tabela1[[#This Row],[3]])),LEN(Tabela1[[#This Row],[3]])-LEN(SUBSTITUTE(Tabela1[[#This Row],[3]],",",""))+1,1),"")</f>
        <v/>
      </c>
      <c r="AC561" t="str">
        <f>IF(Tabela1[[#This Row],[4]]&lt;&gt;"",IF(ISNUMBER(FIND(",",Tabela1[[#This Row],[4]])),LEN(Tabela1[[#This Row],[4]])-LEN(SUBSTITUTE(Tabela1[[#This Row],[4]],",",""))+1,1),"")</f>
        <v/>
      </c>
      <c r="AD561" t="str">
        <f>IF(Tabela1[[#This Row],[5]]&lt;&gt;"",IF(ISNUMBER(FIND(",",Tabela1[[#This Row],[5]])),LEN(Tabela1[[#This Row],[5]])-LEN(SUBSTITUTE(Tabela1[[#This Row],[5]],",",""))+1,1),"")</f>
        <v/>
      </c>
      <c r="AE561" t="str">
        <f>IF(Tabela1[[#This Row],[6]]&lt;&gt;"",IF(ISNUMBER(FIND(",",Tabela1[[#This Row],[6]])),LEN(Tabela1[[#This Row],[6]])-LEN(SUBSTITUTE(Tabela1[[#This Row],[6]],",",""))+1,1),"")</f>
        <v/>
      </c>
      <c r="AF561" t="str">
        <f>IF(Tabela1[[#This Row],[7]]&lt;&gt;"",IF(ISNUMBER(FIND(",",Tabela1[[#This Row],[7]])),LEN(Tabela1[[#This Row],[7]])-LEN(SUBSTITUTE(Tabela1[[#This Row],[7]],",",""))+1,1),"")</f>
        <v/>
      </c>
      <c r="AG561" t="str">
        <f>IF(Tabela1[[#This Row],[8]]&lt;&gt;"",IF(ISNUMBER(FIND(",",Tabela1[[#This Row],[8]])),LEN(Tabela1[[#This Row],[8]])-LEN(SUBSTITUTE(Tabela1[[#This Row],[8]],",",""))+1,1),"")</f>
        <v/>
      </c>
      <c r="AH561" t="str">
        <f>IF(Tabela1[[#This Row],[9]]&lt;&gt;"",IF(ISNUMBER(FIND(",",Tabela1[[#This Row],[9]])),LEN(Tabela1[[#This Row],[9]])-LEN(SUBSTITUTE(Tabela1[[#This Row],[9]],",",""))+1,1),"")</f>
        <v/>
      </c>
      <c r="AI561" t="str">
        <f>IF(Tabela1[[#This Row],[10]]&lt;&gt;"",IF(ISNUMBER(FIND(",",Tabela1[[#This Row],[10]])),LEN(Tabela1[[#This Row],[10]])-LEN(SUBSTITUTE(Tabela1[[#This Row],[10]],",",""))+1,1),"")</f>
        <v/>
      </c>
      <c r="AJ561" t="str">
        <f>IF(Tabela1[[#This Row],[11]]&lt;&gt;"",IF(ISNUMBER(FIND(",",Tabela1[[#This Row],[11]])),LEN(Tabela1[[#This Row],[11]])-LEN(SUBSTITUTE(Tabela1[[#This Row],[11]],",",""))+1,1),"")</f>
        <v/>
      </c>
      <c r="AK561" t="str">
        <f>IF(Tabela1[[#This Row],[12]]&lt;&gt;"",IF(ISNUMBER(FIND(",",Tabela1[[#This Row],[12]])),LEN(Tabela1[[#This Row],[12]])-LEN(SUBSTITUTE(Tabela1[[#This Row],[12]],",",""))+1,1),"")</f>
        <v/>
      </c>
      <c r="AL561" t="str">
        <f>IF(Tabela1[[#This Row],[13]]&lt;&gt;"",IF(ISNUMBER(FIND(",",Tabela1[[#This Row],[13]])),LEN(Tabela1[[#This Row],[13]])-LEN(SUBSTITUTE(Tabela1[[#This Row],[13]],",",""))+1,1),"")</f>
        <v/>
      </c>
      <c r="AM561" t="str">
        <f>IF(Tabela1[[#This Row],[14]]&lt;&gt;"",IF(ISNUMBER(FIND(",",Tabela1[[#This Row],[14]])),LEN(Tabela1[[#This Row],[14]])-LEN(SUBSTITUTE(Tabela1[[#This Row],[14]],",",""))+1,1),"")</f>
        <v/>
      </c>
      <c r="AN561" t="str">
        <f>IF(Tabela1[[#This Row],[15]]&lt;&gt;"",IF(ISNUMBER(FIND(",",Tabela1[[#This Row],[15]])),LEN(Tabela1[[#This Row],[15]])-LEN(SUBSTITUTE(Tabela1[[#This Row],[15]],",",""))+1,1),"")</f>
        <v/>
      </c>
      <c r="AO561" t="str">
        <f>IF(Tabela1[[#This Row],[16]]&lt;&gt;"",IF(ISNUMBER(FIND(",",Tabela1[[#This Row],[16]])),LEN(Tabela1[[#This Row],[16]])-LEN(SUBSTITUTE(Tabela1[[#This Row],[16]],",",""))+1,1),"")</f>
        <v/>
      </c>
      <c r="AP561" t="str">
        <f>IF(Tabela1[[#This Row],[17]]&lt;&gt;"",IF(ISNUMBER(FIND(",",Tabela1[[#This Row],[17]])),LEN(Tabela1[[#This Row],[17]])-LEN(SUBSTITUTE(Tabela1[[#This Row],[17]],",",""))+1,1),"")</f>
        <v/>
      </c>
      <c r="AQ561" t="str">
        <f>IF(Tabela1[[#This Row],[18]]&lt;&gt;"",IF(ISNUMBER(FIND(",",Tabela1[[#This Row],[18]])),LEN(Tabela1[[#This Row],[18]])-LEN(SUBSTITUTE(Tabela1[[#This Row],[18]],",",""))+1,1),"")</f>
        <v/>
      </c>
      <c r="AR561" s="13" t="str">
        <f>IF(Tabela1[[#This Row],[19_LENGTH]]&lt;&gt;"",IF(ISNUMBER(FIND(",",Tabela1[[#This Row],[19_LENGTH]])),LEN(Tabela1[[#This Row],[19_LENGTH]])-LEN(SUBSTITUTE(Tabela1[[#This Row],[19_LENGTH]],",",""))+1,1),"")</f>
        <v/>
      </c>
      <c r="AS561" s="21">
        <f>SUM(Tabela1[[#This Row],[1_]:[19_]])</f>
        <v>1</v>
      </c>
    </row>
    <row r="562" spans="1:45" x14ac:dyDescent="0.25">
      <c r="A562" s="27" t="s">
        <v>1328</v>
      </c>
      <c r="B562" s="19" t="s">
        <v>604</v>
      </c>
      <c r="C562" s="19">
        <v>102</v>
      </c>
      <c r="D562" s="19" t="s">
        <v>1308</v>
      </c>
      <c r="E562" s="20">
        <v>43542</v>
      </c>
      <c r="F562" s="19"/>
      <c r="G562" s="19">
        <v>54</v>
      </c>
      <c r="H562" s="19"/>
      <c r="I562" s="19"/>
      <c r="J562" s="19"/>
      <c r="K562" s="19"/>
      <c r="L562" s="19"/>
      <c r="M562" s="19"/>
      <c r="N562" s="19"/>
      <c r="O562" s="19"/>
      <c r="P562" s="19"/>
      <c r="Q562" s="19"/>
      <c r="R562" s="19"/>
      <c r="S562" s="19"/>
      <c r="T562" s="19"/>
      <c r="U562" s="19"/>
      <c r="V562" s="19"/>
      <c r="W562" s="19"/>
      <c r="X562" s="19"/>
      <c r="Y562" s="19"/>
      <c r="Z562" t="str">
        <f>IF(Tabela1[[#This Row],[1]]&lt;&gt;"",IF(ISNUMBER(FIND(",",Tabela1[[#This Row],[1]])),LEN(Tabela1[[#This Row],[1]])-LEN(SUBSTITUTE(Tabela1[[#This Row],[1]],",",""))+1,1),"")</f>
        <v/>
      </c>
      <c r="AA562">
        <f>IF(Tabela1[[#This Row],[2]]&lt;&gt;"",IF(ISNUMBER(FIND(",",Tabela1[[#This Row],[2]])),LEN(Tabela1[[#This Row],[2]])-LEN(SUBSTITUTE(Tabela1[[#This Row],[2]],",",""))+1,1),"")</f>
        <v>1</v>
      </c>
      <c r="AB562" t="str">
        <f>IF(Tabela1[[#This Row],[3]]&lt;&gt;"",IF(ISNUMBER(FIND(",",Tabela1[[#This Row],[3]])),LEN(Tabela1[[#This Row],[3]])-LEN(SUBSTITUTE(Tabela1[[#This Row],[3]],",",""))+1,1),"")</f>
        <v/>
      </c>
      <c r="AC562" t="str">
        <f>IF(Tabela1[[#This Row],[4]]&lt;&gt;"",IF(ISNUMBER(FIND(",",Tabela1[[#This Row],[4]])),LEN(Tabela1[[#This Row],[4]])-LEN(SUBSTITUTE(Tabela1[[#This Row],[4]],",",""))+1,1),"")</f>
        <v/>
      </c>
      <c r="AD562" t="str">
        <f>IF(Tabela1[[#This Row],[5]]&lt;&gt;"",IF(ISNUMBER(FIND(",",Tabela1[[#This Row],[5]])),LEN(Tabela1[[#This Row],[5]])-LEN(SUBSTITUTE(Tabela1[[#This Row],[5]],",",""))+1,1),"")</f>
        <v/>
      </c>
      <c r="AE562" t="str">
        <f>IF(Tabela1[[#This Row],[6]]&lt;&gt;"",IF(ISNUMBER(FIND(",",Tabela1[[#This Row],[6]])),LEN(Tabela1[[#This Row],[6]])-LEN(SUBSTITUTE(Tabela1[[#This Row],[6]],",",""))+1,1),"")</f>
        <v/>
      </c>
      <c r="AF562" t="str">
        <f>IF(Tabela1[[#This Row],[7]]&lt;&gt;"",IF(ISNUMBER(FIND(",",Tabela1[[#This Row],[7]])),LEN(Tabela1[[#This Row],[7]])-LEN(SUBSTITUTE(Tabela1[[#This Row],[7]],",",""))+1,1),"")</f>
        <v/>
      </c>
      <c r="AG562" t="str">
        <f>IF(Tabela1[[#This Row],[8]]&lt;&gt;"",IF(ISNUMBER(FIND(",",Tabela1[[#This Row],[8]])),LEN(Tabela1[[#This Row],[8]])-LEN(SUBSTITUTE(Tabela1[[#This Row],[8]],",",""))+1,1),"")</f>
        <v/>
      </c>
      <c r="AH562" t="str">
        <f>IF(Tabela1[[#This Row],[9]]&lt;&gt;"",IF(ISNUMBER(FIND(",",Tabela1[[#This Row],[9]])),LEN(Tabela1[[#This Row],[9]])-LEN(SUBSTITUTE(Tabela1[[#This Row],[9]],",",""))+1,1),"")</f>
        <v/>
      </c>
      <c r="AI562" t="str">
        <f>IF(Tabela1[[#This Row],[10]]&lt;&gt;"",IF(ISNUMBER(FIND(",",Tabela1[[#This Row],[10]])),LEN(Tabela1[[#This Row],[10]])-LEN(SUBSTITUTE(Tabela1[[#This Row],[10]],",",""))+1,1),"")</f>
        <v/>
      </c>
      <c r="AJ562" t="str">
        <f>IF(Tabela1[[#This Row],[11]]&lt;&gt;"",IF(ISNUMBER(FIND(",",Tabela1[[#This Row],[11]])),LEN(Tabela1[[#This Row],[11]])-LEN(SUBSTITUTE(Tabela1[[#This Row],[11]],",",""))+1,1),"")</f>
        <v/>
      </c>
      <c r="AK562" t="str">
        <f>IF(Tabela1[[#This Row],[12]]&lt;&gt;"",IF(ISNUMBER(FIND(",",Tabela1[[#This Row],[12]])),LEN(Tabela1[[#This Row],[12]])-LEN(SUBSTITUTE(Tabela1[[#This Row],[12]],",",""))+1,1),"")</f>
        <v/>
      </c>
      <c r="AL562" t="str">
        <f>IF(Tabela1[[#This Row],[13]]&lt;&gt;"",IF(ISNUMBER(FIND(",",Tabela1[[#This Row],[13]])),LEN(Tabela1[[#This Row],[13]])-LEN(SUBSTITUTE(Tabela1[[#This Row],[13]],",",""))+1,1),"")</f>
        <v/>
      </c>
      <c r="AM562" t="str">
        <f>IF(Tabela1[[#This Row],[14]]&lt;&gt;"",IF(ISNUMBER(FIND(",",Tabela1[[#This Row],[14]])),LEN(Tabela1[[#This Row],[14]])-LEN(SUBSTITUTE(Tabela1[[#This Row],[14]],",",""))+1,1),"")</f>
        <v/>
      </c>
      <c r="AN562" t="str">
        <f>IF(Tabela1[[#This Row],[15]]&lt;&gt;"",IF(ISNUMBER(FIND(",",Tabela1[[#This Row],[15]])),LEN(Tabela1[[#This Row],[15]])-LEN(SUBSTITUTE(Tabela1[[#This Row],[15]],",",""))+1,1),"")</f>
        <v/>
      </c>
      <c r="AO562" t="str">
        <f>IF(Tabela1[[#This Row],[16]]&lt;&gt;"",IF(ISNUMBER(FIND(",",Tabela1[[#This Row],[16]])),LEN(Tabela1[[#This Row],[16]])-LEN(SUBSTITUTE(Tabela1[[#This Row],[16]],",",""))+1,1),"")</f>
        <v/>
      </c>
      <c r="AP562" t="str">
        <f>IF(Tabela1[[#This Row],[17]]&lt;&gt;"",IF(ISNUMBER(FIND(",",Tabela1[[#This Row],[17]])),LEN(Tabela1[[#This Row],[17]])-LEN(SUBSTITUTE(Tabela1[[#This Row],[17]],",",""))+1,1),"")</f>
        <v/>
      </c>
      <c r="AQ562" t="str">
        <f>IF(Tabela1[[#This Row],[18]]&lt;&gt;"",IF(ISNUMBER(FIND(",",Tabela1[[#This Row],[18]])),LEN(Tabela1[[#This Row],[18]])-LEN(SUBSTITUTE(Tabela1[[#This Row],[18]],",",""))+1,1),"")</f>
        <v/>
      </c>
      <c r="AR562" s="13" t="str">
        <f>IF(Tabela1[[#This Row],[19_LENGTH]]&lt;&gt;"",IF(ISNUMBER(FIND(",",Tabela1[[#This Row],[19_LENGTH]])),LEN(Tabela1[[#This Row],[19_LENGTH]])-LEN(SUBSTITUTE(Tabela1[[#This Row],[19_LENGTH]],",",""))+1,1),"")</f>
        <v/>
      </c>
      <c r="AS562" s="21">
        <f>SUM(Tabela1[[#This Row],[1_]:[19_]])</f>
        <v>1</v>
      </c>
    </row>
    <row r="563" spans="1:45" x14ac:dyDescent="0.25">
      <c r="A563" s="27" t="s">
        <v>1329</v>
      </c>
      <c r="B563" s="19" t="s">
        <v>881</v>
      </c>
      <c r="C563" s="19">
        <v>102</v>
      </c>
      <c r="D563" s="19" t="s">
        <v>1309</v>
      </c>
      <c r="E563" s="20">
        <v>43542</v>
      </c>
      <c r="F563" s="19"/>
      <c r="G563" s="19"/>
      <c r="H563" s="19"/>
      <c r="I563" s="19"/>
      <c r="J563" s="19"/>
      <c r="K563" s="19"/>
      <c r="L563" s="19"/>
      <c r="M563" s="19"/>
      <c r="N563" s="19"/>
      <c r="O563" s="19"/>
      <c r="P563" s="19"/>
      <c r="Q563" s="19"/>
      <c r="R563" s="19"/>
      <c r="S563" s="19"/>
      <c r="T563" s="19"/>
      <c r="U563" s="19"/>
      <c r="V563" s="19"/>
      <c r="W563" s="19">
        <v>93</v>
      </c>
      <c r="X563" s="19"/>
      <c r="Y563" s="19"/>
      <c r="Z563" t="str">
        <f>IF(Tabela1[[#This Row],[1]]&lt;&gt;"",IF(ISNUMBER(FIND(",",Tabela1[[#This Row],[1]])),LEN(Tabela1[[#This Row],[1]])-LEN(SUBSTITUTE(Tabela1[[#This Row],[1]],",",""))+1,1),"")</f>
        <v/>
      </c>
      <c r="AA563" t="str">
        <f>IF(Tabela1[[#This Row],[2]]&lt;&gt;"",IF(ISNUMBER(FIND(",",Tabela1[[#This Row],[2]])),LEN(Tabela1[[#This Row],[2]])-LEN(SUBSTITUTE(Tabela1[[#This Row],[2]],",",""))+1,1),"")</f>
        <v/>
      </c>
      <c r="AB563" t="str">
        <f>IF(Tabela1[[#This Row],[3]]&lt;&gt;"",IF(ISNUMBER(FIND(",",Tabela1[[#This Row],[3]])),LEN(Tabela1[[#This Row],[3]])-LEN(SUBSTITUTE(Tabela1[[#This Row],[3]],",",""))+1,1),"")</f>
        <v/>
      </c>
      <c r="AC563" t="str">
        <f>IF(Tabela1[[#This Row],[4]]&lt;&gt;"",IF(ISNUMBER(FIND(",",Tabela1[[#This Row],[4]])),LEN(Tabela1[[#This Row],[4]])-LEN(SUBSTITUTE(Tabela1[[#This Row],[4]],",",""))+1,1),"")</f>
        <v/>
      </c>
      <c r="AD563" t="str">
        <f>IF(Tabela1[[#This Row],[5]]&lt;&gt;"",IF(ISNUMBER(FIND(",",Tabela1[[#This Row],[5]])),LEN(Tabela1[[#This Row],[5]])-LEN(SUBSTITUTE(Tabela1[[#This Row],[5]],",",""))+1,1),"")</f>
        <v/>
      </c>
      <c r="AE563" t="str">
        <f>IF(Tabela1[[#This Row],[6]]&lt;&gt;"",IF(ISNUMBER(FIND(",",Tabela1[[#This Row],[6]])),LEN(Tabela1[[#This Row],[6]])-LEN(SUBSTITUTE(Tabela1[[#This Row],[6]],",",""))+1,1),"")</f>
        <v/>
      </c>
      <c r="AF563" t="str">
        <f>IF(Tabela1[[#This Row],[7]]&lt;&gt;"",IF(ISNUMBER(FIND(",",Tabela1[[#This Row],[7]])),LEN(Tabela1[[#This Row],[7]])-LEN(SUBSTITUTE(Tabela1[[#This Row],[7]],",",""))+1,1),"")</f>
        <v/>
      </c>
      <c r="AG563" t="str">
        <f>IF(Tabela1[[#This Row],[8]]&lt;&gt;"",IF(ISNUMBER(FIND(",",Tabela1[[#This Row],[8]])),LEN(Tabela1[[#This Row],[8]])-LEN(SUBSTITUTE(Tabela1[[#This Row],[8]],",",""))+1,1),"")</f>
        <v/>
      </c>
      <c r="AH563" t="str">
        <f>IF(Tabela1[[#This Row],[9]]&lt;&gt;"",IF(ISNUMBER(FIND(",",Tabela1[[#This Row],[9]])),LEN(Tabela1[[#This Row],[9]])-LEN(SUBSTITUTE(Tabela1[[#This Row],[9]],",",""))+1,1),"")</f>
        <v/>
      </c>
      <c r="AI563" t="str">
        <f>IF(Tabela1[[#This Row],[10]]&lt;&gt;"",IF(ISNUMBER(FIND(",",Tabela1[[#This Row],[10]])),LEN(Tabela1[[#This Row],[10]])-LEN(SUBSTITUTE(Tabela1[[#This Row],[10]],",",""))+1,1),"")</f>
        <v/>
      </c>
      <c r="AJ563" t="str">
        <f>IF(Tabela1[[#This Row],[11]]&lt;&gt;"",IF(ISNUMBER(FIND(",",Tabela1[[#This Row],[11]])),LEN(Tabela1[[#This Row],[11]])-LEN(SUBSTITUTE(Tabela1[[#This Row],[11]],",",""))+1,1),"")</f>
        <v/>
      </c>
      <c r="AK563" t="str">
        <f>IF(Tabela1[[#This Row],[12]]&lt;&gt;"",IF(ISNUMBER(FIND(",",Tabela1[[#This Row],[12]])),LEN(Tabela1[[#This Row],[12]])-LEN(SUBSTITUTE(Tabela1[[#This Row],[12]],",",""))+1,1),"")</f>
        <v/>
      </c>
      <c r="AL563" t="str">
        <f>IF(Tabela1[[#This Row],[13]]&lt;&gt;"",IF(ISNUMBER(FIND(",",Tabela1[[#This Row],[13]])),LEN(Tabela1[[#This Row],[13]])-LEN(SUBSTITUTE(Tabela1[[#This Row],[13]],",",""))+1,1),"")</f>
        <v/>
      </c>
      <c r="AM563" t="str">
        <f>IF(Tabela1[[#This Row],[14]]&lt;&gt;"",IF(ISNUMBER(FIND(",",Tabela1[[#This Row],[14]])),LEN(Tabela1[[#This Row],[14]])-LEN(SUBSTITUTE(Tabela1[[#This Row],[14]],",",""))+1,1),"")</f>
        <v/>
      </c>
      <c r="AN563" t="str">
        <f>IF(Tabela1[[#This Row],[15]]&lt;&gt;"",IF(ISNUMBER(FIND(",",Tabela1[[#This Row],[15]])),LEN(Tabela1[[#This Row],[15]])-LEN(SUBSTITUTE(Tabela1[[#This Row],[15]],",",""))+1,1),"")</f>
        <v/>
      </c>
      <c r="AO563" t="str">
        <f>IF(Tabela1[[#This Row],[16]]&lt;&gt;"",IF(ISNUMBER(FIND(",",Tabela1[[#This Row],[16]])),LEN(Tabela1[[#This Row],[16]])-LEN(SUBSTITUTE(Tabela1[[#This Row],[16]],",",""))+1,1),"")</f>
        <v/>
      </c>
      <c r="AP563" t="str">
        <f>IF(Tabela1[[#This Row],[17]]&lt;&gt;"",IF(ISNUMBER(FIND(",",Tabela1[[#This Row],[17]])),LEN(Tabela1[[#This Row],[17]])-LEN(SUBSTITUTE(Tabela1[[#This Row],[17]],",",""))+1,1),"")</f>
        <v/>
      </c>
      <c r="AQ563">
        <f>IF(Tabela1[[#This Row],[18]]&lt;&gt;"",IF(ISNUMBER(FIND(",",Tabela1[[#This Row],[18]])),LEN(Tabela1[[#This Row],[18]])-LEN(SUBSTITUTE(Tabela1[[#This Row],[18]],",",""))+1,1),"")</f>
        <v>1</v>
      </c>
      <c r="AR563" s="13" t="str">
        <f>IF(Tabela1[[#This Row],[19_LENGTH]]&lt;&gt;"",IF(ISNUMBER(FIND(",",Tabela1[[#This Row],[19_LENGTH]])),LEN(Tabela1[[#This Row],[19_LENGTH]])-LEN(SUBSTITUTE(Tabela1[[#This Row],[19_LENGTH]],",",""))+1,1),"")</f>
        <v/>
      </c>
      <c r="AS563" s="21">
        <f>SUM(Tabela1[[#This Row],[1_]:[19_]])</f>
        <v>1</v>
      </c>
    </row>
    <row r="564" spans="1:45" x14ac:dyDescent="0.25">
      <c r="A564" s="27" t="s">
        <v>1328</v>
      </c>
      <c r="B564" s="19" t="s">
        <v>605</v>
      </c>
      <c r="C564" s="19">
        <v>102</v>
      </c>
      <c r="D564" s="19" t="s">
        <v>1300</v>
      </c>
      <c r="E564" s="20">
        <v>43542</v>
      </c>
      <c r="F564" s="19"/>
      <c r="G564" s="19">
        <v>75</v>
      </c>
      <c r="H564" s="19"/>
      <c r="I564" s="19">
        <v>54</v>
      </c>
      <c r="J564" s="19"/>
      <c r="K564" s="19"/>
      <c r="L564" s="19"/>
      <c r="M564" s="19"/>
      <c r="N564" s="19"/>
      <c r="O564" s="19"/>
      <c r="P564" s="19"/>
      <c r="Q564" s="19"/>
      <c r="R564" s="19"/>
      <c r="S564" s="19"/>
      <c r="T564" s="19"/>
      <c r="U564" s="19"/>
      <c r="V564" s="19"/>
      <c r="W564" s="19"/>
      <c r="X564" s="19"/>
      <c r="Y564" s="19"/>
      <c r="Z564" t="str">
        <f>IF(Tabela1[[#This Row],[1]]&lt;&gt;"",IF(ISNUMBER(FIND(",",Tabela1[[#This Row],[1]])),LEN(Tabela1[[#This Row],[1]])-LEN(SUBSTITUTE(Tabela1[[#This Row],[1]],",",""))+1,1),"")</f>
        <v/>
      </c>
      <c r="AA564">
        <f>IF(Tabela1[[#This Row],[2]]&lt;&gt;"",IF(ISNUMBER(FIND(",",Tabela1[[#This Row],[2]])),LEN(Tabela1[[#This Row],[2]])-LEN(SUBSTITUTE(Tabela1[[#This Row],[2]],",",""))+1,1),"")</f>
        <v>1</v>
      </c>
      <c r="AB564" t="str">
        <f>IF(Tabela1[[#This Row],[3]]&lt;&gt;"",IF(ISNUMBER(FIND(",",Tabela1[[#This Row],[3]])),LEN(Tabela1[[#This Row],[3]])-LEN(SUBSTITUTE(Tabela1[[#This Row],[3]],",",""))+1,1),"")</f>
        <v/>
      </c>
      <c r="AC564">
        <f>IF(Tabela1[[#This Row],[4]]&lt;&gt;"",IF(ISNUMBER(FIND(",",Tabela1[[#This Row],[4]])),LEN(Tabela1[[#This Row],[4]])-LEN(SUBSTITUTE(Tabela1[[#This Row],[4]],",",""))+1,1),"")</f>
        <v>1</v>
      </c>
      <c r="AD564" t="str">
        <f>IF(Tabela1[[#This Row],[5]]&lt;&gt;"",IF(ISNUMBER(FIND(",",Tabela1[[#This Row],[5]])),LEN(Tabela1[[#This Row],[5]])-LEN(SUBSTITUTE(Tabela1[[#This Row],[5]],",",""))+1,1),"")</f>
        <v/>
      </c>
      <c r="AE564" t="str">
        <f>IF(Tabela1[[#This Row],[6]]&lt;&gt;"",IF(ISNUMBER(FIND(",",Tabela1[[#This Row],[6]])),LEN(Tabela1[[#This Row],[6]])-LEN(SUBSTITUTE(Tabela1[[#This Row],[6]],",",""))+1,1),"")</f>
        <v/>
      </c>
      <c r="AF564" t="str">
        <f>IF(Tabela1[[#This Row],[7]]&lt;&gt;"",IF(ISNUMBER(FIND(",",Tabela1[[#This Row],[7]])),LEN(Tabela1[[#This Row],[7]])-LEN(SUBSTITUTE(Tabela1[[#This Row],[7]],",",""))+1,1),"")</f>
        <v/>
      </c>
      <c r="AG564" t="str">
        <f>IF(Tabela1[[#This Row],[8]]&lt;&gt;"",IF(ISNUMBER(FIND(",",Tabela1[[#This Row],[8]])),LEN(Tabela1[[#This Row],[8]])-LEN(SUBSTITUTE(Tabela1[[#This Row],[8]],",",""))+1,1),"")</f>
        <v/>
      </c>
      <c r="AH564" t="str">
        <f>IF(Tabela1[[#This Row],[9]]&lt;&gt;"",IF(ISNUMBER(FIND(",",Tabela1[[#This Row],[9]])),LEN(Tabela1[[#This Row],[9]])-LEN(SUBSTITUTE(Tabela1[[#This Row],[9]],",",""))+1,1),"")</f>
        <v/>
      </c>
      <c r="AI564" t="str">
        <f>IF(Tabela1[[#This Row],[10]]&lt;&gt;"",IF(ISNUMBER(FIND(",",Tabela1[[#This Row],[10]])),LEN(Tabela1[[#This Row],[10]])-LEN(SUBSTITUTE(Tabela1[[#This Row],[10]],",",""))+1,1),"")</f>
        <v/>
      </c>
      <c r="AJ564" t="str">
        <f>IF(Tabela1[[#This Row],[11]]&lt;&gt;"",IF(ISNUMBER(FIND(",",Tabela1[[#This Row],[11]])),LEN(Tabela1[[#This Row],[11]])-LEN(SUBSTITUTE(Tabela1[[#This Row],[11]],",",""))+1,1),"")</f>
        <v/>
      </c>
      <c r="AK564" t="str">
        <f>IF(Tabela1[[#This Row],[12]]&lt;&gt;"",IF(ISNUMBER(FIND(",",Tabela1[[#This Row],[12]])),LEN(Tabela1[[#This Row],[12]])-LEN(SUBSTITUTE(Tabela1[[#This Row],[12]],",",""))+1,1),"")</f>
        <v/>
      </c>
      <c r="AL564" t="str">
        <f>IF(Tabela1[[#This Row],[13]]&lt;&gt;"",IF(ISNUMBER(FIND(",",Tabela1[[#This Row],[13]])),LEN(Tabela1[[#This Row],[13]])-LEN(SUBSTITUTE(Tabela1[[#This Row],[13]],",",""))+1,1),"")</f>
        <v/>
      </c>
      <c r="AM564" t="str">
        <f>IF(Tabela1[[#This Row],[14]]&lt;&gt;"",IF(ISNUMBER(FIND(",",Tabela1[[#This Row],[14]])),LEN(Tabela1[[#This Row],[14]])-LEN(SUBSTITUTE(Tabela1[[#This Row],[14]],",",""))+1,1),"")</f>
        <v/>
      </c>
      <c r="AN564" t="str">
        <f>IF(Tabela1[[#This Row],[15]]&lt;&gt;"",IF(ISNUMBER(FIND(",",Tabela1[[#This Row],[15]])),LEN(Tabela1[[#This Row],[15]])-LEN(SUBSTITUTE(Tabela1[[#This Row],[15]],",",""))+1,1),"")</f>
        <v/>
      </c>
      <c r="AO564" t="str">
        <f>IF(Tabela1[[#This Row],[16]]&lt;&gt;"",IF(ISNUMBER(FIND(",",Tabela1[[#This Row],[16]])),LEN(Tabela1[[#This Row],[16]])-LEN(SUBSTITUTE(Tabela1[[#This Row],[16]],",",""))+1,1),"")</f>
        <v/>
      </c>
      <c r="AP564" t="str">
        <f>IF(Tabela1[[#This Row],[17]]&lt;&gt;"",IF(ISNUMBER(FIND(",",Tabela1[[#This Row],[17]])),LEN(Tabela1[[#This Row],[17]])-LEN(SUBSTITUTE(Tabela1[[#This Row],[17]],",",""))+1,1),"")</f>
        <v/>
      </c>
      <c r="AQ564" t="str">
        <f>IF(Tabela1[[#This Row],[18]]&lt;&gt;"",IF(ISNUMBER(FIND(",",Tabela1[[#This Row],[18]])),LEN(Tabela1[[#This Row],[18]])-LEN(SUBSTITUTE(Tabela1[[#This Row],[18]],",",""))+1,1),"")</f>
        <v/>
      </c>
      <c r="AR564" s="13" t="str">
        <f>IF(Tabela1[[#This Row],[19_LENGTH]]&lt;&gt;"",IF(ISNUMBER(FIND(",",Tabela1[[#This Row],[19_LENGTH]])),LEN(Tabela1[[#This Row],[19_LENGTH]])-LEN(SUBSTITUTE(Tabela1[[#This Row],[19_LENGTH]],",",""))+1,1),"")</f>
        <v/>
      </c>
      <c r="AS564" s="21">
        <f>SUM(Tabela1[[#This Row],[1_]:[19_]])</f>
        <v>2</v>
      </c>
    </row>
    <row r="565" spans="1:45" x14ac:dyDescent="0.25">
      <c r="A565" s="27" t="s">
        <v>1328</v>
      </c>
      <c r="B565" s="19" t="s">
        <v>606</v>
      </c>
      <c r="C565" s="19">
        <v>102</v>
      </c>
      <c r="D565" s="19" t="s">
        <v>1300</v>
      </c>
      <c r="E565" s="20">
        <v>43542</v>
      </c>
      <c r="F565" s="19"/>
      <c r="G565" s="19"/>
      <c r="H565" s="19"/>
      <c r="I565" s="19"/>
      <c r="J565" s="19"/>
      <c r="K565" s="19"/>
      <c r="L565" s="19"/>
      <c r="M565" s="19"/>
      <c r="N565" s="19"/>
      <c r="O565" s="19"/>
      <c r="P565" s="19"/>
      <c r="Q565" s="19"/>
      <c r="R565" s="19"/>
      <c r="S565" s="19"/>
      <c r="T565" s="19"/>
      <c r="U565" s="19" t="s">
        <v>219</v>
      </c>
      <c r="V565" s="19"/>
      <c r="W565" s="19"/>
      <c r="X565" s="19"/>
      <c r="Y565" s="19"/>
      <c r="Z565" t="str">
        <f>IF(Tabela1[[#This Row],[1]]&lt;&gt;"",IF(ISNUMBER(FIND(",",Tabela1[[#This Row],[1]])),LEN(Tabela1[[#This Row],[1]])-LEN(SUBSTITUTE(Tabela1[[#This Row],[1]],",",""))+1,1),"")</f>
        <v/>
      </c>
      <c r="AA565" t="str">
        <f>IF(Tabela1[[#This Row],[2]]&lt;&gt;"",IF(ISNUMBER(FIND(",",Tabela1[[#This Row],[2]])),LEN(Tabela1[[#This Row],[2]])-LEN(SUBSTITUTE(Tabela1[[#This Row],[2]],",",""))+1,1),"")</f>
        <v/>
      </c>
      <c r="AB565" t="str">
        <f>IF(Tabela1[[#This Row],[3]]&lt;&gt;"",IF(ISNUMBER(FIND(",",Tabela1[[#This Row],[3]])),LEN(Tabela1[[#This Row],[3]])-LEN(SUBSTITUTE(Tabela1[[#This Row],[3]],",",""))+1,1),"")</f>
        <v/>
      </c>
      <c r="AC565" t="str">
        <f>IF(Tabela1[[#This Row],[4]]&lt;&gt;"",IF(ISNUMBER(FIND(",",Tabela1[[#This Row],[4]])),LEN(Tabela1[[#This Row],[4]])-LEN(SUBSTITUTE(Tabela1[[#This Row],[4]],",",""))+1,1),"")</f>
        <v/>
      </c>
      <c r="AD565" t="str">
        <f>IF(Tabela1[[#This Row],[5]]&lt;&gt;"",IF(ISNUMBER(FIND(",",Tabela1[[#This Row],[5]])),LEN(Tabela1[[#This Row],[5]])-LEN(SUBSTITUTE(Tabela1[[#This Row],[5]],",",""))+1,1),"")</f>
        <v/>
      </c>
      <c r="AE565" t="str">
        <f>IF(Tabela1[[#This Row],[6]]&lt;&gt;"",IF(ISNUMBER(FIND(",",Tabela1[[#This Row],[6]])),LEN(Tabela1[[#This Row],[6]])-LEN(SUBSTITUTE(Tabela1[[#This Row],[6]],",",""))+1,1),"")</f>
        <v/>
      </c>
      <c r="AF565" t="str">
        <f>IF(Tabela1[[#This Row],[7]]&lt;&gt;"",IF(ISNUMBER(FIND(",",Tabela1[[#This Row],[7]])),LEN(Tabela1[[#This Row],[7]])-LEN(SUBSTITUTE(Tabela1[[#This Row],[7]],",",""))+1,1),"")</f>
        <v/>
      </c>
      <c r="AG565" t="str">
        <f>IF(Tabela1[[#This Row],[8]]&lt;&gt;"",IF(ISNUMBER(FIND(",",Tabela1[[#This Row],[8]])),LEN(Tabela1[[#This Row],[8]])-LEN(SUBSTITUTE(Tabela1[[#This Row],[8]],",",""))+1,1),"")</f>
        <v/>
      </c>
      <c r="AH565" t="str">
        <f>IF(Tabela1[[#This Row],[9]]&lt;&gt;"",IF(ISNUMBER(FIND(",",Tabela1[[#This Row],[9]])),LEN(Tabela1[[#This Row],[9]])-LEN(SUBSTITUTE(Tabela1[[#This Row],[9]],",",""))+1,1),"")</f>
        <v/>
      </c>
      <c r="AI565" t="str">
        <f>IF(Tabela1[[#This Row],[10]]&lt;&gt;"",IF(ISNUMBER(FIND(",",Tabela1[[#This Row],[10]])),LEN(Tabela1[[#This Row],[10]])-LEN(SUBSTITUTE(Tabela1[[#This Row],[10]],",",""))+1,1),"")</f>
        <v/>
      </c>
      <c r="AJ565" t="str">
        <f>IF(Tabela1[[#This Row],[11]]&lt;&gt;"",IF(ISNUMBER(FIND(",",Tabela1[[#This Row],[11]])),LEN(Tabela1[[#This Row],[11]])-LEN(SUBSTITUTE(Tabela1[[#This Row],[11]],",",""))+1,1),"")</f>
        <v/>
      </c>
      <c r="AK565" t="str">
        <f>IF(Tabela1[[#This Row],[12]]&lt;&gt;"",IF(ISNUMBER(FIND(",",Tabela1[[#This Row],[12]])),LEN(Tabela1[[#This Row],[12]])-LEN(SUBSTITUTE(Tabela1[[#This Row],[12]],",",""))+1,1),"")</f>
        <v/>
      </c>
      <c r="AL565" t="str">
        <f>IF(Tabela1[[#This Row],[13]]&lt;&gt;"",IF(ISNUMBER(FIND(",",Tabela1[[#This Row],[13]])),LEN(Tabela1[[#This Row],[13]])-LEN(SUBSTITUTE(Tabela1[[#This Row],[13]],",",""))+1,1),"")</f>
        <v/>
      </c>
      <c r="AM565" t="str">
        <f>IF(Tabela1[[#This Row],[14]]&lt;&gt;"",IF(ISNUMBER(FIND(",",Tabela1[[#This Row],[14]])),LEN(Tabela1[[#This Row],[14]])-LEN(SUBSTITUTE(Tabela1[[#This Row],[14]],",",""))+1,1),"")</f>
        <v/>
      </c>
      <c r="AN565" t="str">
        <f>IF(Tabela1[[#This Row],[15]]&lt;&gt;"",IF(ISNUMBER(FIND(",",Tabela1[[#This Row],[15]])),LEN(Tabela1[[#This Row],[15]])-LEN(SUBSTITUTE(Tabela1[[#This Row],[15]],",",""))+1,1),"")</f>
        <v/>
      </c>
      <c r="AO565">
        <f>IF(Tabela1[[#This Row],[16]]&lt;&gt;"",IF(ISNUMBER(FIND(",",Tabela1[[#This Row],[16]])),LEN(Tabela1[[#This Row],[16]])-LEN(SUBSTITUTE(Tabela1[[#This Row],[16]],",",""))+1,1),"")</f>
        <v>2</v>
      </c>
      <c r="AP565" t="str">
        <f>IF(Tabela1[[#This Row],[17]]&lt;&gt;"",IF(ISNUMBER(FIND(",",Tabela1[[#This Row],[17]])),LEN(Tabela1[[#This Row],[17]])-LEN(SUBSTITUTE(Tabela1[[#This Row],[17]],",",""))+1,1),"")</f>
        <v/>
      </c>
      <c r="AQ565" t="str">
        <f>IF(Tabela1[[#This Row],[18]]&lt;&gt;"",IF(ISNUMBER(FIND(",",Tabela1[[#This Row],[18]])),LEN(Tabela1[[#This Row],[18]])-LEN(SUBSTITUTE(Tabela1[[#This Row],[18]],",",""))+1,1),"")</f>
        <v/>
      </c>
      <c r="AR565" s="13" t="str">
        <f>IF(Tabela1[[#This Row],[19_LENGTH]]&lt;&gt;"",IF(ISNUMBER(FIND(",",Tabela1[[#This Row],[19_LENGTH]])),LEN(Tabela1[[#This Row],[19_LENGTH]])-LEN(SUBSTITUTE(Tabela1[[#This Row],[19_LENGTH]],",",""))+1,1),"")</f>
        <v/>
      </c>
      <c r="AS565" s="21">
        <f>SUM(Tabela1[[#This Row],[1_]:[19_]])</f>
        <v>2</v>
      </c>
    </row>
    <row r="566" spans="1:45" x14ac:dyDescent="0.25">
      <c r="A566" s="27" t="s">
        <v>1328</v>
      </c>
      <c r="B566" s="19" t="s">
        <v>607</v>
      </c>
      <c r="C566" s="19">
        <v>102</v>
      </c>
      <c r="D566" s="19" t="s">
        <v>1300</v>
      </c>
      <c r="E566" s="20">
        <v>43542</v>
      </c>
      <c r="F566" s="19"/>
      <c r="G566" s="19"/>
      <c r="H566" s="19"/>
      <c r="I566" s="19"/>
      <c r="J566" s="19"/>
      <c r="K566" s="19"/>
      <c r="L566" s="19"/>
      <c r="M566" s="19"/>
      <c r="N566" s="19"/>
      <c r="O566" s="19"/>
      <c r="P566" s="19"/>
      <c r="Q566" s="19"/>
      <c r="R566" s="19"/>
      <c r="S566" s="19"/>
      <c r="T566" s="19"/>
      <c r="U566" s="19">
        <v>38</v>
      </c>
      <c r="V566" s="19"/>
      <c r="W566" s="19"/>
      <c r="X566" s="19"/>
      <c r="Y566" s="19"/>
      <c r="Z566" t="str">
        <f>IF(Tabela1[[#This Row],[1]]&lt;&gt;"",IF(ISNUMBER(FIND(",",Tabela1[[#This Row],[1]])),LEN(Tabela1[[#This Row],[1]])-LEN(SUBSTITUTE(Tabela1[[#This Row],[1]],",",""))+1,1),"")</f>
        <v/>
      </c>
      <c r="AA566" t="str">
        <f>IF(Tabela1[[#This Row],[2]]&lt;&gt;"",IF(ISNUMBER(FIND(",",Tabela1[[#This Row],[2]])),LEN(Tabela1[[#This Row],[2]])-LEN(SUBSTITUTE(Tabela1[[#This Row],[2]],",",""))+1,1),"")</f>
        <v/>
      </c>
      <c r="AB566" t="str">
        <f>IF(Tabela1[[#This Row],[3]]&lt;&gt;"",IF(ISNUMBER(FIND(",",Tabela1[[#This Row],[3]])),LEN(Tabela1[[#This Row],[3]])-LEN(SUBSTITUTE(Tabela1[[#This Row],[3]],",",""))+1,1),"")</f>
        <v/>
      </c>
      <c r="AC566" t="str">
        <f>IF(Tabela1[[#This Row],[4]]&lt;&gt;"",IF(ISNUMBER(FIND(",",Tabela1[[#This Row],[4]])),LEN(Tabela1[[#This Row],[4]])-LEN(SUBSTITUTE(Tabela1[[#This Row],[4]],",",""))+1,1),"")</f>
        <v/>
      </c>
      <c r="AD566" t="str">
        <f>IF(Tabela1[[#This Row],[5]]&lt;&gt;"",IF(ISNUMBER(FIND(",",Tabela1[[#This Row],[5]])),LEN(Tabela1[[#This Row],[5]])-LEN(SUBSTITUTE(Tabela1[[#This Row],[5]],",",""))+1,1),"")</f>
        <v/>
      </c>
      <c r="AE566" t="str">
        <f>IF(Tabela1[[#This Row],[6]]&lt;&gt;"",IF(ISNUMBER(FIND(",",Tabela1[[#This Row],[6]])),LEN(Tabela1[[#This Row],[6]])-LEN(SUBSTITUTE(Tabela1[[#This Row],[6]],",",""))+1,1),"")</f>
        <v/>
      </c>
      <c r="AF566" t="str">
        <f>IF(Tabela1[[#This Row],[7]]&lt;&gt;"",IF(ISNUMBER(FIND(",",Tabela1[[#This Row],[7]])),LEN(Tabela1[[#This Row],[7]])-LEN(SUBSTITUTE(Tabela1[[#This Row],[7]],",",""))+1,1),"")</f>
        <v/>
      </c>
      <c r="AG566" t="str">
        <f>IF(Tabela1[[#This Row],[8]]&lt;&gt;"",IF(ISNUMBER(FIND(",",Tabela1[[#This Row],[8]])),LEN(Tabela1[[#This Row],[8]])-LEN(SUBSTITUTE(Tabela1[[#This Row],[8]],",",""))+1,1),"")</f>
        <v/>
      </c>
      <c r="AH566" t="str">
        <f>IF(Tabela1[[#This Row],[9]]&lt;&gt;"",IF(ISNUMBER(FIND(",",Tabela1[[#This Row],[9]])),LEN(Tabela1[[#This Row],[9]])-LEN(SUBSTITUTE(Tabela1[[#This Row],[9]],",",""))+1,1),"")</f>
        <v/>
      </c>
      <c r="AI566" t="str">
        <f>IF(Tabela1[[#This Row],[10]]&lt;&gt;"",IF(ISNUMBER(FIND(",",Tabela1[[#This Row],[10]])),LEN(Tabela1[[#This Row],[10]])-LEN(SUBSTITUTE(Tabela1[[#This Row],[10]],",",""))+1,1),"")</f>
        <v/>
      </c>
      <c r="AJ566" t="str">
        <f>IF(Tabela1[[#This Row],[11]]&lt;&gt;"",IF(ISNUMBER(FIND(",",Tabela1[[#This Row],[11]])),LEN(Tabela1[[#This Row],[11]])-LEN(SUBSTITUTE(Tabela1[[#This Row],[11]],",",""))+1,1),"")</f>
        <v/>
      </c>
      <c r="AK566" t="str">
        <f>IF(Tabela1[[#This Row],[12]]&lt;&gt;"",IF(ISNUMBER(FIND(",",Tabela1[[#This Row],[12]])),LEN(Tabela1[[#This Row],[12]])-LEN(SUBSTITUTE(Tabela1[[#This Row],[12]],",",""))+1,1),"")</f>
        <v/>
      </c>
      <c r="AL566" t="str">
        <f>IF(Tabela1[[#This Row],[13]]&lt;&gt;"",IF(ISNUMBER(FIND(",",Tabela1[[#This Row],[13]])),LEN(Tabela1[[#This Row],[13]])-LEN(SUBSTITUTE(Tabela1[[#This Row],[13]],",",""))+1,1),"")</f>
        <v/>
      </c>
      <c r="AM566" t="str">
        <f>IF(Tabela1[[#This Row],[14]]&lt;&gt;"",IF(ISNUMBER(FIND(",",Tabela1[[#This Row],[14]])),LEN(Tabela1[[#This Row],[14]])-LEN(SUBSTITUTE(Tabela1[[#This Row],[14]],",",""))+1,1),"")</f>
        <v/>
      </c>
      <c r="AN566" t="str">
        <f>IF(Tabela1[[#This Row],[15]]&lt;&gt;"",IF(ISNUMBER(FIND(",",Tabela1[[#This Row],[15]])),LEN(Tabela1[[#This Row],[15]])-LEN(SUBSTITUTE(Tabela1[[#This Row],[15]],",",""))+1,1),"")</f>
        <v/>
      </c>
      <c r="AO566">
        <f>IF(Tabela1[[#This Row],[16]]&lt;&gt;"",IF(ISNUMBER(FIND(",",Tabela1[[#This Row],[16]])),LEN(Tabela1[[#This Row],[16]])-LEN(SUBSTITUTE(Tabela1[[#This Row],[16]],",",""))+1,1),"")</f>
        <v>1</v>
      </c>
      <c r="AP566" t="str">
        <f>IF(Tabela1[[#This Row],[17]]&lt;&gt;"",IF(ISNUMBER(FIND(",",Tabela1[[#This Row],[17]])),LEN(Tabela1[[#This Row],[17]])-LEN(SUBSTITUTE(Tabela1[[#This Row],[17]],",",""))+1,1),"")</f>
        <v/>
      </c>
      <c r="AQ566" t="str">
        <f>IF(Tabela1[[#This Row],[18]]&lt;&gt;"",IF(ISNUMBER(FIND(",",Tabela1[[#This Row],[18]])),LEN(Tabela1[[#This Row],[18]])-LEN(SUBSTITUTE(Tabela1[[#This Row],[18]],",",""))+1,1),"")</f>
        <v/>
      </c>
      <c r="AR566" s="13" t="str">
        <f>IF(Tabela1[[#This Row],[19_LENGTH]]&lt;&gt;"",IF(ISNUMBER(FIND(",",Tabela1[[#This Row],[19_LENGTH]])),LEN(Tabela1[[#This Row],[19_LENGTH]])-LEN(SUBSTITUTE(Tabela1[[#This Row],[19_LENGTH]],",",""))+1,1),"")</f>
        <v/>
      </c>
      <c r="AS566" s="21">
        <f>SUM(Tabela1[[#This Row],[1_]:[19_]])</f>
        <v>1</v>
      </c>
    </row>
    <row r="567" spans="1:45" x14ac:dyDescent="0.25">
      <c r="A567" s="27" t="s">
        <v>1328</v>
      </c>
      <c r="B567" s="19" t="s">
        <v>608</v>
      </c>
      <c r="C567" s="19">
        <v>90</v>
      </c>
      <c r="D567" s="19" t="s">
        <v>1293</v>
      </c>
      <c r="E567" s="20">
        <v>43543</v>
      </c>
      <c r="F567" s="19"/>
      <c r="G567" s="19"/>
      <c r="H567" s="19"/>
      <c r="I567" s="19"/>
      <c r="J567" s="19"/>
      <c r="K567" s="19"/>
      <c r="L567" s="19"/>
      <c r="M567" s="19"/>
      <c r="N567" s="19"/>
      <c r="O567" s="19"/>
      <c r="P567" s="19"/>
      <c r="Q567" s="19"/>
      <c r="R567" s="19"/>
      <c r="S567" s="19"/>
      <c r="T567" s="19"/>
      <c r="U567" s="19">
        <v>85</v>
      </c>
      <c r="V567" s="19"/>
      <c r="W567" s="19"/>
      <c r="X567" s="19"/>
      <c r="Y567" s="19"/>
      <c r="Z567" t="str">
        <f>IF(Tabela1[[#This Row],[1]]&lt;&gt;"",IF(ISNUMBER(FIND(",",Tabela1[[#This Row],[1]])),LEN(Tabela1[[#This Row],[1]])-LEN(SUBSTITUTE(Tabela1[[#This Row],[1]],",",""))+1,1),"")</f>
        <v/>
      </c>
      <c r="AA567" t="str">
        <f>IF(Tabela1[[#This Row],[2]]&lt;&gt;"",IF(ISNUMBER(FIND(",",Tabela1[[#This Row],[2]])),LEN(Tabela1[[#This Row],[2]])-LEN(SUBSTITUTE(Tabela1[[#This Row],[2]],",",""))+1,1),"")</f>
        <v/>
      </c>
      <c r="AB567" t="str">
        <f>IF(Tabela1[[#This Row],[3]]&lt;&gt;"",IF(ISNUMBER(FIND(",",Tabela1[[#This Row],[3]])),LEN(Tabela1[[#This Row],[3]])-LEN(SUBSTITUTE(Tabela1[[#This Row],[3]],",",""))+1,1),"")</f>
        <v/>
      </c>
      <c r="AC567" t="str">
        <f>IF(Tabela1[[#This Row],[4]]&lt;&gt;"",IF(ISNUMBER(FIND(",",Tabela1[[#This Row],[4]])),LEN(Tabela1[[#This Row],[4]])-LEN(SUBSTITUTE(Tabela1[[#This Row],[4]],",",""))+1,1),"")</f>
        <v/>
      </c>
      <c r="AD567" t="str">
        <f>IF(Tabela1[[#This Row],[5]]&lt;&gt;"",IF(ISNUMBER(FIND(",",Tabela1[[#This Row],[5]])),LEN(Tabela1[[#This Row],[5]])-LEN(SUBSTITUTE(Tabela1[[#This Row],[5]],",",""))+1,1),"")</f>
        <v/>
      </c>
      <c r="AE567" t="str">
        <f>IF(Tabela1[[#This Row],[6]]&lt;&gt;"",IF(ISNUMBER(FIND(",",Tabela1[[#This Row],[6]])),LEN(Tabela1[[#This Row],[6]])-LEN(SUBSTITUTE(Tabela1[[#This Row],[6]],",",""))+1,1),"")</f>
        <v/>
      </c>
      <c r="AF567" t="str">
        <f>IF(Tabela1[[#This Row],[7]]&lt;&gt;"",IF(ISNUMBER(FIND(",",Tabela1[[#This Row],[7]])),LEN(Tabela1[[#This Row],[7]])-LEN(SUBSTITUTE(Tabela1[[#This Row],[7]],",",""))+1,1),"")</f>
        <v/>
      </c>
      <c r="AG567" t="str">
        <f>IF(Tabela1[[#This Row],[8]]&lt;&gt;"",IF(ISNUMBER(FIND(",",Tabela1[[#This Row],[8]])),LEN(Tabela1[[#This Row],[8]])-LEN(SUBSTITUTE(Tabela1[[#This Row],[8]],",",""))+1,1),"")</f>
        <v/>
      </c>
      <c r="AH567" t="str">
        <f>IF(Tabela1[[#This Row],[9]]&lt;&gt;"",IF(ISNUMBER(FIND(",",Tabela1[[#This Row],[9]])),LEN(Tabela1[[#This Row],[9]])-LEN(SUBSTITUTE(Tabela1[[#This Row],[9]],",",""))+1,1),"")</f>
        <v/>
      </c>
      <c r="AI567" t="str">
        <f>IF(Tabela1[[#This Row],[10]]&lt;&gt;"",IF(ISNUMBER(FIND(",",Tabela1[[#This Row],[10]])),LEN(Tabela1[[#This Row],[10]])-LEN(SUBSTITUTE(Tabela1[[#This Row],[10]],",",""))+1,1),"")</f>
        <v/>
      </c>
      <c r="AJ567" t="str">
        <f>IF(Tabela1[[#This Row],[11]]&lt;&gt;"",IF(ISNUMBER(FIND(",",Tabela1[[#This Row],[11]])),LEN(Tabela1[[#This Row],[11]])-LEN(SUBSTITUTE(Tabela1[[#This Row],[11]],",",""))+1,1),"")</f>
        <v/>
      </c>
      <c r="AK567" t="str">
        <f>IF(Tabela1[[#This Row],[12]]&lt;&gt;"",IF(ISNUMBER(FIND(",",Tabela1[[#This Row],[12]])),LEN(Tabela1[[#This Row],[12]])-LEN(SUBSTITUTE(Tabela1[[#This Row],[12]],",",""))+1,1),"")</f>
        <v/>
      </c>
      <c r="AL567" t="str">
        <f>IF(Tabela1[[#This Row],[13]]&lt;&gt;"",IF(ISNUMBER(FIND(",",Tabela1[[#This Row],[13]])),LEN(Tabela1[[#This Row],[13]])-LEN(SUBSTITUTE(Tabela1[[#This Row],[13]],",",""))+1,1),"")</f>
        <v/>
      </c>
      <c r="AM567" t="str">
        <f>IF(Tabela1[[#This Row],[14]]&lt;&gt;"",IF(ISNUMBER(FIND(",",Tabela1[[#This Row],[14]])),LEN(Tabela1[[#This Row],[14]])-LEN(SUBSTITUTE(Tabela1[[#This Row],[14]],",",""))+1,1),"")</f>
        <v/>
      </c>
      <c r="AN567" t="str">
        <f>IF(Tabela1[[#This Row],[15]]&lt;&gt;"",IF(ISNUMBER(FIND(",",Tabela1[[#This Row],[15]])),LEN(Tabela1[[#This Row],[15]])-LEN(SUBSTITUTE(Tabela1[[#This Row],[15]],",",""))+1,1),"")</f>
        <v/>
      </c>
      <c r="AO567">
        <f>IF(Tabela1[[#This Row],[16]]&lt;&gt;"",IF(ISNUMBER(FIND(",",Tabela1[[#This Row],[16]])),LEN(Tabela1[[#This Row],[16]])-LEN(SUBSTITUTE(Tabela1[[#This Row],[16]],",",""))+1,1),"")</f>
        <v>1</v>
      </c>
      <c r="AP567" t="str">
        <f>IF(Tabela1[[#This Row],[17]]&lt;&gt;"",IF(ISNUMBER(FIND(",",Tabela1[[#This Row],[17]])),LEN(Tabela1[[#This Row],[17]])-LEN(SUBSTITUTE(Tabela1[[#This Row],[17]],",",""))+1,1),"")</f>
        <v/>
      </c>
      <c r="AQ567" t="str">
        <f>IF(Tabela1[[#This Row],[18]]&lt;&gt;"",IF(ISNUMBER(FIND(",",Tabela1[[#This Row],[18]])),LEN(Tabela1[[#This Row],[18]])-LEN(SUBSTITUTE(Tabela1[[#This Row],[18]],",",""))+1,1),"")</f>
        <v/>
      </c>
      <c r="AR567" s="13" t="str">
        <f>IF(Tabela1[[#This Row],[19_LENGTH]]&lt;&gt;"",IF(ISNUMBER(FIND(",",Tabela1[[#This Row],[19_LENGTH]])),LEN(Tabela1[[#This Row],[19_LENGTH]])-LEN(SUBSTITUTE(Tabela1[[#This Row],[19_LENGTH]],",",""))+1,1),"")</f>
        <v/>
      </c>
      <c r="AS567" s="21">
        <f>SUM(Tabela1[[#This Row],[1_]:[19_]])</f>
        <v>1</v>
      </c>
    </row>
    <row r="568" spans="1:45" x14ac:dyDescent="0.25">
      <c r="A568" s="27" t="s">
        <v>1328</v>
      </c>
      <c r="B568" s="19" t="s">
        <v>609</v>
      </c>
      <c r="C568" s="19">
        <v>102</v>
      </c>
      <c r="D568" s="19" t="s">
        <v>1293</v>
      </c>
      <c r="E568" s="20">
        <v>43543</v>
      </c>
      <c r="F568" s="19"/>
      <c r="G568" s="19"/>
      <c r="H568" s="19"/>
      <c r="I568" s="19"/>
      <c r="J568" s="19"/>
      <c r="K568" s="19"/>
      <c r="L568" s="19"/>
      <c r="M568" s="19">
        <v>27</v>
      </c>
      <c r="N568" s="19"/>
      <c r="O568" s="19"/>
      <c r="P568" s="19"/>
      <c r="Q568" s="19"/>
      <c r="R568" s="19"/>
      <c r="S568" s="19"/>
      <c r="T568" s="19"/>
      <c r="U568" s="19"/>
      <c r="V568" s="19"/>
      <c r="W568" s="19" t="s">
        <v>220</v>
      </c>
      <c r="X568" s="19"/>
      <c r="Y568" s="19"/>
      <c r="Z568" t="str">
        <f>IF(Tabela1[[#This Row],[1]]&lt;&gt;"",IF(ISNUMBER(FIND(",",Tabela1[[#This Row],[1]])),LEN(Tabela1[[#This Row],[1]])-LEN(SUBSTITUTE(Tabela1[[#This Row],[1]],",",""))+1,1),"")</f>
        <v/>
      </c>
      <c r="AA568" t="str">
        <f>IF(Tabela1[[#This Row],[2]]&lt;&gt;"",IF(ISNUMBER(FIND(",",Tabela1[[#This Row],[2]])),LEN(Tabela1[[#This Row],[2]])-LEN(SUBSTITUTE(Tabela1[[#This Row],[2]],",",""))+1,1),"")</f>
        <v/>
      </c>
      <c r="AB568" t="str">
        <f>IF(Tabela1[[#This Row],[3]]&lt;&gt;"",IF(ISNUMBER(FIND(",",Tabela1[[#This Row],[3]])),LEN(Tabela1[[#This Row],[3]])-LEN(SUBSTITUTE(Tabela1[[#This Row],[3]],",",""))+1,1),"")</f>
        <v/>
      </c>
      <c r="AC568" t="str">
        <f>IF(Tabela1[[#This Row],[4]]&lt;&gt;"",IF(ISNUMBER(FIND(",",Tabela1[[#This Row],[4]])),LEN(Tabela1[[#This Row],[4]])-LEN(SUBSTITUTE(Tabela1[[#This Row],[4]],",",""))+1,1),"")</f>
        <v/>
      </c>
      <c r="AD568" t="str">
        <f>IF(Tabela1[[#This Row],[5]]&lt;&gt;"",IF(ISNUMBER(FIND(",",Tabela1[[#This Row],[5]])),LEN(Tabela1[[#This Row],[5]])-LEN(SUBSTITUTE(Tabela1[[#This Row],[5]],",",""))+1,1),"")</f>
        <v/>
      </c>
      <c r="AE568" t="str">
        <f>IF(Tabela1[[#This Row],[6]]&lt;&gt;"",IF(ISNUMBER(FIND(",",Tabela1[[#This Row],[6]])),LEN(Tabela1[[#This Row],[6]])-LEN(SUBSTITUTE(Tabela1[[#This Row],[6]],",",""))+1,1),"")</f>
        <v/>
      </c>
      <c r="AF568" t="str">
        <f>IF(Tabela1[[#This Row],[7]]&lt;&gt;"",IF(ISNUMBER(FIND(",",Tabela1[[#This Row],[7]])),LEN(Tabela1[[#This Row],[7]])-LEN(SUBSTITUTE(Tabela1[[#This Row],[7]],",",""))+1,1),"")</f>
        <v/>
      </c>
      <c r="AG568">
        <f>IF(Tabela1[[#This Row],[8]]&lt;&gt;"",IF(ISNUMBER(FIND(",",Tabela1[[#This Row],[8]])),LEN(Tabela1[[#This Row],[8]])-LEN(SUBSTITUTE(Tabela1[[#This Row],[8]],",",""))+1,1),"")</f>
        <v>1</v>
      </c>
      <c r="AH568" t="str">
        <f>IF(Tabela1[[#This Row],[9]]&lt;&gt;"",IF(ISNUMBER(FIND(",",Tabela1[[#This Row],[9]])),LEN(Tabela1[[#This Row],[9]])-LEN(SUBSTITUTE(Tabela1[[#This Row],[9]],",",""))+1,1),"")</f>
        <v/>
      </c>
      <c r="AI568" t="str">
        <f>IF(Tabela1[[#This Row],[10]]&lt;&gt;"",IF(ISNUMBER(FIND(",",Tabela1[[#This Row],[10]])),LEN(Tabela1[[#This Row],[10]])-LEN(SUBSTITUTE(Tabela1[[#This Row],[10]],",",""))+1,1),"")</f>
        <v/>
      </c>
      <c r="AJ568" t="str">
        <f>IF(Tabela1[[#This Row],[11]]&lt;&gt;"",IF(ISNUMBER(FIND(",",Tabela1[[#This Row],[11]])),LEN(Tabela1[[#This Row],[11]])-LEN(SUBSTITUTE(Tabela1[[#This Row],[11]],",",""))+1,1),"")</f>
        <v/>
      </c>
      <c r="AK568" t="str">
        <f>IF(Tabela1[[#This Row],[12]]&lt;&gt;"",IF(ISNUMBER(FIND(",",Tabela1[[#This Row],[12]])),LEN(Tabela1[[#This Row],[12]])-LEN(SUBSTITUTE(Tabela1[[#This Row],[12]],",",""))+1,1),"")</f>
        <v/>
      </c>
      <c r="AL568" t="str">
        <f>IF(Tabela1[[#This Row],[13]]&lt;&gt;"",IF(ISNUMBER(FIND(",",Tabela1[[#This Row],[13]])),LEN(Tabela1[[#This Row],[13]])-LEN(SUBSTITUTE(Tabela1[[#This Row],[13]],",",""))+1,1),"")</f>
        <v/>
      </c>
      <c r="AM568" t="str">
        <f>IF(Tabela1[[#This Row],[14]]&lt;&gt;"",IF(ISNUMBER(FIND(",",Tabela1[[#This Row],[14]])),LEN(Tabela1[[#This Row],[14]])-LEN(SUBSTITUTE(Tabela1[[#This Row],[14]],",",""))+1,1),"")</f>
        <v/>
      </c>
      <c r="AN568" t="str">
        <f>IF(Tabela1[[#This Row],[15]]&lt;&gt;"",IF(ISNUMBER(FIND(",",Tabela1[[#This Row],[15]])),LEN(Tabela1[[#This Row],[15]])-LEN(SUBSTITUTE(Tabela1[[#This Row],[15]],",",""))+1,1),"")</f>
        <v/>
      </c>
      <c r="AO568" t="str">
        <f>IF(Tabela1[[#This Row],[16]]&lt;&gt;"",IF(ISNUMBER(FIND(",",Tabela1[[#This Row],[16]])),LEN(Tabela1[[#This Row],[16]])-LEN(SUBSTITUTE(Tabela1[[#This Row],[16]],",",""))+1,1),"")</f>
        <v/>
      </c>
      <c r="AP568" t="str">
        <f>IF(Tabela1[[#This Row],[17]]&lt;&gt;"",IF(ISNUMBER(FIND(",",Tabela1[[#This Row],[17]])),LEN(Tabela1[[#This Row],[17]])-LEN(SUBSTITUTE(Tabela1[[#This Row],[17]],",",""))+1,1),"")</f>
        <v/>
      </c>
      <c r="AQ568">
        <f>IF(Tabela1[[#This Row],[18]]&lt;&gt;"",IF(ISNUMBER(FIND(",",Tabela1[[#This Row],[18]])),LEN(Tabela1[[#This Row],[18]])-LEN(SUBSTITUTE(Tabela1[[#This Row],[18]],",",""))+1,1),"")</f>
        <v>2</v>
      </c>
      <c r="AR568" s="13" t="str">
        <f>IF(Tabela1[[#This Row],[19_LENGTH]]&lt;&gt;"",IF(ISNUMBER(FIND(",",Tabela1[[#This Row],[19_LENGTH]])),LEN(Tabela1[[#This Row],[19_LENGTH]])-LEN(SUBSTITUTE(Tabela1[[#This Row],[19_LENGTH]],",",""))+1,1),"")</f>
        <v/>
      </c>
      <c r="AS568" s="21">
        <f>SUM(Tabela1[[#This Row],[1_]:[19_]])</f>
        <v>3</v>
      </c>
    </row>
    <row r="569" spans="1:45" x14ac:dyDescent="0.25">
      <c r="A569" s="27" t="s">
        <v>1328</v>
      </c>
      <c r="B569" s="19" t="s">
        <v>610</v>
      </c>
      <c r="C569" s="19">
        <v>102</v>
      </c>
      <c r="D569" s="19" t="s">
        <v>1293</v>
      </c>
      <c r="E569" s="20">
        <v>43543</v>
      </c>
      <c r="F569" s="19"/>
      <c r="G569" s="19"/>
      <c r="H569" s="19"/>
      <c r="I569" s="19"/>
      <c r="J569" s="19" t="s">
        <v>221</v>
      </c>
      <c r="K569" s="19"/>
      <c r="L569" s="19"/>
      <c r="M569" s="19"/>
      <c r="N569" s="19"/>
      <c r="O569" s="19"/>
      <c r="P569" s="19"/>
      <c r="Q569" s="19"/>
      <c r="R569" s="19"/>
      <c r="S569" s="19"/>
      <c r="T569" s="19"/>
      <c r="U569" s="19"/>
      <c r="V569" s="19"/>
      <c r="W569" s="19"/>
      <c r="X569" s="19"/>
      <c r="Y569" s="19"/>
      <c r="Z569" t="str">
        <f>IF(Tabela1[[#This Row],[1]]&lt;&gt;"",IF(ISNUMBER(FIND(",",Tabela1[[#This Row],[1]])),LEN(Tabela1[[#This Row],[1]])-LEN(SUBSTITUTE(Tabela1[[#This Row],[1]],",",""))+1,1),"")</f>
        <v/>
      </c>
      <c r="AA569" t="str">
        <f>IF(Tabela1[[#This Row],[2]]&lt;&gt;"",IF(ISNUMBER(FIND(",",Tabela1[[#This Row],[2]])),LEN(Tabela1[[#This Row],[2]])-LEN(SUBSTITUTE(Tabela1[[#This Row],[2]],",",""))+1,1),"")</f>
        <v/>
      </c>
      <c r="AB569" t="str">
        <f>IF(Tabela1[[#This Row],[3]]&lt;&gt;"",IF(ISNUMBER(FIND(",",Tabela1[[#This Row],[3]])),LEN(Tabela1[[#This Row],[3]])-LEN(SUBSTITUTE(Tabela1[[#This Row],[3]],",",""))+1,1),"")</f>
        <v/>
      </c>
      <c r="AC569" t="str">
        <f>IF(Tabela1[[#This Row],[4]]&lt;&gt;"",IF(ISNUMBER(FIND(",",Tabela1[[#This Row],[4]])),LEN(Tabela1[[#This Row],[4]])-LEN(SUBSTITUTE(Tabela1[[#This Row],[4]],",",""))+1,1),"")</f>
        <v/>
      </c>
      <c r="AD569">
        <f>IF(Tabela1[[#This Row],[5]]&lt;&gt;"",IF(ISNUMBER(FIND(",",Tabela1[[#This Row],[5]])),LEN(Tabela1[[#This Row],[5]])-LEN(SUBSTITUTE(Tabela1[[#This Row],[5]],",",""))+1,1),"")</f>
        <v>1</v>
      </c>
      <c r="AE569" t="str">
        <f>IF(Tabela1[[#This Row],[6]]&lt;&gt;"",IF(ISNUMBER(FIND(",",Tabela1[[#This Row],[6]])),LEN(Tabela1[[#This Row],[6]])-LEN(SUBSTITUTE(Tabela1[[#This Row],[6]],",",""))+1,1),"")</f>
        <v/>
      </c>
      <c r="AF569" t="str">
        <f>IF(Tabela1[[#This Row],[7]]&lt;&gt;"",IF(ISNUMBER(FIND(",",Tabela1[[#This Row],[7]])),LEN(Tabela1[[#This Row],[7]])-LEN(SUBSTITUTE(Tabela1[[#This Row],[7]],",",""))+1,1),"")</f>
        <v/>
      </c>
      <c r="AG569" t="str">
        <f>IF(Tabela1[[#This Row],[8]]&lt;&gt;"",IF(ISNUMBER(FIND(",",Tabela1[[#This Row],[8]])),LEN(Tabela1[[#This Row],[8]])-LEN(SUBSTITUTE(Tabela1[[#This Row],[8]],",",""))+1,1),"")</f>
        <v/>
      </c>
      <c r="AH569" t="str">
        <f>IF(Tabela1[[#This Row],[9]]&lt;&gt;"",IF(ISNUMBER(FIND(",",Tabela1[[#This Row],[9]])),LEN(Tabela1[[#This Row],[9]])-LEN(SUBSTITUTE(Tabela1[[#This Row],[9]],",",""))+1,1),"")</f>
        <v/>
      </c>
      <c r="AI569" t="str">
        <f>IF(Tabela1[[#This Row],[10]]&lt;&gt;"",IF(ISNUMBER(FIND(",",Tabela1[[#This Row],[10]])),LEN(Tabela1[[#This Row],[10]])-LEN(SUBSTITUTE(Tabela1[[#This Row],[10]],",",""))+1,1),"")</f>
        <v/>
      </c>
      <c r="AJ569" t="str">
        <f>IF(Tabela1[[#This Row],[11]]&lt;&gt;"",IF(ISNUMBER(FIND(",",Tabela1[[#This Row],[11]])),LEN(Tabela1[[#This Row],[11]])-LEN(SUBSTITUTE(Tabela1[[#This Row],[11]],",",""))+1,1),"")</f>
        <v/>
      </c>
      <c r="AK569" t="str">
        <f>IF(Tabela1[[#This Row],[12]]&lt;&gt;"",IF(ISNUMBER(FIND(",",Tabela1[[#This Row],[12]])),LEN(Tabela1[[#This Row],[12]])-LEN(SUBSTITUTE(Tabela1[[#This Row],[12]],",",""))+1,1),"")</f>
        <v/>
      </c>
      <c r="AL569" t="str">
        <f>IF(Tabela1[[#This Row],[13]]&lt;&gt;"",IF(ISNUMBER(FIND(",",Tabela1[[#This Row],[13]])),LEN(Tabela1[[#This Row],[13]])-LEN(SUBSTITUTE(Tabela1[[#This Row],[13]],",",""))+1,1),"")</f>
        <v/>
      </c>
      <c r="AM569" t="str">
        <f>IF(Tabela1[[#This Row],[14]]&lt;&gt;"",IF(ISNUMBER(FIND(",",Tabela1[[#This Row],[14]])),LEN(Tabela1[[#This Row],[14]])-LEN(SUBSTITUTE(Tabela1[[#This Row],[14]],",",""))+1,1),"")</f>
        <v/>
      </c>
      <c r="AN569" t="str">
        <f>IF(Tabela1[[#This Row],[15]]&lt;&gt;"",IF(ISNUMBER(FIND(",",Tabela1[[#This Row],[15]])),LEN(Tabela1[[#This Row],[15]])-LEN(SUBSTITUTE(Tabela1[[#This Row],[15]],",",""))+1,1),"")</f>
        <v/>
      </c>
      <c r="AO569" t="str">
        <f>IF(Tabela1[[#This Row],[16]]&lt;&gt;"",IF(ISNUMBER(FIND(",",Tabela1[[#This Row],[16]])),LEN(Tabela1[[#This Row],[16]])-LEN(SUBSTITUTE(Tabela1[[#This Row],[16]],",",""))+1,1),"")</f>
        <v/>
      </c>
      <c r="AP569" t="str">
        <f>IF(Tabela1[[#This Row],[17]]&lt;&gt;"",IF(ISNUMBER(FIND(",",Tabela1[[#This Row],[17]])),LEN(Tabela1[[#This Row],[17]])-LEN(SUBSTITUTE(Tabela1[[#This Row],[17]],",",""))+1,1),"")</f>
        <v/>
      </c>
      <c r="AQ569" t="str">
        <f>IF(Tabela1[[#This Row],[18]]&lt;&gt;"",IF(ISNUMBER(FIND(",",Tabela1[[#This Row],[18]])),LEN(Tabela1[[#This Row],[18]])-LEN(SUBSTITUTE(Tabela1[[#This Row],[18]],",",""))+1,1),"")</f>
        <v/>
      </c>
      <c r="AR569" s="13" t="str">
        <f>IF(Tabela1[[#This Row],[19_LENGTH]]&lt;&gt;"",IF(ISNUMBER(FIND(",",Tabela1[[#This Row],[19_LENGTH]])),LEN(Tabela1[[#This Row],[19_LENGTH]])-LEN(SUBSTITUTE(Tabela1[[#This Row],[19_LENGTH]],",",""))+1,1),"")</f>
        <v/>
      </c>
      <c r="AS569" s="21">
        <f>SUM(Tabela1[[#This Row],[1_]:[19_]])</f>
        <v>1</v>
      </c>
    </row>
    <row r="570" spans="1:45" x14ac:dyDescent="0.25">
      <c r="A570" s="27" t="s">
        <v>1328</v>
      </c>
      <c r="B570" s="19" t="s">
        <v>935</v>
      </c>
      <c r="C570" s="19">
        <v>102</v>
      </c>
      <c r="D570" s="19" t="s">
        <v>1314</v>
      </c>
      <c r="E570" s="20">
        <v>43543</v>
      </c>
      <c r="F570" s="19"/>
      <c r="G570" s="19"/>
      <c r="H570" s="19"/>
      <c r="I570" s="19"/>
      <c r="J570" s="19">
        <v>28</v>
      </c>
      <c r="K570" s="19"/>
      <c r="L570" s="19"/>
      <c r="M570" s="19"/>
      <c r="N570" s="19"/>
      <c r="O570" s="19"/>
      <c r="P570" s="19"/>
      <c r="Q570" s="19"/>
      <c r="R570" s="19"/>
      <c r="S570" s="19"/>
      <c r="T570" s="19"/>
      <c r="U570" s="19"/>
      <c r="V570" s="19"/>
      <c r="W570" s="19"/>
      <c r="X570" s="19"/>
      <c r="Y570" s="19"/>
      <c r="Z570" t="str">
        <f>IF(Tabela1[[#This Row],[1]]&lt;&gt;"",IF(ISNUMBER(FIND(",",Tabela1[[#This Row],[1]])),LEN(Tabela1[[#This Row],[1]])-LEN(SUBSTITUTE(Tabela1[[#This Row],[1]],",",""))+1,1),"")</f>
        <v/>
      </c>
      <c r="AA570" t="str">
        <f>IF(Tabela1[[#This Row],[2]]&lt;&gt;"",IF(ISNUMBER(FIND(",",Tabela1[[#This Row],[2]])),LEN(Tabela1[[#This Row],[2]])-LEN(SUBSTITUTE(Tabela1[[#This Row],[2]],",",""))+1,1),"")</f>
        <v/>
      </c>
      <c r="AB570" t="str">
        <f>IF(Tabela1[[#This Row],[3]]&lt;&gt;"",IF(ISNUMBER(FIND(",",Tabela1[[#This Row],[3]])),LEN(Tabela1[[#This Row],[3]])-LEN(SUBSTITUTE(Tabela1[[#This Row],[3]],",",""))+1,1),"")</f>
        <v/>
      </c>
      <c r="AC570" t="str">
        <f>IF(Tabela1[[#This Row],[4]]&lt;&gt;"",IF(ISNUMBER(FIND(",",Tabela1[[#This Row],[4]])),LEN(Tabela1[[#This Row],[4]])-LEN(SUBSTITUTE(Tabela1[[#This Row],[4]],",",""))+1,1),"")</f>
        <v/>
      </c>
      <c r="AD570">
        <f>IF(Tabela1[[#This Row],[5]]&lt;&gt;"",IF(ISNUMBER(FIND(",",Tabela1[[#This Row],[5]])),LEN(Tabela1[[#This Row],[5]])-LEN(SUBSTITUTE(Tabela1[[#This Row],[5]],",",""))+1,1),"")</f>
        <v>1</v>
      </c>
      <c r="AE570" t="str">
        <f>IF(Tabela1[[#This Row],[6]]&lt;&gt;"",IF(ISNUMBER(FIND(",",Tabela1[[#This Row],[6]])),LEN(Tabela1[[#This Row],[6]])-LEN(SUBSTITUTE(Tabela1[[#This Row],[6]],",",""))+1,1),"")</f>
        <v/>
      </c>
      <c r="AF570" t="str">
        <f>IF(Tabela1[[#This Row],[7]]&lt;&gt;"",IF(ISNUMBER(FIND(",",Tabela1[[#This Row],[7]])),LEN(Tabela1[[#This Row],[7]])-LEN(SUBSTITUTE(Tabela1[[#This Row],[7]],",",""))+1,1),"")</f>
        <v/>
      </c>
      <c r="AG570" t="str">
        <f>IF(Tabela1[[#This Row],[8]]&lt;&gt;"",IF(ISNUMBER(FIND(",",Tabela1[[#This Row],[8]])),LEN(Tabela1[[#This Row],[8]])-LEN(SUBSTITUTE(Tabela1[[#This Row],[8]],",",""))+1,1),"")</f>
        <v/>
      </c>
      <c r="AH570" t="str">
        <f>IF(Tabela1[[#This Row],[9]]&lt;&gt;"",IF(ISNUMBER(FIND(",",Tabela1[[#This Row],[9]])),LEN(Tabela1[[#This Row],[9]])-LEN(SUBSTITUTE(Tabela1[[#This Row],[9]],",",""))+1,1),"")</f>
        <v/>
      </c>
      <c r="AI570" t="str">
        <f>IF(Tabela1[[#This Row],[10]]&lt;&gt;"",IF(ISNUMBER(FIND(",",Tabela1[[#This Row],[10]])),LEN(Tabela1[[#This Row],[10]])-LEN(SUBSTITUTE(Tabela1[[#This Row],[10]],",",""))+1,1),"")</f>
        <v/>
      </c>
      <c r="AJ570" t="str">
        <f>IF(Tabela1[[#This Row],[11]]&lt;&gt;"",IF(ISNUMBER(FIND(",",Tabela1[[#This Row],[11]])),LEN(Tabela1[[#This Row],[11]])-LEN(SUBSTITUTE(Tabela1[[#This Row],[11]],",",""))+1,1),"")</f>
        <v/>
      </c>
      <c r="AK570" t="str">
        <f>IF(Tabela1[[#This Row],[12]]&lt;&gt;"",IF(ISNUMBER(FIND(",",Tabela1[[#This Row],[12]])),LEN(Tabela1[[#This Row],[12]])-LEN(SUBSTITUTE(Tabela1[[#This Row],[12]],",",""))+1,1),"")</f>
        <v/>
      </c>
      <c r="AL570" t="str">
        <f>IF(Tabela1[[#This Row],[13]]&lt;&gt;"",IF(ISNUMBER(FIND(",",Tabela1[[#This Row],[13]])),LEN(Tabela1[[#This Row],[13]])-LEN(SUBSTITUTE(Tabela1[[#This Row],[13]],",",""))+1,1),"")</f>
        <v/>
      </c>
      <c r="AM570" t="str">
        <f>IF(Tabela1[[#This Row],[14]]&lt;&gt;"",IF(ISNUMBER(FIND(",",Tabela1[[#This Row],[14]])),LEN(Tabela1[[#This Row],[14]])-LEN(SUBSTITUTE(Tabela1[[#This Row],[14]],",",""))+1,1),"")</f>
        <v/>
      </c>
      <c r="AN570" t="str">
        <f>IF(Tabela1[[#This Row],[15]]&lt;&gt;"",IF(ISNUMBER(FIND(",",Tabela1[[#This Row],[15]])),LEN(Tabela1[[#This Row],[15]])-LEN(SUBSTITUTE(Tabela1[[#This Row],[15]],",",""))+1,1),"")</f>
        <v/>
      </c>
      <c r="AO570" t="str">
        <f>IF(Tabela1[[#This Row],[16]]&lt;&gt;"",IF(ISNUMBER(FIND(",",Tabela1[[#This Row],[16]])),LEN(Tabela1[[#This Row],[16]])-LEN(SUBSTITUTE(Tabela1[[#This Row],[16]],",",""))+1,1),"")</f>
        <v/>
      </c>
      <c r="AP570" t="str">
        <f>IF(Tabela1[[#This Row],[17]]&lt;&gt;"",IF(ISNUMBER(FIND(",",Tabela1[[#This Row],[17]])),LEN(Tabela1[[#This Row],[17]])-LEN(SUBSTITUTE(Tabela1[[#This Row],[17]],",",""))+1,1),"")</f>
        <v/>
      </c>
      <c r="AQ570" t="str">
        <f>IF(Tabela1[[#This Row],[18]]&lt;&gt;"",IF(ISNUMBER(FIND(",",Tabela1[[#This Row],[18]])),LEN(Tabela1[[#This Row],[18]])-LEN(SUBSTITUTE(Tabela1[[#This Row],[18]],",",""))+1,1),"")</f>
        <v/>
      </c>
      <c r="AR570" s="13" t="str">
        <f>IF(Tabela1[[#This Row],[19_LENGTH]]&lt;&gt;"",IF(ISNUMBER(FIND(",",Tabela1[[#This Row],[19_LENGTH]])),LEN(Tabela1[[#This Row],[19_LENGTH]])-LEN(SUBSTITUTE(Tabela1[[#This Row],[19_LENGTH]],",",""))+1,1),"")</f>
        <v/>
      </c>
      <c r="AS570" s="21">
        <f>SUM(Tabela1[[#This Row],[1_]:[19_]])</f>
        <v>1</v>
      </c>
    </row>
    <row r="571" spans="1:45" x14ac:dyDescent="0.25">
      <c r="A571" s="27" t="s">
        <v>1329</v>
      </c>
      <c r="B571" s="19" t="s">
        <v>882</v>
      </c>
      <c r="C571" s="19">
        <v>102</v>
      </c>
      <c r="D571" s="19" t="s">
        <v>1307</v>
      </c>
      <c r="E571" s="20">
        <v>43543</v>
      </c>
      <c r="F571" s="19"/>
      <c r="G571" s="19">
        <v>16</v>
      </c>
      <c r="H571" s="19"/>
      <c r="I571" s="19"/>
      <c r="J571" s="19"/>
      <c r="K571" s="19"/>
      <c r="L571" s="19"/>
      <c r="M571" s="19"/>
      <c r="N571" s="19"/>
      <c r="O571" s="19"/>
      <c r="P571" s="19">
        <v>8</v>
      </c>
      <c r="Q571" s="19"/>
      <c r="R571" s="19"/>
      <c r="S571" s="19"/>
      <c r="T571" s="19"/>
      <c r="U571" s="19">
        <v>15</v>
      </c>
      <c r="V571" s="19"/>
      <c r="W571" s="19"/>
      <c r="X571" s="19"/>
      <c r="Y571" s="19"/>
      <c r="Z571" t="str">
        <f>IF(Tabela1[[#This Row],[1]]&lt;&gt;"",IF(ISNUMBER(FIND(",",Tabela1[[#This Row],[1]])),LEN(Tabela1[[#This Row],[1]])-LEN(SUBSTITUTE(Tabela1[[#This Row],[1]],",",""))+1,1),"")</f>
        <v/>
      </c>
      <c r="AA571">
        <f>IF(Tabela1[[#This Row],[2]]&lt;&gt;"",IF(ISNUMBER(FIND(",",Tabela1[[#This Row],[2]])),LEN(Tabela1[[#This Row],[2]])-LEN(SUBSTITUTE(Tabela1[[#This Row],[2]],",",""))+1,1),"")</f>
        <v>1</v>
      </c>
      <c r="AB571" t="str">
        <f>IF(Tabela1[[#This Row],[3]]&lt;&gt;"",IF(ISNUMBER(FIND(",",Tabela1[[#This Row],[3]])),LEN(Tabela1[[#This Row],[3]])-LEN(SUBSTITUTE(Tabela1[[#This Row],[3]],",",""))+1,1),"")</f>
        <v/>
      </c>
      <c r="AC571" t="str">
        <f>IF(Tabela1[[#This Row],[4]]&lt;&gt;"",IF(ISNUMBER(FIND(",",Tabela1[[#This Row],[4]])),LEN(Tabela1[[#This Row],[4]])-LEN(SUBSTITUTE(Tabela1[[#This Row],[4]],",",""))+1,1),"")</f>
        <v/>
      </c>
      <c r="AD571" t="str">
        <f>IF(Tabela1[[#This Row],[5]]&lt;&gt;"",IF(ISNUMBER(FIND(",",Tabela1[[#This Row],[5]])),LEN(Tabela1[[#This Row],[5]])-LEN(SUBSTITUTE(Tabela1[[#This Row],[5]],",",""))+1,1),"")</f>
        <v/>
      </c>
      <c r="AE571" t="str">
        <f>IF(Tabela1[[#This Row],[6]]&lt;&gt;"",IF(ISNUMBER(FIND(",",Tabela1[[#This Row],[6]])),LEN(Tabela1[[#This Row],[6]])-LEN(SUBSTITUTE(Tabela1[[#This Row],[6]],",",""))+1,1),"")</f>
        <v/>
      </c>
      <c r="AF571" t="str">
        <f>IF(Tabela1[[#This Row],[7]]&lt;&gt;"",IF(ISNUMBER(FIND(",",Tabela1[[#This Row],[7]])),LEN(Tabela1[[#This Row],[7]])-LEN(SUBSTITUTE(Tabela1[[#This Row],[7]],",",""))+1,1),"")</f>
        <v/>
      </c>
      <c r="AG571" t="str">
        <f>IF(Tabela1[[#This Row],[8]]&lt;&gt;"",IF(ISNUMBER(FIND(",",Tabela1[[#This Row],[8]])),LEN(Tabela1[[#This Row],[8]])-LEN(SUBSTITUTE(Tabela1[[#This Row],[8]],",",""))+1,1),"")</f>
        <v/>
      </c>
      <c r="AH571" t="str">
        <f>IF(Tabela1[[#This Row],[9]]&lt;&gt;"",IF(ISNUMBER(FIND(",",Tabela1[[#This Row],[9]])),LEN(Tabela1[[#This Row],[9]])-LEN(SUBSTITUTE(Tabela1[[#This Row],[9]],",",""))+1,1),"")</f>
        <v/>
      </c>
      <c r="AI571" t="str">
        <f>IF(Tabela1[[#This Row],[10]]&lt;&gt;"",IF(ISNUMBER(FIND(",",Tabela1[[#This Row],[10]])),LEN(Tabela1[[#This Row],[10]])-LEN(SUBSTITUTE(Tabela1[[#This Row],[10]],",",""))+1,1),"")</f>
        <v/>
      </c>
      <c r="AJ571">
        <f>IF(Tabela1[[#This Row],[11]]&lt;&gt;"",IF(ISNUMBER(FIND(",",Tabela1[[#This Row],[11]])),LEN(Tabela1[[#This Row],[11]])-LEN(SUBSTITUTE(Tabela1[[#This Row],[11]],",",""))+1,1),"")</f>
        <v>1</v>
      </c>
      <c r="AK571" t="str">
        <f>IF(Tabela1[[#This Row],[12]]&lt;&gt;"",IF(ISNUMBER(FIND(",",Tabela1[[#This Row],[12]])),LEN(Tabela1[[#This Row],[12]])-LEN(SUBSTITUTE(Tabela1[[#This Row],[12]],",",""))+1,1),"")</f>
        <v/>
      </c>
      <c r="AL571" t="str">
        <f>IF(Tabela1[[#This Row],[13]]&lt;&gt;"",IF(ISNUMBER(FIND(",",Tabela1[[#This Row],[13]])),LEN(Tabela1[[#This Row],[13]])-LEN(SUBSTITUTE(Tabela1[[#This Row],[13]],",",""))+1,1),"")</f>
        <v/>
      </c>
      <c r="AM571" t="str">
        <f>IF(Tabela1[[#This Row],[14]]&lt;&gt;"",IF(ISNUMBER(FIND(",",Tabela1[[#This Row],[14]])),LEN(Tabela1[[#This Row],[14]])-LEN(SUBSTITUTE(Tabela1[[#This Row],[14]],",",""))+1,1),"")</f>
        <v/>
      </c>
      <c r="AN571" t="str">
        <f>IF(Tabela1[[#This Row],[15]]&lt;&gt;"",IF(ISNUMBER(FIND(",",Tabela1[[#This Row],[15]])),LEN(Tabela1[[#This Row],[15]])-LEN(SUBSTITUTE(Tabela1[[#This Row],[15]],",",""))+1,1),"")</f>
        <v/>
      </c>
      <c r="AO571">
        <f>IF(Tabela1[[#This Row],[16]]&lt;&gt;"",IF(ISNUMBER(FIND(",",Tabela1[[#This Row],[16]])),LEN(Tabela1[[#This Row],[16]])-LEN(SUBSTITUTE(Tabela1[[#This Row],[16]],",",""))+1,1),"")</f>
        <v>1</v>
      </c>
      <c r="AP571" t="str">
        <f>IF(Tabela1[[#This Row],[17]]&lt;&gt;"",IF(ISNUMBER(FIND(",",Tabela1[[#This Row],[17]])),LEN(Tabela1[[#This Row],[17]])-LEN(SUBSTITUTE(Tabela1[[#This Row],[17]],",",""))+1,1),"")</f>
        <v/>
      </c>
      <c r="AQ571" t="str">
        <f>IF(Tabela1[[#This Row],[18]]&lt;&gt;"",IF(ISNUMBER(FIND(",",Tabela1[[#This Row],[18]])),LEN(Tabela1[[#This Row],[18]])-LEN(SUBSTITUTE(Tabela1[[#This Row],[18]],",",""))+1,1),"")</f>
        <v/>
      </c>
      <c r="AR571" s="13" t="str">
        <f>IF(Tabela1[[#This Row],[19_LENGTH]]&lt;&gt;"",IF(ISNUMBER(FIND(",",Tabela1[[#This Row],[19_LENGTH]])),LEN(Tabela1[[#This Row],[19_LENGTH]])-LEN(SUBSTITUTE(Tabela1[[#This Row],[19_LENGTH]],",",""))+1,1),"")</f>
        <v/>
      </c>
      <c r="AS571" s="21">
        <f>SUM(Tabela1[[#This Row],[1_]:[19_]])</f>
        <v>3</v>
      </c>
    </row>
    <row r="572" spans="1:45" x14ac:dyDescent="0.25">
      <c r="A572" s="27" t="s">
        <v>1329</v>
      </c>
      <c r="B572" s="19" t="s">
        <v>883</v>
      </c>
      <c r="C572" s="19">
        <v>102</v>
      </c>
      <c r="D572" s="19" t="s">
        <v>1307</v>
      </c>
      <c r="E572" s="20">
        <v>43543</v>
      </c>
      <c r="F572" s="19"/>
      <c r="G572" s="19"/>
      <c r="H572" s="19"/>
      <c r="I572" s="19"/>
      <c r="J572" s="19"/>
      <c r="K572" s="19"/>
      <c r="L572" s="19"/>
      <c r="M572" s="19"/>
      <c r="N572" s="19"/>
      <c r="O572" s="19"/>
      <c r="P572" s="19">
        <v>93</v>
      </c>
      <c r="Q572" s="19"/>
      <c r="R572" s="19"/>
      <c r="S572" s="19"/>
      <c r="T572" s="19"/>
      <c r="U572" s="19"/>
      <c r="V572" s="19"/>
      <c r="W572" s="19"/>
      <c r="X572" s="19"/>
      <c r="Y572" s="19"/>
      <c r="Z572" t="str">
        <f>IF(Tabela1[[#This Row],[1]]&lt;&gt;"",IF(ISNUMBER(FIND(",",Tabela1[[#This Row],[1]])),LEN(Tabela1[[#This Row],[1]])-LEN(SUBSTITUTE(Tabela1[[#This Row],[1]],",",""))+1,1),"")</f>
        <v/>
      </c>
      <c r="AA572" t="str">
        <f>IF(Tabela1[[#This Row],[2]]&lt;&gt;"",IF(ISNUMBER(FIND(",",Tabela1[[#This Row],[2]])),LEN(Tabela1[[#This Row],[2]])-LEN(SUBSTITUTE(Tabela1[[#This Row],[2]],",",""))+1,1),"")</f>
        <v/>
      </c>
      <c r="AB572" t="str">
        <f>IF(Tabela1[[#This Row],[3]]&lt;&gt;"",IF(ISNUMBER(FIND(",",Tabela1[[#This Row],[3]])),LEN(Tabela1[[#This Row],[3]])-LEN(SUBSTITUTE(Tabela1[[#This Row],[3]],",",""))+1,1),"")</f>
        <v/>
      </c>
      <c r="AC572" t="str">
        <f>IF(Tabela1[[#This Row],[4]]&lt;&gt;"",IF(ISNUMBER(FIND(",",Tabela1[[#This Row],[4]])),LEN(Tabela1[[#This Row],[4]])-LEN(SUBSTITUTE(Tabela1[[#This Row],[4]],",",""))+1,1),"")</f>
        <v/>
      </c>
      <c r="AD572" t="str">
        <f>IF(Tabela1[[#This Row],[5]]&lt;&gt;"",IF(ISNUMBER(FIND(",",Tabela1[[#This Row],[5]])),LEN(Tabela1[[#This Row],[5]])-LEN(SUBSTITUTE(Tabela1[[#This Row],[5]],",",""))+1,1),"")</f>
        <v/>
      </c>
      <c r="AE572" t="str">
        <f>IF(Tabela1[[#This Row],[6]]&lt;&gt;"",IF(ISNUMBER(FIND(",",Tabela1[[#This Row],[6]])),LEN(Tabela1[[#This Row],[6]])-LEN(SUBSTITUTE(Tabela1[[#This Row],[6]],",",""))+1,1),"")</f>
        <v/>
      </c>
      <c r="AF572" t="str">
        <f>IF(Tabela1[[#This Row],[7]]&lt;&gt;"",IF(ISNUMBER(FIND(",",Tabela1[[#This Row],[7]])),LEN(Tabela1[[#This Row],[7]])-LEN(SUBSTITUTE(Tabela1[[#This Row],[7]],",",""))+1,1),"")</f>
        <v/>
      </c>
      <c r="AG572" t="str">
        <f>IF(Tabela1[[#This Row],[8]]&lt;&gt;"",IF(ISNUMBER(FIND(",",Tabela1[[#This Row],[8]])),LEN(Tabela1[[#This Row],[8]])-LEN(SUBSTITUTE(Tabela1[[#This Row],[8]],",",""))+1,1),"")</f>
        <v/>
      </c>
      <c r="AH572" t="str">
        <f>IF(Tabela1[[#This Row],[9]]&lt;&gt;"",IF(ISNUMBER(FIND(",",Tabela1[[#This Row],[9]])),LEN(Tabela1[[#This Row],[9]])-LEN(SUBSTITUTE(Tabela1[[#This Row],[9]],",",""))+1,1),"")</f>
        <v/>
      </c>
      <c r="AI572" t="str">
        <f>IF(Tabela1[[#This Row],[10]]&lt;&gt;"",IF(ISNUMBER(FIND(",",Tabela1[[#This Row],[10]])),LEN(Tabela1[[#This Row],[10]])-LEN(SUBSTITUTE(Tabela1[[#This Row],[10]],",",""))+1,1),"")</f>
        <v/>
      </c>
      <c r="AJ572">
        <f>IF(Tabela1[[#This Row],[11]]&lt;&gt;"",IF(ISNUMBER(FIND(",",Tabela1[[#This Row],[11]])),LEN(Tabela1[[#This Row],[11]])-LEN(SUBSTITUTE(Tabela1[[#This Row],[11]],",",""))+1,1),"")</f>
        <v>1</v>
      </c>
      <c r="AK572" t="str">
        <f>IF(Tabela1[[#This Row],[12]]&lt;&gt;"",IF(ISNUMBER(FIND(",",Tabela1[[#This Row],[12]])),LEN(Tabela1[[#This Row],[12]])-LEN(SUBSTITUTE(Tabela1[[#This Row],[12]],",",""))+1,1),"")</f>
        <v/>
      </c>
      <c r="AL572" t="str">
        <f>IF(Tabela1[[#This Row],[13]]&lt;&gt;"",IF(ISNUMBER(FIND(",",Tabela1[[#This Row],[13]])),LEN(Tabela1[[#This Row],[13]])-LEN(SUBSTITUTE(Tabela1[[#This Row],[13]],",",""))+1,1),"")</f>
        <v/>
      </c>
      <c r="AM572" t="str">
        <f>IF(Tabela1[[#This Row],[14]]&lt;&gt;"",IF(ISNUMBER(FIND(",",Tabela1[[#This Row],[14]])),LEN(Tabela1[[#This Row],[14]])-LEN(SUBSTITUTE(Tabela1[[#This Row],[14]],",",""))+1,1),"")</f>
        <v/>
      </c>
      <c r="AN572" t="str">
        <f>IF(Tabela1[[#This Row],[15]]&lt;&gt;"",IF(ISNUMBER(FIND(",",Tabela1[[#This Row],[15]])),LEN(Tabela1[[#This Row],[15]])-LEN(SUBSTITUTE(Tabela1[[#This Row],[15]],",",""))+1,1),"")</f>
        <v/>
      </c>
      <c r="AO572" t="str">
        <f>IF(Tabela1[[#This Row],[16]]&lt;&gt;"",IF(ISNUMBER(FIND(",",Tabela1[[#This Row],[16]])),LEN(Tabela1[[#This Row],[16]])-LEN(SUBSTITUTE(Tabela1[[#This Row],[16]],",",""))+1,1),"")</f>
        <v/>
      </c>
      <c r="AP572" t="str">
        <f>IF(Tabela1[[#This Row],[17]]&lt;&gt;"",IF(ISNUMBER(FIND(",",Tabela1[[#This Row],[17]])),LEN(Tabela1[[#This Row],[17]])-LEN(SUBSTITUTE(Tabela1[[#This Row],[17]],",",""))+1,1),"")</f>
        <v/>
      </c>
      <c r="AQ572" t="str">
        <f>IF(Tabela1[[#This Row],[18]]&lt;&gt;"",IF(ISNUMBER(FIND(",",Tabela1[[#This Row],[18]])),LEN(Tabela1[[#This Row],[18]])-LEN(SUBSTITUTE(Tabela1[[#This Row],[18]],",",""))+1,1),"")</f>
        <v/>
      </c>
      <c r="AR572" s="13" t="str">
        <f>IF(Tabela1[[#This Row],[19_LENGTH]]&lt;&gt;"",IF(ISNUMBER(FIND(",",Tabela1[[#This Row],[19_LENGTH]])),LEN(Tabela1[[#This Row],[19_LENGTH]])-LEN(SUBSTITUTE(Tabela1[[#This Row],[19_LENGTH]],",",""))+1,1),"")</f>
        <v/>
      </c>
      <c r="AS572" s="21">
        <f>SUM(Tabela1[[#This Row],[1_]:[19_]])</f>
        <v>1</v>
      </c>
    </row>
    <row r="573" spans="1:45" x14ac:dyDescent="0.25">
      <c r="A573" s="27" t="s">
        <v>1329</v>
      </c>
      <c r="B573" s="19" t="s">
        <v>884</v>
      </c>
      <c r="C573" s="19">
        <v>102</v>
      </c>
      <c r="D573" s="19" t="s">
        <v>1307</v>
      </c>
      <c r="E573" s="20">
        <v>43543</v>
      </c>
      <c r="F573" s="19"/>
      <c r="G573" s="19"/>
      <c r="H573" s="19"/>
      <c r="I573" s="19"/>
      <c r="J573" s="19"/>
      <c r="K573" s="19"/>
      <c r="L573" s="19"/>
      <c r="M573" s="19"/>
      <c r="N573" s="19"/>
      <c r="O573" s="19"/>
      <c r="P573" s="19"/>
      <c r="Q573" s="19"/>
      <c r="R573" s="19"/>
      <c r="S573" s="19"/>
      <c r="T573" s="19"/>
      <c r="U573" s="19"/>
      <c r="V573" s="19"/>
      <c r="W573" s="19">
        <v>50</v>
      </c>
      <c r="X573" s="19"/>
      <c r="Y573" s="19"/>
      <c r="Z573" t="str">
        <f>IF(Tabela1[[#This Row],[1]]&lt;&gt;"",IF(ISNUMBER(FIND(",",Tabela1[[#This Row],[1]])),LEN(Tabela1[[#This Row],[1]])-LEN(SUBSTITUTE(Tabela1[[#This Row],[1]],",",""))+1,1),"")</f>
        <v/>
      </c>
      <c r="AA573" t="str">
        <f>IF(Tabela1[[#This Row],[2]]&lt;&gt;"",IF(ISNUMBER(FIND(",",Tabela1[[#This Row],[2]])),LEN(Tabela1[[#This Row],[2]])-LEN(SUBSTITUTE(Tabela1[[#This Row],[2]],",",""))+1,1),"")</f>
        <v/>
      </c>
      <c r="AB573" t="str">
        <f>IF(Tabela1[[#This Row],[3]]&lt;&gt;"",IF(ISNUMBER(FIND(",",Tabela1[[#This Row],[3]])),LEN(Tabela1[[#This Row],[3]])-LEN(SUBSTITUTE(Tabela1[[#This Row],[3]],",",""))+1,1),"")</f>
        <v/>
      </c>
      <c r="AC573" t="str">
        <f>IF(Tabela1[[#This Row],[4]]&lt;&gt;"",IF(ISNUMBER(FIND(",",Tabela1[[#This Row],[4]])),LEN(Tabela1[[#This Row],[4]])-LEN(SUBSTITUTE(Tabela1[[#This Row],[4]],",",""))+1,1),"")</f>
        <v/>
      </c>
      <c r="AD573" t="str">
        <f>IF(Tabela1[[#This Row],[5]]&lt;&gt;"",IF(ISNUMBER(FIND(",",Tabela1[[#This Row],[5]])),LEN(Tabela1[[#This Row],[5]])-LEN(SUBSTITUTE(Tabela1[[#This Row],[5]],",",""))+1,1),"")</f>
        <v/>
      </c>
      <c r="AE573" t="str">
        <f>IF(Tabela1[[#This Row],[6]]&lt;&gt;"",IF(ISNUMBER(FIND(",",Tabela1[[#This Row],[6]])),LEN(Tabela1[[#This Row],[6]])-LEN(SUBSTITUTE(Tabela1[[#This Row],[6]],",",""))+1,1),"")</f>
        <v/>
      </c>
      <c r="AF573" t="str">
        <f>IF(Tabela1[[#This Row],[7]]&lt;&gt;"",IF(ISNUMBER(FIND(",",Tabela1[[#This Row],[7]])),LEN(Tabela1[[#This Row],[7]])-LEN(SUBSTITUTE(Tabela1[[#This Row],[7]],",",""))+1,1),"")</f>
        <v/>
      </c>
      <c r="AG573" t="str">
        <f>IF(Tabela1[[#This Row],[8]]&lt;&gt;"",IF(ISNUMBER(FIND(",",Tabela1[[#This Row],[8]])),LEN(Tabela1[[#This Row],[8]])-LEN(SUBSTITUTE(Tabela1[[#This Row],[8]],",",""))+1,1),"")</f>
        <v/>
      </c>
      <c r="AH573" t="str">
        <f>IF(Tabela1[[#This Row],[9]]&lt;&gt;"",IF(ISNUMBER(FIND(",",Tabela1[[#This Row],[9]])),LEN(Tabela1[[#This Row],[9]])-LEN(SUBSTITUTE(Tabela1[[#This Row],[9]],",",""))+1,1),"")</f>
        <v/>
      </c>
      <c r="AI573" t="str">
        <f>IF(Tabela1[[#This Row],[10]]&lt;&gt;"",IF(ISNUMBER(FIND(",",Tabela1[[#This Row],[10]])),LEN(Tabela1[[#This Row],[10]])-LEN(SUBSTITUTE(Tabela1[[#This Row],[10]],",",""))+1,1),"")</f>
        <v/>
      </c>
      <c r="AJ573" t="str">
        <f>IF(Tabela1[[#This Row],[11]]&lt;&gt;"",IF(ISNUMBER(FIND(",",Tabela1[[#This Row],[11]])),LEN(Tabela1[[#This Row],[11]])-LEN(SUBSTITUTE(Tabela1[[#This Row],[11]],",",""))+1,1),"")</f>
        <v/>
      </c>
      <c r="AK573" t="str">
        <f>IF(Tabela1[[#This Row],[12]]&lt;&gt;"",IF(ISNUMBER(FIND(",",Tabela1[[#This Row],[12]])),LEN(Tabela1[[#This Row],[12]])-LEN(SUBSTITUTE(Tabela1[[#This Row],[12]],",",""))+1,1),"")</f>
        <v/>
      </c>
      <c r="AL573" t="str">
        <f>IF(Tabela1[[#This Row],[13]]&lt;&gt;"",IF(ISNUMBER(FIND(",",Tabela1[[#This Row],[13]])),LEN(Tabela1[[#This Row],[13]])-LEN(SUBSTITUTE(Tabela1[[#This Row],[13]],",",""))+1,1),"")</f>
        <v/>
      </c>
      <c r="AM573" t="str">
        <f>IF(Tabela1[[#This Row],[14]]&lt;&gt;"",IF(ISNUMBER(FIND(",",Tabela1[[#This Row],[14]])),LEN(Tabela1[[#This Row],[14]])-LEN(SUBSTITUTE(Tabela1[[#This Row],[14]],",",""))+1,1),"")</f>
        <v/>
      </c>
      <c r="AN573" t="str">
        <f>IF(Tabela1[[#This Row],[15]]&lt;&gt;"",IF(ISNUMBER(FIND(",",Tabela1[[#This Row],[15]])),LEN(Tabela1[[#This Row],[15]])-LEN(SUBSTITUTE(Tabela1[[#This Row],[15]],",",""))+1,1),"")</f>
        <v/>
      </c>
      <c r="AO573" t="str">
        <f>IF(Tabela1[[#This Row],[16]]&lt;&gt;"",IF(ISNUMBER(FIND(",",Tabela1[[#This Row],[16]])),LEN(Tabela1[[#This Row],[16]])-LEN(SUBSTITUTE(Tabela1[[#This Row],[16]],",",""))+1,1),"")</f>
        <v/>
      </c>
      <c r="AP573" t="str">
        <f>IF(Tabela1[[#This Row],[17]]&lt;&gt;"",IF(ISNUMBER(FIND(",",Tabela1[[#This Row],[17]])),LEN(Tabela1[[#This Row],[17]])-LEN(SUBSTITUTE(Tabela1[[#This Row],[17]],",",""))+1,1),"")</f>
        <v/>
      </c>
      <c r="AQ573">
        <f>IF(Tabela1[[#This Row],[18]]&lt;&gt;"",IF(ISNUMBER(FIND(",",Tabela1[[#This Row],[18]])),LEN(Tabela1[[#This Row],[18]])-LEN(SUBSTITUTE(Tabela1[[#This Row],[18]],",",""))+1,1),"")</f>
        <v>1</v>
      </c>
      <c r="AR573" s="13" t="str">
        <f>IF(Tabela1[[#This Row],[19_LENGTH]]&lt;&gt;"",IF(ISNUMBER(FIND(",",Tabela1[[#This Row],[19_LENGTH]])),LEN(Tabela1[[#This Row],[19_LENGTH]])-LEN(SUBSTITUTE(Tabela1[[#This Row],[19_LENGTH]],",",""))+1,1),"")</f>
        <v/>
      </c>
      <c r="AS573" s="21">
        <f>SUM(Tabela1[[#This Row],[1_]:[19_]])</f>
        <v>1</v>
      </c>
    </row>
    <row r="574" spans="1:45" x14ac:dyDescent="0.25">
      <c r="A574" s="27" t="s">
        <v>1329</v>
      </c>
      <c r="B574" s="19" t="s">
        <v>885</v>
      </c>
      <c r="C574" s="19">
        <v>102</v>
      </c>
      <c r="D574" s="19" t="s">
        <v>1307</v>
      </c>
      <c r="E574" s="20">
        <v>43543</v>
      </c>
      <c r="F574" s="19"/>
      <c r="G574" s="19">
        <v>29</v>
      </c>
      <c r="H574" s="19"/>
      <c r="I574" s="19"/>
      <c r="J574" s="19"/>
      <c r="K574" s="19"/>
      <c r="L574" s="19"/>
      <c r="M574" s="19"/>
      <c r="N574" s="19"/>
      <c r="O574" s="19"/>
      <c r="P574" s="19"/>
      <c r="Q574" s="19"/>
      <c r="R574" s="19"/>
      <c r="S574" s="19"/>
      <c r="T574" s="19"/>
      <c r="U574" s="19"/>
      <c r="V574" s="19">
        <v>70</v>
      </c>
      <c r="W574" s="19"/>
      <c r="X574" s="19"/>
      <c r="Y574" s="19"/>
      <c r="Z574" t="str">
        <f>IF(Tabela1[[#This Row],[1]]&lt;&gt;"",IF(ISNUMBER(FIND(",",Tabela1[[#This Row],[1]])),LEN(Tabela1[[#This Row],[1]])-LEN(SUBSTITUTE(Tabela1[[#This Row],[1]],",",""))+1,1),"")</f>
        <v/>
      </c>
      <c r="AA574">
        <f>IF(Tabela1[[#This Row],[2]]&lt;&gt;"",IF(ISNUMBER(FIND(",",Tabela1[[#This Row],[2]])),LEN(Tabela1[[#This Row],[2]])-LEN(SUBSTITUTE(Tabela1[[#This Row],[2]],",",""))+1,1),"")</f>
        <v>1</v>
      </c>
      <c r="AB574" t="str">
        <f>IF(Tabela1[[#This Row],[3]]&lt;&gt;"",IF(ISNUMBER(FIND(",",Tabela1[[#This Row],[3]])),LEN(Tabela1[[#This Row],[3]])-LEN(SUBSTITUTE(Tabela1[[#This Row],[3]],",",""))+1,1),"")</f>
        <v/>
      </c>
      <c r="AC574" t="str">
        <f>IF(Tabela1[[#This Row],[4]]&lt;&gt;"",IF(ISNUMBER(FIND(",",Tabela1[[#This Row],[4]])),LEN(Tabela1[[#This Row],[4]])-LEN(SUBSTITUTE(Tabela1[[#This Row],[4]],",",""))+1,1),"")</f>
        <v/>
      </c>
      <c r="AD574" t="str">
        <f>IF(Tabela1[[#This Row],[5]]&lt;&gt;"",IF(ISNUMBER(FIND(",",Tabela1[[#This Row],[5]])),LEN(Tabela1[[#This Row],[5]])-LEN(SUBSTITUTE(Tabela1[[#This Row],[5]],",",""))+1,1),"")</f>
        <v/>
      </c>
      <c r="AE574" t="str">
        <f>IF(Tabela1[[#This Row],[6]]&lt;&gt;"",IF(ISNUMBER(FIND(",",Tabela1[[#This Row],[6]])),LEN(Tabela1[[#This Row],[6]])-LEN(SUBSTITUTE(Tabela1[[#This Row],[6]],",",""))+1,1),"")</f>
        <v/>
      </c>
      <c r="AF574" t="str">
        <f>IF(Tabela1[[#This Row],[7]]&lt;&gt;"",IF(ISNUMBER(FIND(",",Tabela1[[#This Row],[7]])),LEN(Tabela1[[#This Row],[7]])-LEN(SUBSTITUTE(Tabela1[[#This Row],[7]],",",""))+1,1),"")</f>
        <v/>
      </c>
      <c r="AG574" t="str">
        <f>IF(Tabela1[[#This Row],[8]]&lt;&gt;"",IF(ISNUMBER(FIND(",",Tabela1[[#This Row],[8]])),LEN(Tabela1[[#This Row],[8]])-LEN(SUBSTITUTE(Tabela1[[#This Row],[8]],",",""))+1,1),"")</f>
        <v/>
      </c>
      <c r="AH574" t="str">
        <f>IF(Tabela1[[#This Row],[9]]&lt;&gt;"",IF(ISNUMBER(FIND(",",Tabela1[[#This Row],[9]])),LEN(Tabela1[[#This Row],[9]])-LEN(SUBSTITUTE(Tabela1[[#This Row],[9]],",",""))+1,1),"")</f>
        <v/>
      </c>
      <c r="AI574" t="str">
        <f>IF(Tabela1[[#This Row],[10]]&lt;&gt;"",IF(ISNUMBER(FIND(",",Tabela1[[#This Row],[10]])),LEN(Tabela1[[#This Row],[10]])-LEN(SUBSTITUTE(Tabela1[[#This Row],[10]],",",""))+1,1),"")</f>
        <v/>
      </c>
      <c r="AJ574" t="str">
        <f>IF(Tabela1[[#This Row],[11]]&lt;&gt;"",IF(ISNUMBER(FIND(",",Tabela1[[#This Row],[11]])),LEN(Tabela1[[#This Row],[11]])-LEN(SUBSTITUTE(Tabela1[[#This Row],[11]],",",""))+1,1),"")</f>
        <v/>
      </c>
      <c r="AK574" t="str">
        <f>IF(Tabela1[[#This Row],[12]]&lt;&gt;"",IF(ISNUMBER(FIND(",",Tabela1[[#This Row],[12]])),LEN(Tabela1[[#This Row],[12]])-LEN(SUBSTITUTE(Tabela1[[#This Row],[12]],",",""))+1,1),"")</f>
        <v/>
      </c>
      <c r="AL574" t="str">
        <f>IF(Tabela1[[#This Row],[13]]&lt;&gt;"",IF(ISNUMBER(FIND(",",Tabela1[[#This Row],[13]])),LEN(Tabela1[[#This Row],[13]])-LEN(SUBSTITUTE(Tabela1[[#This Row],[13]],",",""))+1,1),"")</f>
        <v/>
      </c>
      <c r="AM574" t="str">
        <f>IF(Tabela1[[#This Row],[14]]&lt;&gt;"",IF(ISNUMBER(FIND(",",Tabela1[[#This Row],[14]])),LEN(Tabela1[[#This Row],[14]])-LEN(SUBSTITUTE(Tabela1[[#This Row],[14]],",",""))+1,1),"")</f>
        <v/>
      </c>
      <c r="AN574" t="str">
        <f>IF(Tabela1[[#This Row],[15]]&lt;&gt;"",IF(ISNUMBER(FIND(",",Tabela1[[#This Row],[15]])),LEN(Tabela1[[#This Row],[15]])-LEN(SUBSTITUTE(Tabela1[[#This Row],[15]],",",""))+1,1),"")</f>
        <v/>
      </c>
      <c r="AO574" t="str">
        <f>IF(Tabela1[[#This Row],[16]]&lt;&gt;"",IF(ISNUMBER(FIND(",",Tabela1[[#This Row],[16]])),LEN(Tabela1[[#This Row],[16]])-LEN(SUBSTITUTE(Tabela1[[#This Row],[16]],",",""))+1,1),"")</f>
        <v/>
      </c>
      <c r="AP574">
        <f>IF(Tabela1[[#This Row],[17]]&lt;&gt;"",IF(ISNUMBER(FIND(",",Tabela1[[#This Row],[17]])),LEN(Tabela1[[#This Row],[17]])-LEN(SUBSTITUTE(Tabela1[[#This Row],[17]],",",""))+1,1),"")</f>
        <v>1</v>
      </c>
      <c r="AQ574" t="str">
        <f>IF(Tabela1[[#This Row],[18]]&lt;&gt;"",IF(ISNUMBER(FIND(",",Tabela1[[#This Row],[18]])),LEN(Tabela1[[#This Row],[18]])-LEN(SUBSTITUTE(Tabela1[[#This Row],[18]],",",""))+1,1),"")</f>
        <v/>
      </c>
      <c r="AR574" s="13" t="str">
        <f>IF(Tabela1[[#This Row],[19_LENGTH]]&lt;&gt;"",IF(ISNUMBER(FIND(",",Tabela1[[#This Row],[19_LENGTH]])),LEN(Tabela1[[#This Row],[19_LENGTH]])-LEN(SUBSTITUTE(Tabela1[[#This Row],[19_LENGTH]],",",""))+1,1),"")</f>
        <v/>
      </c>
      <c r="AS574" s="21">
        <f>SUM(Tabela1[[#This Row],[1_]:[19_]])</f>
        <v>2</v>
      </c>
    </row>
    <row r="575" spans="1:45" x14ac:dyDescent="0.25">
      <c r="A575" s="27" t="s">
        <v>1328</v>
      </c>
      <c r="B575" s="19" t="s">
        <v>611</v>
      </c>
      <c r="C575" s="19">
        <v>32</v>
      </c>
      <c r="D575" s="19" t="s">
        <v>1302</v>
      </c>
      <c r="E575" s="20">
        <v>43543</v>
      </c>
      <c r="F575" s="19"/>
      <c r="G575" s="19"/>
      <c r="H575" s="19"/>
      <c r="I575" s="19">
        <v>29</v>
      </c>
      <c r="J575" s="19"/>
      <c r="K575" s="19"/>
      <c r="L575" s="19"/>
      <c r="M575" s="19"/>
      <c r="N575" s="19"/>
      <c r="O575" s="19"/>
      <c r="P575" s="19"/>
      <c r="Q575" s="19"/>
      <c r="R575" s="19"/>
      <c r="S575" s="19"/>
      <c r="T575" s="19"/>
      <c r="U575" s="19">
        <v>24</v>
      </c>
      <c r="V575" s="19"/>
      <c r="W575" s="19"/>
      <c r="X575" s="19"/>
      <c r="Y575" s="19"/>
      <c r="Z575" t="str">
        <f>IF(Tabela1[[#This Row],[1]]&lt;&gt;"",IF(ISNUMBER(FIND(",",Tabela1[[#This Row],[1]])),LEN(Tabela1[[#This Row],[1]])-LEN(SUBSTITUTE(Tabela1[[#This Row],[1]],",",""))+1,1),"")</f>
        <v/>
      </c>
      <c r="AA575" t="str">
        <f>IF(Tabela1[[#This Row],[2]]&lt;&gt;"",IF(ISNUMBER(FIND(",",Tabela1[[#This Row],[2]])),LEN(Tabela1[[#This Row],[2]])-LEN(SUBSTITUTE(Tabela1[[#This Row],[2]],",",""))+1,1),"")</f>
        <v/>
      </c>
      <c r="AB575" t="str">
        <f>IF(Tabela1[[#This Row],[3]]&lt;&gt;"",IF(ISNUMBER(FIND(",",Tabela1[[#This Row],[3]])),LEN(Tabela1[[#This Row],[3]])-LEN(SUBSTITUTE(Tabela1[[#This Row],[3]],",",""))+1,1),"")</f>
        <v/>
      </c>
      <c r="AC575">
        <f>IF(Tabela1[[#This Row],[4]]&lt;&gt;"",IF(ISNUMBER(FIND(",",Tabela1[[#This Row],[4]])),LEN(Tabela1[[#This Row],[4]])-LEN(SUBSTITUTE(Tabela1[[#This Row],[4]],",",""))+1,1),"")</f>
        <v>1</v>
      </c>
      <c r="AD575" t="str">
        <f>IF(Tabela1[[#This Row],[5]]&lt;&gt;"",IF(ISNUMBER(FIND(",",Tabela1[[#This Row],[5]])),LEN(Tabela1[[#This Row],[5]])-LEN(SUBSTITUTE(Tabela1[[#This Row],[5]],",",""))+1,1),"")</f>
        <v/>
      </c>
      <c r="AE575" t="str">
        <f>IF(Tabela1[[#This Row],[6]]&lt;&gt;"",IF(ISNUMBER(FIND(",",Tabela1[[#This Row],[6]])),LEN(Tabela1[[#This Row],[6]])-LEN(SUBSTITUTE(Tabela1[[#This Row],[6]],",",""))+1,1),"")</f>
        <v/>
      </c>
      <c r="AF575" t="str">
        <f>IF(Tabela1[[#This Row],[7]]&lt;&gt;"",IF(ISNUMBER(FIND(",",Tabela1[[#This Row],[7]])),LEN(Tabela1[[#This Row],[7]])-LEN(SUBSTITUTE(Tabela1[[#This Row],[7]],",",""))+1,1),"")</f>
        <v/>
      </c>
      <c r="AG575" t="str">
        <f>IF(Tabela1[[#This Row],[8]]&lt;&gt;"",IF(ISNUMBER(FIND(",",Tabela1[[#This Row],[8]])),LEN(Tabela1[[#This Row],[8]])-LEN(SUBSTITUTE(Tabela1[[#This Row],[8]],",",""))+1,1),"")</f>
        <v/>
      </c>
      <c r="AH575" t="str">
        <f>IF(Tabela1[[#This Row],[9]]&lt;&gt;"",IF(ISNUMBER(FIND(",",Tabela1[[#This Row],[9]])),LEN(Tabela1[[#This Row],[9]])-LEN(SUBSTITUTE(Tabela1[[#This Row],[9]],",",""))+1,1),"")</f>
        <v/>
      </c>
      <c r="AI575" t="str">
        <f>IF(Tabela1[[#This Row],[10]]&lt;&gt;"",IF(ISNUMBER(FIND(",",Tabela1[[#This Row],[10]])),LEN(Tabela1[[#This Row],[10]])-LEN(SUBSTITUTE(Tabela1[[#This Row],[10]],",",""))+1,1),"")</f>
        <v/>
      </c>
      <c r="AJ575" t="str">
        <f>IF(Tabela1[[#This Row],[11]]&lt;&gt;"",IF(ISNUMBER(FIND(",",Tabela1[[#This Row],[11]])),LEN(Tabela1[[#This Row],[11]])-LEN(SUBSTITUTE(Tabela1[[#This Row],[11]],",",""))+1,1),"")</f>
        <v/>
      </c>
      <c r="AK575" t="str">
        <f>IF(Tabela1[[#This Row],[12]]&lt;&gt;"",IF(ISNUMBER(FIND(",",Tabela1[[#This Row],[12]])),LEN(Tabela1[[#This Row],[12]])-LEN(SUBSTITUTE(Tabela1[[#This Row],[12]],",",""))+1,1),"")</f>
        <v/>
      </c>
      <c r="AL575" t="str">
        <f>IF(Tabela1[[#This Row],[13]]&lt;&gt;"",IF(ISNUMBER(FIND(",",Tabela1[[#This Row],[13]])),LEN(Tabela1[[#This Row],[13]])-LEN(SUBSTITUTE(Tabela1[[#This Row],[13]],",",""))+1,1),"")</f>
        <v/>
      </c>
      <c r="AM575" t="str">
        <f>IF(Tabela1[[#This Row],[14]]&lt;&gt;"",IF(ISNUMBER(FIND(",",Tabela1[[#This Row],[14]])),LEN(Tabela1[[#This Row],[14]])-LEN(SUBSTITUTE(Tabela1[[#This Row],[14]],",",""))+1,1),"")</f>
        <v/>
      </c>
      <c r="AN575" t="str">
        <f>IF(Tabela1[[#This Row],[15]]&lt;&gt;"",IF(ISNUMBER(FIND(",",Tabela1[[#This Row],[15]])),LEN(Tabela1[[#This Row],[15]])-LEN(SUBSTITUTE(Tabela1[[#This Row],[15]],",",""))+1,1),"")</f>
        <v/>
      </c>
      <c r="AO575">
        <f>IF(Tabela1[[#This Row],[16]]&lt;&gt;"",IF(ISNUMBER(FIND(",",Tabela1[[#This Row],[16]])),LEN(Tabela1[[#This Row],[16]])-LEN(SUBSTITUTE(Tabela1[[#This Row],[16]],",",""))+1,1),"")</f>
        <v>1</v>
      </c>
      <c r="AP575" t="str">
        <f>IF(Tabela1[[#This Row],[17]]&lt;&gt;"",IF(ISNUMBER(FIND(",",Tabela1[[#This Row],[17]])),LEN(Tabela1[[#This Row],[17]])-LEN(SUBSTITUTE(Tabela1[[#This Row],[17]],",",""))+1,1),"")</f>
        <v/>
      </c>
      <c r="AQ575" t="str">
        <f>IF(Tabela1[[#This Row],[18]]&lt;&gt;"",IF(ISNUMBER(FIND(",",Tabela1[[#This Row],[18]])),LEN(Tabela1[[#This Row],[18]])-LEN(SUBSTITUTE(Tabela1[[#This Row],[18]],",",""))+1,1),"")</f>
        <v/>
      </c>
      <c r="AR575" s="13" t="str">
        <f>IF(Tabela1[[#This Row],[19_LENGTH]]&lt;&gt;"",IF(ISNUMBER(FIND(",",Tabela1[[#This Row],[19_LENGTH]])),LEN(Tabela1[[#This Row],[19_LENGTH]])-LEN(SUBSTITUTE(Tabela1[[#This Row],[19_LENGTH]],",",""))+1,1),"")</f>
        <v/>
      </c>
      <c r="AS575" s="21">
        <f>SUM(Tabela1[[#This Row],[1_]:[19_]])</f>
        <v>2</v>
      </c>
    </row>
    <row r="576" spans="1:45" x14ac:dyDescent="0.25">
      <c r="A576" s="27" t="s">
        <v>1328</v>
      </c>
      <c r="B576" s="19" t="s">
        <v>612</v>
      </c>
      <c r="C576" s="19">
        <v>102</v>
      </c>
      <c r="D576" s="19" t="s">
        <v>1300</v>
      </c>
      <c r="E576" s="20">
        <v>43542</v>
      </c>
      <c r="F576" s="19"/>
      <c r="G576" s="19"/>
      <c r="H576" s="19"/>
      <c r="I576" s="19"/>
      <c r="J576" s="19"/>
      <c r="K576" s="19"/>
      <c r="L576" s="19"/>
      <c r="M576" s="19"/>
      <c r="N576" s="19"/>
      <c r="O576" s="19"/>
      <c r="P576" s="19"/>
      <c r="Q576" s="19"/>
      <c r="R576" s="19"/>
      <c r="S576" s="19"/>
      <c r="T576" s="19"/>
      <c r="U576" s="19" t="s">
        <v>222</v>
      </c>
      <c r="V576" s="19"/>
      <c r="W576" s="19"/>
      <c r="X576" s="19"/>
      <c r="Y576" s="19"/>
      <c r="Z576" t="str">
        <f>IF(Tabela1[[#This Row],[1]]&lt;&gt;"",IF(ISNUMBER(FIND(",",Tabela1[[#This Row],[1]])),LEN(Tabela1[[#This Row],[1]])-LEN(SUBSTITUTE(Tabela1[[#This Row],[1]],",",""))+1,1),"")</f>
        <v/>
      </c>
      <c r="AA576" t="str">
        <f>IF(Tabela1[[#This Row],[2]]&lt;&gt;"",IF(ISNUMBER(FIND(",",Tabela1[[#This Row],[2]])),LEN(Tabela1[[#This Row],[2]])-LEN(SUBSTITUTE(Tabela1[[#This Row],[2]],",",""))+1,1),"")</f>
        <v/>
      </c>
      <c r="AB576" t="str">
        <f>IF(Tabela1[[#This Row],[3]]&lt;&gt;"",IF(ISNUMBER(FIND(",",Tabela1[[#This Row],[3]])),LEN(Tabela1[[#This Row],[3]])-LEN(SUBSTITUTE(Tabela1[[#This Row],[3]],",",""))+1,1),"")</f>
        <v/>
      </c>
      <c r="AC576" t="str">
        <f>IF(Tabela1[[#This Row],[4]]&lt;&gt;"",IF(ISNUMBER(FIND(",",Tabela1[[#This Row],[4]])),LEN(Tabela1[[#This Row],[4]])-LEN(SUBSTITUTE(Tabela1[[#This Row],[4]],",",""))+1,1),"")</f>
        <v/>
      </c>
      <c r="AD576" t="str">
        <f>IF(Tabela1[[#This Row],[5]]&lt;&gt;"",IF(ISNUMBER(FIND(",",Tabela1[[#This Row],[5]])),LEN(Tabela1[[#This Row],[5]])-LEN(SUBSTITUTE(Tabela1[[#This Row],[5]],",",""))+1,1),"")</f>
        <v/>
      </c>
      <c r="AE576" t="str">
        <f>IF(Tabela1[[#This Row],[6]]&lt;&gt;"",IF(ISNUMBER(FIND(",",Tabela1[[#This Row],[6]])),LEN(Tabela1[[#This Row],[6]])-LEN(SUBSTITUTE(Tabela1[[#This Row],[6]],",",""))+1,1),"")</f>
        <v/>
      </c>
      <c r="AF576" t="str">
        <f>IF(Tabela1[[#This Row],[7]]&lt;&gt;"",IF(ISNUMBER(FIND(",",Tabela1[[#This Row],[7]])),LEN(Tabela1[[#This Row],[7]])-LEN(SUBSTITUTE(Tabela1[[#This Row],[7]],",",""))+1,1),"")</f>
        <v/>
      </c>
      <c r="AG576" t="str">
        <f>IF(Tabela1[[#This Row],[8]]&lt;&gt;"",IF(ISNUMBER(FIND(",",Tabela1[[#This Row],[8]])),LEN(Tabela1[[#This Row],[8]])-LEN(SUBSTITUTE(Tabela1[[#This Row],[8]],",",""))+1,1),"")</f>
        <v/>
      </c>
      <c r="AH576" t="str">
        <f>IF(Tabela1[[#This Row],[9]]&lt;&gt;"",IF(ISNUMBER(FIND(",",Tabela1[[#This Row],[9]])),LEN(Tabela1[[#This Row],[9]])-LEN(SUBSTITUTE(Tabela1[[#This Row],[9]],",",""))+1,1),"")</f>
        <v/>
      </c>
      <c r="AI576" t="str">
        <f>IF(Tabela1[[#This Row],[10]]&lt;&gt;"",IF(ISNUMBER(FIND(",",Tabela1[[#This Row],[10]])),LEN(Tabela1[[#This Row],[10]])-LEN(SUBSTITUTE(Tabela1[[#This Row],[10]],",",""))+1,1),"")</f>
        <v/>
      </c>
      <c r="AJ576" t="str">
        <f>IF(Tabela1[[#This Row],[11]]&lt;&gt;"",IF(ISNUMBER(FIND(",",Tabela1[[#This Row],[11]])),LEN(Tabela1[[#This Row],[11]])-LEN(SUBSTITUTE(Tabela1[[#This Row],[11]],",",""))+1,1),"")</f>
        <v/>
      </c>
      <c r="AK576" t="str">
        <f>IF(Tabela1[[#This Row],[12]]&lt;&gt;"",IF(ISNUMBER(FIND(",",Tabela1[[#This Row],[12]])),LEN(Tabela1[[#This Row],[12]])-LEN(SUBSTITUTE(Tabela1[[#This Row],[12]],",",""))+1,1),"")</f>
        <v/>
      </c>
      <c r="AL576" t="str">
        <f>IF(Tabela1[[#This Row],[13]]&lt;&gt;"",IF(ISNUMBER(FIND(",",Tabela1[[#This Row],[13]])),LEN(Tabela1[[#This Row],[13]])-LEN(SUBSTITUTE(Tabela1[[#This Row],[13]],",",""))+1,1),"")</f>
        <v/>
      </c>
      <c r="AM576" t="str">
        <f>IF(Tabela1[[#This Row],[14]]&lt;&gt;"",IF(ISNUMBER(FIND(",",Tabela1[[#This Row],[14]])),LEN(Tabela1[[#This Row],[14]])-LEN(SUBSTITUTE(Tabela1[[#This Row],[14]],",",""))+1,1),"")</f>
        <v/>
      </c>
      <c r="AN576" t="str">
        <f>IF(Tabela1[[#This Row],[15]]&lt;&gt;"",IF(ISNUMBER(FIND(",",Tabela1[[#This Row],[15]])),LEN(Tabela1[[#This Row],[15]])-LEN(SUBSTITUTE(Tabela1[[#This Row],[15]],",",""))+1,1),"")</f>
        <v/>
      </c>
      <c r="AO576">
        <f>IF(Tabela1[[#This Row],[16]]&lt;&gt;"",IF(ISNUMBER(FIND(",",Tabela1[[#This Row],[16]])),LEN(Tabela1[[#This Row],[16]])-LEN(SUBSTITUTE(Tabela1[[#This Row],[16]],",",""))+1,1),"")</f>
        <v>2</v>
      </c>
      <c r="AP576" t="str">
        <f>IF(Tabela1[[#This Row],[17]]&lt;&gt;"",IF(ISNUMBER(FIND(",",Tabela1[[#This Row],[17]])),LEN(Tabela1[[#This Row],[17]])-LEN(SUBSTITUTE(Tabela1[[#This Row],[17]],",",""))+1,1),"")</f>
        <v/>
      </c>
      <c r="AQ576" t="str">
        <f>IF(Tabela1[[#This Row],[18]]&lt;&gt;"",IF(ISNUMBER(FIND(",",Tabela1[[#This Row],[18]])),LEN(Tabela1[[#This Row],[18]])-LEN(SUBSTITUTE(Tabela1[[#This Row],[18]],",",""))+1,1),"")</f>
        <v/>
      </c>
      <c r="AR576" s="13" t="str">
        <f>IF(Tabela1[[#This Row],[19_LENGTH]]&lt;&gt;"",IF(ISNUMBER(FIND(",",Tabela1[[#This Row],[19_LENGTH]])),LEN(Tabela1[[#This Row],[19_LENGTH]])-LEN(SUBSTITUTE(Tabela1[[#This Row],[19_LENGTH]],",",""))+1,1),"")</f>
        <v/>
      </c>
      <c r="AS576" s="21">
        <f>SUM(Tabela1[[#This Row],[1_]:[19_]])</f>
        <v>2</v>
      </c>
    </row>
    <row r="577" spans="1:45" x14ac:dyDescent="0.25">
      <c r="A577" s="27" t="s">
        <v>1328</v>
      </c>
      <c r="B577" s="19" t="s">
        <v>613</v>
      </c>
      <c r="C577" s="19">
        <v>102</v>
      </c>
      <c r="D577" s="19" t="s">
        <v>1300</v>
      </c>
      <c r="E577" s="20">
        <v>43542</v>
      </c>
      <c r="F577" s="19"/>
      <c r="G577" s="19"/>
      <c r="H577" s="19"/>
      <c r="I577" s="19"/>
      <c r="J577" s="19"/>
      <c r="K577" s="19"/>
      <c r="L577" s="19"/>
      <c r="M577" s="19"/>
      <c r="N577" s="19"/>
      <c r="O577" s="19"/>
      <c r="P577" s="19"/>
      <c r="Q577" s="19"/>
      <c r="R577" s="19"/>
      <c r="S577" s="19"/>
      <c r="T577" s="19"/>
      <c r="U577" s="19"/>
      <c r="V577" s="19"/>
      <c r="W577" s="19"/>
      <c r="X577" s="19" t="s">
        <v>43</v>
      </c>
      <c r="Y577" s="19">
        <v>5</v>
      </c>
      <c r="Z577" t="str">
        <f>IF(Tabela1[[#This Row],[1]]&lt;&gt;"",IF(ISNUMBER(FIND(",",Tabela1[[#This Row],[1]])),LEN(Tabela1[[#This Row],[1]])-LEN(SUBSTITUTE(Tabela1[[#This Row],[1]],",",""))+1,1),"")</f>
        <v/>
      </c>
      <c r="AA577" t="str">
        <f>IF(Tabela1[[#This Row],[2]]&lt;&gt;"",IF(ISNUMBER(FIND(",",Tabela1[[#This Row],[2]])),LEN(Tabela1[[#This Row],[2]])-LEN(SUBSTITUTE(Tabela1[[#This Row],[2]],",",""))+1,1),"")</f>
        <v/>
      </c>
      <c r="AB577" t="str">
        <f>IF(Tabela1[[#This Row],[3]]&lt;&gt;"",IF(ISNUMBER(FIND(",",Tabela1[[#This Row],[3]])),LEN(Tabela1[[#This Row],[3]])-LEN(SUBSTITUTE(Tabela1[[#This Row],[3]],",",""))+1,1),"")</f>
        <v/>
      </c>
      <c r="AC577" t="str">
        <f>IF(Tabela1[[#This Row],[4]]&lt;&gt;"",IF(ISNUMBER(FIND(",",Tabela1[[#This Row],[4]])),LEN(Tabela1[[#This Row],[4]])-LEN(SUBSTITUTE(Tabela1[[#This Row],[4]],",",""))+1,1),"")</f>
        <v/>
      </c>
      <c r="AD577" t="str">
        <f>IF(Tabela1[[#This Row],[5]]&lt;&gt;"",IF(ISNUMBER(FIND(",",Tabela1[[#This Row],[5]])),LEN(Tabela1[[#This Row],[5]])-LEN(SUBSTITUTE(Tabela1[[#This Row],[5]],",",""))+1,1),"")</f>
        <v/>
      </c>
      <c r="AE577" t="str">
        <f>IF(Tabela1[[#This Row],[6]]&lt;&gt;"",IF(ISNUMBER(FIND(",",Tabela1[[#This Row],[6]])),LEN(Tabela1[[#This Row],[6]])-LEN(SUBSTITUTE(Tabela1[[#This Row],[6]],",",""))+1,1),"")</f>
        <v/>
      </c>
      <c r="AF577" t="str">
        <f>IF(Tabela1[[#This Row],[7]]&lt;&gt;"",IF(ISNUMBER(FIND(",",Tabela1[[#This Row],[7]])),LEN(Tabela1[[#This Row],[7]])-LEN(SUBSTITUTE(Tabela1[[#This Row],[7]],",",""))+1,1),"")</f>
        <v/>
      </c>
      <c r="AG577" t="str">
        <f>IF(Tabela1[[#This Row],[8]]&lt;&gt;"",IF(ISNUMBER(FIND(",",Tabela1[[#This Row],[8]])),LEN(Tabela1[[#This Row],[8]])-LEN(SUBSTITUTE(Tabela1[[#This Row],[8]],",",""))+1,1),"")</f>
        <v/>
      </c>
      <c r="AH577" t="str">
        <f>IF(Tabela1[[#This Row],[9]]&lt;&gt;"",IF(ISNUMBER(FIND(",",Tabela1[[#This Row],[9]])),LEN(Tabela1[[#This Row],[9]])-LEN(SUBSTITUTE(Tabela1[[#This Row],[9]],",",""))+1,1),"")</f>
        <v/>
      </c>
      <c r="AI577" t="str">
        <f>IF(Tabela1[[#This Row],[10]]&lt;&gt;"",IF(ISNUMBER(FIND(",",Tabela1[[#This Row],[10]])),LEN(Tabela1[[#This Row],[10]])-LEN(SUBSTITUTE(Tabela1[[#This Row],[10]],",",""))+1,1),"")</f>
        <v/>
      </c>
      <c r="AJ577" t="str">
        <f>IF(Tabela1[[#This Row],[11]]&lt;&gt;"",IF(ISNUMBER(FIND(",",Tabela1[[#This Row],[11]])),LEN(Tabela1[[#This Row],[11]])-LEN(SUBSTITUTE(Tabela1[[#This Row],[11]],",",""))+1,1),"")</f>
        <v/>
      </c>
      <c r="AK577" t="str">
        <f>IF(Tabela1[[#This Row],[12]]&lt;&gt;"",IF(ISNUMBER(FIND(",",Tabela1[[#This Row],[12]])),LEN(Tabela1[[#This Row],[12]])-LEN(SUBSTITUTE(Tabela1[[#This Row],[12]],",",""))+1,1),"")</f>
        <v/>
      </c>
      <c r="AL577" t="str">
        <f>IF(Tabela1[[#This Row],[13]]&lt;&gt;"",IF(ISNUMBER(FIND(",",Tabela1[[#This Row],[13]])),LEN(Tabela1[[#This Row],[13]])-LEN(SUBSTITUTE(Tabela1[[#This Row],[13]],",",""))+1,1),"")</f>
        <v/>
      </c>
      <c r="AM577" t="str">
        <f>IF(Tabela1[[#This Row],[14]]&lt;&gt;"",IF(ISNUMBER(FIND(",",Tabela1[[#This Row],[14]])),LEN(Tabela1[[#This Row],[14]])-LEN(SUBSTITUTE(Tabela1[[#This Row],[14]],",",""))+1,1),"")</f>
        <v/>
      </c>
      <c r="AN577" t="str">
        <f>IF(Tabela1[[#This Row],[15]]&lt;&gt;"",IF(ISNUMBER(FIND(",",Tabela1[[#This Row],[15]])),LEN(Tabela1[[#This Row],[15]])-LEN(SUBSTITUTE(Tabela1[[#This Row],[15]],",",""))+1,1),"")</f>
        <v/>
      </c>
      <c r="AO577" t="str">
        <f>IF(Tabela1[[#This Row],[16]]&lt;&gt;"",IF(ISNUMBER(FIND(",",Tabela1[[#This Row],[16]])),LEN(Tabela1[[#This Row],[16]])-LEN(SUBSTITUTE(Tabela1[[#This Row],[16]],",",""))+1,1),"")</f>
        <v/>
      </c>
      <c r="AP577" t="str">
        <f>IF(Tabela1[[#This Row],[17]]&lt;&gt;"",IF(ISNUMBER(FIND(",",Tabela1[[#This Row],[17]])),LEN(Tabela1[[#This Row],[17]])-LEN(SUBSTITUTE(Tabela1[[#This Row],[17]],",",""))+1,1),"")</f>
        <v/>
      </c>
      <c r="AQ577" t="str">
        <f>IF(Tabela1[[#This Row],[18]]&lt;&gt;"",IF(ISNUMBER(FIND(",",Tabela1[[#This Row],[18]])),LEN(Tabela1[[#This Row],[18]])-LEN(SUBSTITUTE(Tabela1[[#This Row],[18]],",",""))+1,1),"")</f>
        <v/>
      </c>
      <c r="AR577" s="13">
        <f>IF(Tabela1[[#This Row],[19_LENGTH]]&lt;&gt;"",IF(ISNUMBER(FIND(",",Tabela1[[#This Row],[19_LENGTH]])),LEN(Tabela1[[#This Row],[19_LENGTH]])-LEN(SUBSTITUTE(Tabela1[[#This Row],[19_LENGTH]],",",""))+1,1),"")</f>
        <v>1</v>
      </c>
      <c r="AS577" s="21">
        <f>SUM(Tabela1[[#This Row],[1_]:[19_]])</f>
        <v>1</v>
      </c>
    </row>
    <row r="578" spans="1:45" x14ac:dyDescent="0.25">
      <c r="A578" s="27" t="s">
        <v>1328</v>
      </c>
      <c r="B578" s="19" t="s">
        <v>948</v>
      </c>
      <c r="C578" s="19">
        <v>102</v>
      </c>
      <c r="D578" s="19" t="s">
        <v>1314</v>
      </c>
      <c r="E578" s="20">
        <v>43543</v>
      </c>
      <c r="F578" s="19"/>
      <c r="G578" s="19"/>
      <c r="H578" s="19"/>
      <c r="I578" s="19">
        <v>66</v>
      </c>
      <c r="J578" s="19"/>
      <c r="K578" s="19"/>
      <c r="L578" s="19"/>
      <c r="M578" s="19"/>
      <c r="N578" s="19"/>
      <c r="O578" s="19"/>
      <c r="P578" s="19"/>
      <c r="Q578" s="19"/>
      <c r="R578" s="19"/>
      <c r="S578" s="19"/>
      <c r="T578" s="19"/>
      <c r="U578" s="19"/>
      <c r="V578" s="19"/>
      <c r="W578" s="19"/>
      <c r="X578" s="19"/>
      <c r="Y578" s="19"/>
      <c r="Z578" t="str">
        <f>IF(Tabela1[[#This Row],[1]]&lt;&gt;"",IF(ISNUMBER(FIND(",",Tabela1[[#This Row],[1]])),LEN(Tabela1[[#This Row],[1]])-LEN(SUBSTITUTE(Tabela1[[#This Row],[1]],",",""))+1,1),"")</f>
        <v/>
      </c>
      <c r="AA578" t="str">
        <f>IF(Tabela1[[#This Row],[2]]&lt;&gt;"",IF(ISNUMBER(FIND(",",Tabela1[[#This Row],[2]])),LEN(Tabela1[[#This Row],[2]])-LEN(SUBSTITUTE(Tabela1[[#This Row],[2]],",",""))+1,1),"")</f>
        <v/>
      </c>
      <c r="AB578" t="str">
        <f>IF(Tabela1[[#This Row],[3]]&lt;&gt;"",IF(ISNUMBER(FIND(",",Tabela1[[#This Row],[3]])),LEN(Tabela1[[#This Row],[3]])-LEN(SUBSTITUTE(Tabela1[[#This Row],[3]],",",""))+1,1),"")</f>
        <v/>
      </c>
      <c r="AC578">
        <f>IF(Tabela1[[#This Row],[4]]&lt;&gt;"",IF(ISNUMBER(FIND(",",Tabela1[[#This Row],[4]])),LEN(Tabela1[[#This Row],[4]])-LEN(SUBSTITUTE(Tabela1[[#This Row],[4]],",",""))+1,1),"")</f>
        <v>1</v>
      </c>
      <c r="AD578" t="str">
        <f>IF(Tabela1[[#This Row],[5]]&lt;&gt;"",IF(ISNUMBER(FIND(",",Tabela1[[#This Row],[5]])),LEN(Tabela1[[#This Row],[5]])-LEN(SUBSTITUTE(Tabela1[[#This Row],[5]],",",""))+1,1),"")</f>
        <v/>
      </c>
      <c r="AE578" t="str">
        <f>IF(Tabela1[[#This Row],[6]]&lt;&gt;"",IF(ISNUMBER(FIND(",",Tabela1[[#This Row],[6]])),LEN(Tabela1[[#This Row],[6]])-LEN(SUBSTITUTE(Tabela1[[#This Row],[6]],",",""))+1,1),"")</f>
        <v/>
      </c>
      <c r="AF578" t="str">
        <f>IF(Tabela1[[#This Row],[7]]&lt;&gt;"",IF(ISNUMBER(FIND(",",Tabela1[[#This Row],[7]])),LEN(Tabela1[[#This Row],[7]])-LEN(SUBSTITUTE(Tabela1[[#This Row],[7]],",",""))+1,1),"")</f>
        <v/>
      </c>
      <c r="AG578" t="str">
        <f>IF(Tabela1[[#This Row],[8]]&lt;&gt;"",IF(ISNUMBER(FIND(",",Tabela1[[#This Row],[8]])),LEN(Tabela1[[#This Row],[8]])-LEN(SUBSTITUTE(Tabela1[[#This Row],[8]],",",""))+1,1),"")</f>
        <v/>
      </c>
      <c r="AH578" t="str">
        <f>IF(Tabela1[[#This Row],[9]]&lt;&gt;"",IF(ISNUMBER(FIND(",",Tabela1[[#This Row],[9]])),LEN(Tabela1[[#This Row],[9]])-LEN(SUBSTITUTE(Tabela1[[#This Row],[9]],",",""))+1,1),"")</f>
        <v/>
      </c>
      <c r="AI578" t="str">
        <f>IF(Tabela1[[#This Row],[10]]&lt;&gt;"",IF(ISNUMBER(FIND(",",Tabela1[[#This Row],[10]])),LEN(Tabela1[[#This Row],[10]])-LEN(SUBSTITUTE(Tabela1[[#This Row],[10]],",",""))+1,1),"")</f>
        <v/>
      </c>
      <c r="AJ578" t="str">
        <f>IF(Tabela1[[#This Row],[11]]&lt;&gt;"",IF(ISNUMBER(FIND(",",Tabela1[[#This Row],[11]])),LEN(Tabela1[[#This Row],[11]])-LEN(SUBSTITUTE(Tabela1[[#This Row],[11]],",",""))+1,1),"")</f>
        <v/>
      </c>
      <c r="AK578" t="str">
        <f>IF(Tabela1[[#This Row],[12]]&lt;&gt;"",IF(ISNUMBER(FIND(",",Tabela1[[#This Row],[12]])),LEN(Tabela1[[#This Row],[12]])-LEN(SUBSTITUTE(Tabela1[[#This Row],[12]],",",""))+1,1),"")</f>
        <v/>
      </c>
      <c r="AL578" t="str">
        <f>IF(Tabela1[[#This Row],[13]]&lt;&gt;"",IF(ISNUMBER(FIND(",",Tabela1[[#This Row],[13]])),LEN(Tabela1[[#This Row],[13]])-LEN(SUBSTITUTE(Tabela1[[#This Row],[13]],",",""))+1,1),"")</f>
        <v/>
      </c>
      <c r="AM578" t="str">
        <f>IF(Tabela1[[#This Row],[14]]&lt;&gt;"",IF(ISNUMBER(FIND(",",Tabela1[[#This Row],[14]])),LEN(Tabela1[[#This Row],[14]])-LEN(SUBSTITUTE(Tabela1[[#This Row],[14]],",",""))+1,1),"")</f>
        <v/>
      </c>
      <c r="AN578" t="str">
        <f>IF(Tabela1[[#This Row],[15]]&lt;&gt;"",IF(ISNUMBER(FIND(",",Tabela1[[#This Row],[15]])),LEN(Tabela1[[#This Row],[15]])-LEN(SUBSTITUTE(Tabela1[[#This Row],[15]],",",""))+1,1),"")</f>
        <v/>
      </c>
      <c r="AO578" t="str">
        <f>IF(Tabela1[[#This Row],[16]]&lt;&gt;"",IF(ISNUMBER(FIND(",",Tabela1[[#This Row],[16]])),LEN(Tabela1[[#This Row],[16]])-LEN(SUBSTITUTE(Tabela1[[#This Row],[16]],",",""))+1,1),"")</f>
        <v/>
      </c>
      <c r="AP578" t="str">
        <f>IF(Tabela1[[#This Row],[17]]&lt;&gt;"",IF(ISNUMBER(FIND(",",Tabela1[[#This Row],[17]])),LEN(Tabela1[[#This Row],[17]])-LEN(SUBSTITUTE(Tabela1[[#This Row],[17]],",",""))+1,1),"")</f>
        <v/>
      </c>
      <c r="AQ578" t="str">
        <f>IF(Tabela1[[#This Row],[18]]&lt;&gt;"",IF(ISNUMBER(FIND(",",Tabela1[[#This Row],[18]])),LEN(Tabela1[[#This Row],[18]])-LEN(SUBSTITUTE(Tabela1[[#This Row],[18]],",",""))+1,1),"")</f>
        <v/>
      </c>
      <c r="AR578" s="13" t="str">
        <f>IF(Tabela1[[#This Row],[19_LENGTH]]&lt;&gt;"",IF(ISNUMBER(FIND(",",Tabela1[[#This Row],[19_LENGTH]])),LEN(Tabela1[[#This Row],[19_LENGTH]])-LEN(SUBSTITUTE(Tabela1[[#This Row],[19_LENGTH]],",",""))+1,1),"")</f>
        <v/>
      </c>
      <c r="AS578" s="21">
        <f>SUM(Tabela1[[#This Row],[1_]:[19_]])</f>
        <v>1</v>
      </c>
    </row>
    <row r="579" spans="1:45" x14ac:dyDescent="0.25">
      <c r="A579" s="27" t="s">
        <v>1328</v>
      </c>
      <c r="B579" s="19" t="s">
        <v>614</v>
      </c>
      <c r="C579" s="19">
        <v>102</v>
      </c>
      <c r="D579" s="19" t="s">
        <v>1302</v>
      </c>
      <c r="E579" s="20">
        <v>43543</v>
      </c>
      <c r="F579" s="19"/>
      <c r="G579" s="19"/>
      <c r="H579" s="19"/>
      <c r="I579" s="19"/>
      <c r="J579" s="19"/>
      <c r="K579" s="19"/>
      <c r="L579" s="19"/>
      <c r="M579" s="19"/>
      <c r="N579" s="19"/>
      <c r="O579" s="19" t="s">
        <v>223</v>
      </c>
      <c r="P579" s="19"/>
      <c r="Q579" s="19"/>
      <c r="R579" s="19"/>
      <c r="S579" s="19"/>
      <c r="T579" s="19"/>
      <c r="U579" s="19"/>
      <c r="V579" s="19"/>
      <c r="W579" s="19"/>
      <c r="X579" s="19"/>
      <c r="Y579" s="19"/>
      <c r="Z579" t="str">
        <f>IF(Tabela1[[#This Row],[1]]&lt;&gt;"",IF(ISNUMBER(FIND(",",Tabela1[[#This Row],[1]])),LEN(Tabela1[[#This Row],[1]])-LEN(SUBSTITUTE(Tabela1[[#This Row],[1]],",",""))+1,1),"")</f>
        <v/>
      </c>
      <c r="AA579" t="str">
        <f>IF(Tabela1[[#This Row],[2]]&lt;&gt;"",IF(ISNUMBER(FIND(",",Tabela1[[#This Row],[2]])),LEN(Tabela1[[#This Row],[2]])-LEN(SUBSTITUTE(Tabela1[[#This Row],[2]],",",""))+1,1),"")</f>
        <v/>
      </c>
      <c r="AB579" t="str">
        <f>IF(Tabela1[[#This Row],[3]]&lt;&gt;"",IF(ISNUMBER(FIND(",",Tabela1[[#This Row],[3]])),LEN(Tabela1[[#This Row],[3]])-LEN(SUBSTITUTE(Tabela1[[#This Row],[3]],",",""))+1,1),"")</f>
        <v/>
      </c>
      <c r="AC579" t="str">
        <f>IF(Tabela1[[#This Row],[4]]&lt;&gt;"",IF(ISNUMBER(FIND(",",Tabela1[[#This Row],[4]])),LEN(Tabela1[[#This Row],[4]])-LEN(SUBSTITUTE(Tabela1[[#This Row],[4]],",",""))+1,1),"")</f>
        <v/>
      </c>
      <c r="AD579" t="str">
        <f>IF(Tabela1[[#This Row],[5]]&lt;&gt;"",IF(ISNUMBER(FIND(",",Tabela1[[#This Row],[5]])),LEN(Tabela1[[#This Row],[5]])-LEN(SUBSTITUTE(Tabela1[[#This Row],[5]],",",""))+1,1),"")</f>
        <v/>
      </c>
      <c r="AE579" t="str">
        <f>IF(Tabela1[[#This Row],[6]]&lt;&gt;"",IF(ISNUMBER(FIND(",",Tabela1[[#This Row],[6]])),LEN(Tabela1[[#This Row],[6]])-LEN(SUBSTITUTE(Tabela1[[#This Row],[6]],",",""))+1,1),"")</f>
        <v/>
      </c>
      <c r="AF579" t="str">
        <f>IF(Tabela1[[#This Row],[7]]&lt;&gt;"",IF(ISNUMBER(FIND(",",Tabela1[[#This Row],[7]])),LEN(Tabela1[[#This Row],[7]])-LEN(SUBSTITUTE(Tabela1[[#This Row],[7]],",",""))+1,1),"")</f>
        <v/>
      </c>
      <c r="AG579" t="str">
        <f>IF(Tabela1[[#This Row],[8]]&lt;&gt;"",IF(ISNUMBER(FIND(",",Tabela1[[#This Row],[8]])),LEN(Tabela1[[#This Row],[8]])-LEN(SUBSTITUTE(Tabela1[[#This Row],[8]],",",""))+1,1),"")</f>
        <v/>
      </c>
      <c r="AH579" t="str">
        <f>IF(Tabela1[[#This Row],[9]]&lt;&gt;"",IF(ISNUMBER(FIND(",",Tabela1[[#This Row],[9]])),LEN(Tabela1[[#This Row],[9]])-LEN(SUBSTITUTE(Tabela1[[#This Row],[9]],",",""))+1,1),"")</f>
        <v/>
      </c>
      <c r="AI579">
        <f>IF(Tabela1[[#This Row],[10]]&lt;&gt;"",IF(ISNUMBER(FIND(",",Tabela1[[#This Row],[10]])),LEN(Tabela1[[#This Row],[10]])-LEN(SUBSTITUTE(Tabela1[[#This Row],[10]],",",""))+1,1),"")</f>
        <v>2</v>
      </c>
      <c r="AJ579" t="str">
        <f>IF(Tabela1[[#This Row],[11]]&lt;&gt;"",IF(ISNUMBER(FIND(",",Tabela1[[#This Row],[11]])),LEN(Tabela1[[#This Row],[11]])-LEN(SUBSTITUTE(Tabela1[[#This Row],[11]],",",""))+1,1),"")</f>
        <v/>
      </c>
      <c r="AK579" t="str">
        <f>IF(Tabela1[[#This Row],[12]]&lt;&gt;"",IF(ISNUMBER(FIND(",",Tabela1[[#This Row],[12]])),LEN(Tabela1[[#This Row],[12]])-LEN(SUBSTITUTE(Tabela1[[#This Row],[12]],",",""))+1,1),"")</f>
        <v/>
      </c>
      <c r="AL579" t="str">
        <f>IF(Tabela1[[#This Row],[13]]&lt;&gt;"",IF(ISNUMBER(FIND(",",Tabela1[[#This Row],[13]])),LEN(Tabela1[[#This Row],[13]])-LEN(SUBSTITUTE(Tabela1[[#This Row],[13]],",",""))+1,1),"")</f>
        <v/>
      </c>
      <c r="AM579" t="str">
        <f>IF(Tabela1[[#This Row],[14]]&lt;&gt;"",IF(ISNUMBER(FIND(",",Tabela1[[#This Row],[14]])),LEN(Tabela1[[#This Row],[14]])-LEN(SUBSTITUTE(Tabela1[[#This Row],[14]],",",""))+1,1),"")</f>
        <v/>
      </c>
      <c r="AN579" t="str">
        <f>IF(Tabela1[[#This Row],[15]]&lt;&gt;"",IF(ISNUMBER(FIND(",",Tabela1[[#This Row],[15]])),LEN(Tabela1[[#This Row],[15]])-LEN(SUBSTITUTE(Tabela1[[#This Row],[15]],",",""))+1,1),"")</f>
        <v/>
      </c>
      <c r="AO579" t="str">
        <f>IF(Tabela1[[#This Row],[16]]&lt;&gt;"",IF(ISNUMBER(FIND(",",Tabela1[[#This Row],[16]])),LEN(Tabela1[[#This Row],[16]])-LEN(SUBSTITUTE(Tabela1[[#This Row],[16]],",",""))+1,1),"")</f>
        <v/>
      </c>
      <c r="AP579" t="str">
        <f>IF(Tabela1[[#This Row],[17]]&lt;&gt;"",IF(ISNUMBER(FIND(",",Tabela1[[#This Row],[17]])),LEN(Tabela1[[#This Row],[17]])-LEN(SUBSTITUTE(Tabela1[[#This Row],[17]],",",""))+1,1),"")</f>
        <v/>
      </c>
      <c r="AQ579" t="str">
        <f>IF(Tabela1[[#This Row],[18]]&lt;&gt;"",IF(ISNUMBER(FIND(",",Tabela1[[#This Row],[18]])),LEN(Tabela1[[#This Row],[18]])-LEN(SUBSTITUTE(Tabela1[[#This Row],[18]],",",""))+1,1),"")</f>
        <v/>
      </c>
      <c r="AR579" s="13" t="str">
        <f>IF(Tabela1[[#This Row],[19_LENGTH]]&lt;&gt;"",IF(ISNUMBER(FIND(",",Tabela1[[#This Row],[19_LENGTH]])),LEN(Tabela1[[#This Row],[19_LENGTH]])-LEN(SUBSTITUTE(Tabela1[[#This Row],[19_LENGTH]],",",""))+1,1),"")</f>
        <v/>
      </c>
      <c r="AS579" s="21">
        <f>SUM(Tabela1[[#This Row],[1_]:[19_]])</f>
        <v>2</v>
      </c>
    </row>
    <row r="580" spans="1:45" x14ac:dyDescent="0.25">
      <c r="A580" s="27" t="s">
        <v>1329</v>
      </c>
      <c r="B580" s="19" t="s">
        <v>886</v>
      </c>
      <c r="C580" s="19">
        <v>102</v>
      </c>
      <c r="D580" s="19" t="s">
        <v>1311</v>
      </c>
      <c r="E580" s="20">
        <v>43543</v>
      </c>
      <c r="F580" s="19"/>
      <c r="G580" s="19"/>
      <c r="H580" s="19">
        <v>60</v>
      </c>
      <c r="I580" s="19"/>
      <c r="J580" s="19"/>
      <c r="K580" s="19"/>
      <c r="L580" s="19"/>
      <c r="M580" s="19"/>
      <c r="N580" s="19"/>
      <c r="O580" s="19"/>
      <c r="P580" s="19"/>
      <c r="Q580" s="19"/>
      <c r="R580" s="19"/>
      <c r="S580" s="19"/>
      <c r="T580" s="19"/>
      <c r="U580" s="19"/>
      <c r="V580" s="19"/>
      <c r="W580" s="19"/>
      <c r="X580" s="19"/>
      <c r="Y580" s="19"/>
      <c r="Z580" t="str">
        <f>IF(Tabela1[[#This Row],[1]]&lt;&gt;"",IF(ISNUMBER(FIND(",",Tabela1[[#This Row],[1]])),LEN(Tabela1[[#This Row],[1]])-LEN(SUBSTITUTE(Tabela1[[#This Row],[1]],",",""))+1,1),"")</f>
        <v/>
      </c>
      <c r="AA580" t="str">
        <f>IF(Tabela1[[#This Row],[2]]&lt;&gt;"",IF(ISNUMBER(FIND(",",Tabela1[[#This Row],[2]])),LEN(Tabela1[[#This Row],[2]])-LEN(SUBSTITUTE(Tabela1[[#This Row],[2]],",",""))+1,1),"")</f>
        <v/>
      </c>
      <c r="AB580">
        <f>IF(Tabela1[[#This Row],[3]]&lt;&gt;"",IF(ISNUMBER(FIND(",",Tabela1[[#This Row],[3]])),LEN(Tabela1[[#This Row],[3]])-LEN(SUBSTITUTE(Tabela1[[#This Row],[3]],",",""))+1,1),"")</f>
        <v>1</v>
      </c>
      <c r="AC580" t="str">
        <f>IF(Tabela1[[#This Row],[4]]&lt;&gt;"",IF(ISNUMBER(FIND(",",Tabela1[[#This Row],[4]])),LEN(Tabela1[[#This Row],[4]])-LEN(SUBSTITUTE(Tabela1[[#This Row],[4]],",",""))+1,1),"")</f>
        <v/>
      </c>
      <c r="AD580" t="str">
        <f>IF(Tabela1[[#This Row],[5]]&lt;&gt;"",IF(ISNUMBER(FIND(",",Tabela1[[#This Row],[5]])),LEN(Tabela1[[#This Row],[5]])-LEN(SUBSTITUTE(Tabela1[[#This Row],[5]],",",""))+1,1),"")</f>
        <v/>
      </c>
      <c r="AE580" t="str">
        <f>IF(Tabela1[[#This Row],[6]]&lt;&gt;"",IF(ISNUMBER(FIND(",",Tabela1[[#This Row],[6]])),LEN(Tabela1[[#This Row],[6]])-LEN(SUBSTITUTE(Tabela1[[#This Row],[6]],",",""))+1,1),"")</f>
        <v/>
      </c>
      <c r="AF580" t="str">
        <f>IF(Tabela1[[#This Row],[7]]&lt;&gt;"",IF(ISNUMBER(FIND(",",Tabela1[[#This Row],[7]])),LEN(Tabela1[[#This Row],[7]])-LEN(SUBSTITUTE(Tabela1[[#This Row],[7]],",",""))+1,1),"")</f>
        <v/>
      </c>
      <c r="AG580" t="str">
        <f>IF(Tabela1[[#This Row],[8]]&lt;&gt;"",IF(ISNUMBER(FIND(",",Tabela1[[#This Row],[8]])),LEN(Tabela1[[#This Row],[8]])-LEN(SUBSTITUTE(Tabela1[[#This Row],[8]],",",""))+1,1),"")</f>
        <v/>
      </c>
      <c r="AH580" t="str">
        <f>IF(Tabela1[[#This Row],[9]]&lt;&gt;"",IF(ISNUMBER(FIND(",",Tabela1[[#This Row],[9]])),LEN(Tabela1[[#This Row],[9]])-LEN(SUBSTITUTE(Tabela1[[#This Row],[9]],",",""))+1,1),"")</f>
        <v/>
      </c>
      <c r="AI580" t="str">
        <f>IF(Tabela1[[#This Row],[10]]&lt;&gt;"",IF(ISNUMBER(FIND(",",Tabela1[[#This Row],[10]])),LEN(Tabela1[[#This Row],[10]])-LEN(SUBSTITUTE(Tabela1[[#This Row],[10]],",",""))+1,1),"")</f>
        <v/>
      </c>
      <c r="AJ580" t="str">
        <f>IF(Tabela1[[#This Row],[11]]&lt;&gt;"",IF(ISNUMBER(FIND(",",Tabela1[[#This Row],[11]])),LEN(Tabela1[[#This Row],[11]])-LEN(SUBSTITUTE(Tabela1[[#This Row],[11]],",",""))+1,1),"")</f>
        <v/>
      </c>
      <c r="AK580" t="str">
        <f>IF(Tabela1[[#This Row],[12]]&lt;&gt;"",IF(ISNUMBER(FIND(",",Tabela1[[#This Row],[12]])),LEN(Tabela1[[#This Row],[12]])-LEN(SUBSTITUTE(Tabela1[[#This Row],[12]],",",""))+1,1),"")</f>
        <v/>
      </c>
      <c r="AL580" t="str">
        <f>IF(Tabela1[[#This Row],[13]]&lt;&gt;"",IF(ISNUMBER(FIND(",",Tabela1[[#This Row],[13]])),LEN(Tabela1[[#This Row],[13]])-LEN(SUBSTITUTE(Tabela1[[#This Row],[13]],",",""))+1,1),"")</f>
        <v/>
      </c>
      <c r="AM580" t="str">
        <f>IF(Tabela1[[#This Row],[14]]&lt;&gt;"",IF(ISNUMBER(FIND(",",Tabela1[[#This Row],[14]])),LEN(Tabela1[[#This Row],[14]])-LEN(SUBSTITUTE(Tabela1[[#This Row],[14]],",",""))+1,1),"")</f>
        <v/>
      </c>
      <c r="AN580" t="str">
        <f>IF(Tabela1[[#This Row],[15]]&lt;&gt;"",IF(ISNUMBER(FIND(",",Tabela1[[#This Row],[15]])),LEN(Tabela1[[#This Row],[15]])-LEN(SUBSTITUTE(Tabela1[[#This Row],[15]],",",""))+1,1),"")</f>
        <v/>
      </c>
      <c r="AO580" t="str">
        <f>IF(Tabela1[[#This Row],[16]]&lt;&gt;"",IF(ISNUMBER(FIND(",",Tabela1[[#This Row],[16]])),LEN(Tabela1[[#This Row],[16]])-LEN(SUBSTITUTE(Tabela1[[#This Row],[16]],",",""))+1,1),"")</f>
        <v/>
      </c>
      <c r="AP580" t="str">
        <f>IF(Tabela1[[#This Row],[17]]&lt;&gt;"",IF(ISNUMBER(FIND(",",Tabela1[[#This Row],[17]])),LEN(Tabela1[[#This Row],[17]])-LEN(SUBSTITUTE(Tabela1[[#This Row],[17]],",",""))+1,1),"")</f>
        <v/>
      </c>
      <c r="AQ580" t="str">
        <f>IF(Tabela1[[#This Row],[18]]&lt;&gt;"",IF(ISNUMBER(FIND(",",Tabela1[[#This Row],[18]])),LEN(Tabela1[[#This Row],[18]])-LEN(SUBSTITUTE(Tabela1[[#This Row],[18]],",",""))+1,1),"")</f>
        <v/>
      </c>
      <c r="AR580" s="13" t="str">
        <f>IF(Tabela1[[#This Row],[19_LENGTH]]&lt;&gt;"",IF(ISNUMBER(FIND(",",Tabela1[[#This Row],[19_LENGTH]])),LEN(Tabela1[[#This Row],[19_LENGTH]])-LEN(SUBSTITUTE(Tabela1[[#This Row],[19_LENGTH]],",",""))+1,1),"")</f>
        <v/>
      </c>
      <c r="AS580" s="21">
        <f>SUM(Tabela1[[#This Row],[1_]:[19_]])</f>
        <v>1</v>
      </c>
    </row>
    <row r="581" spans="1:45" x14ac:dyDescent="0.25">
      <c r="A581" s="27" t="s">
        <v>1329</v>
      </c>
      <c r="B581" s="19" t="s">
        <v>887</v>
      </c>
      <c r="C581" s="19">
        <v>102</v>
      </c>
      <c r="D581" s="19" t="s">
        <v>1311</v>
      </c>
      <c r="E581" s="20">
        <v>43543</v>
      </c>
      <c r="F581" s="19"/>
      <c r="G581" s="19"/>
      <c r="H581" s="19">
        <v>14</v>
      </c>
      <c r="I581" s="19"/>
      <c r="J581" s="19"/>
      <c r="K581" s="19"/>
      <c r="L581" s="19"/>
      <c r="M581" s="19"/>
      <c r="N581" s="19"/>
      <c r="O581" s="19"/>
      <c r="P581" s="19"/>
      <c r="Q581" s="19"/>
      <c r="R581" s="19"/>
      <c r="S581" s="19"/>
      <c r="T581" s="19"/>
      <c r="U581" s="19"/>
      <c r="V581" s="19"/>
      <c r="W581" s="19"/>
      <c r="X581" s="19"/>
      <c r="Y581" s="19"/>
      <c r="Z581" t="str">
        <f>IF(Tabela1[[#This Row],[1]]&lt;&gt;"",IF(ISNUMBER(FIND(",",Tabela1[[#This Row],[1]])),LEN(Tabela1[[#This Row],[1]])-LEN(SUBSTITUTE(Tabela1[[#This Row],[1]],",",""))+1,1),"")</f>
        <v/>
      </c>
      <c r="AA581" t="str">
        <f>IF(Tabela1[[#This Row],[2]]&lt;&gt;"",IF(ISNUMBER(FIND(",",Tabela1[[#This Row],[2]])),LEN(Tabela1[[#This Row],[2]])-LEN(SUBSTITUTE(Tabela1[[#This Row],[2]],",",""))+1,1),"")</f>
        <v/>
      </c>
      <c r="AB581">
        <f>IF(Tabela1[[#This Row],[3]]&lt;&gt;"",IF(ISNUMBER(FIND(",",Tabela1[[#This Row],[3]])),LEN(Tabela1[[#This Row],[3]])-LEN(SUBSTITUTE(Tabela1[[#This Row],[3]],",",""))+1,1),"")</f>
        <v>1</v>
      </c>
      <c r="AC581" t="str">
        <f>IF(Tabela1[[#This Row],[4]]&lt;&gt;"",IF(ISNUMBER(FIND(",",Tabela1[[#This Row],[4]])),LEN(Tabela1[[#This Row],[4]])-LEN(SUBSTITUTE(Tabela1[[#This Row],[4]],",",""))+1,1),"")</f>
        <v/>
      </c>
      <c r="AD581" t="str">
        <f>IF(Tabela1[[#This Row],[5]]&lt;&gt;"",IF(ISNUMBER(FIND(",",Tabela1[[#This Row],[5]])),LEN(Tabela1[[#This Row],[5]])-LEN(SUBSTITUTE(Tabela1[[#This Row],[5]],",",""))+1,1),"")</f>
        <v/>
      </c>
      <c r="AE581" t="str">
        <f>IF(Tabela1[[#This Row],[6]]&lt;&gt;"",IF(ISNUMBER(FIND(",",Tabela1[[#This Row],[6]])),LEN(Tabela1[[#This Row],[6]])-LEN(SUBSTITUTE(Tabela1[[#This Row],[6]],",",""))+1,1),"")</f>
        <v/>
      </c>
      <c r="AF581" t="str">
        <f>IF(Tabela1[[#This Row],[7]]&lt;&gt;"",IF(ISNUMBER(FIND(",",Tabela1[[#This Row],[7]])),LEN(Tabela1[[#This Row],[7]])-LEN(SUBSTITUTE(Tabela1[[#This Row],[7]],",",""))+1,1),"")</f>
        <v/>
      </c>
      <c r="AG581" t="str">
        <f>IF(Tabela1[[#This Row],[8]]&lt;&gt;"",IF(ISNUMBER(FIND(",",Tabela1[[#This Row],[8]])),LEN(Tabela1[[#This Row],[8]])-LEN(SUBSTITUTE(Tabela1[[#This Row],[8]],",",""))+1,1),"")</f>
        <v/>
      </c>
      <c r="AH581" t="str">
        <f>IF(Tabela1[[#This Row],[9]]&lt;&gt;"",IF(ISNUMBER(FIND(",",Tabela1[[#This Row],[9]])),LEN(Tabela1[[#This Row],[9]])-LEN(SUBSTITUTE(Tabela1[[#This Row],[9]],",",""))+1,1),"")</f>
        <v/>
      </c>
      <c r="AI581" t="str">
        <f>IF(Tabela1[[#This Row],[10]]&lt;&gt;"",IF(ISNUMBER(FIND(",",Tabela1[[#This Row],[10]])),LEN(Tabela1[[#This Row],[10]])-LEN(SUBSTITUTE(Tabela1[[#This Row],[10]],",",""))+1,1),"")</f>
        <v/>
      </c>
      <c r="AJ581" t="str">
        <f>IF(Tabela1[[#This Row],[11]]&lt;&gt;"",IF(ISNUMBER(FIND(",",Tabela1[[#This Row],[11]])),LEN(Tabela1[[#This Row],[11]])-LEN(SUBSTITUTE(Tabela1[[#This Row],[11]],",",""))+1,1),"")</f>
        <v/>
      </c>
      <c r="AK581" t="str">
        <f>IF(Tabela1[[#This Row],[12]]&lt;&gt;"",IF(ISNUMBER(FIND(",",Tabela1[[#This Row],[12]])),LEN(Tabela1[[#This Row],[12]])-LEN(SUBSTITUTE(Tabela1[[#This Row],[12]],",",""))+1,1),"")</f>
        <v/>
      </c>
      <c r="AL581" t="str">
        <f>IF(Tabela1[[#This Row],[13]]&lt;&gt;"",IF(ISNUMBER(FIND(",",Tabela1[[#This Row],[13]])),LEN(Tabela1[[#This Row],[13]])-LEN(SUBSTITUTE(Tabela1[[#This Row],[13]],",",""))+1,1),"")</f>
        <v/>
      </c>
      <c r="AM581" t="str">
        <f>IF(Tabela1[[#This Row],[14]]&lt;&gt;"",IF(ISNUMBER(FIND(",",Tabela1[[#This Row],[14]])),LEN(Tabela1[[#This Row],[14]])-LEN(SUBSTITUTE(Tabela1[[#This Row],[14]],",",""))+1,1),"")</f>
        <v/>
      </c>
      <c r="AN581" t="str">
        <f>IF(Tabela1[[#This Row],[15]]&lt;&gt;"",IF(ISNUMBER(FIND(",",Tabela1[[#This Row],[15]])),LEN(Tabela1[[#This Row],[15]])-LEN(SUBSTITUTE(Tabela1[[#This Row],[15]],",",""))+1,1),"")</f>
        <v/>
      </c>
      <c r="AO581" t="str">
        <f>IF(Tabela1[[#This Row],[16]]&lt;&gt;"",IF(ISNUMBER(FIND(",",Tabela1[[#This Row],[16]])),LEN(Tabela1[[#This Row],[16]])-LEN(SUBSTITUTE(Tabela1[[#This Row],[16]],",",""))+1,1),"")</f>
        <v/>
      </c>
      <c r="AP581" t="str">
        <f>IF(Tabela1[[#This Row],[17]]&lt;&gt;"",IF(ISNUMBER(FIND(",",Tabela1[[#This Row],[17]])),LEN(Tabela1[[#This Row],[17]])-LEN(SUBSTITUTE(Tabela1[[#This Row],[17]],",",""))+1,1),"")</f>
        <v/>
      </c>
      <c r="AQ581" t="str">
        <f>IF(Tabela1[[#This Row],[18]]&lt;&gt;"",IF(ISNUMBER(FIND(",",Tabela1[[#This Row],[18]])),LEN(Tabela1[[#This Row],[18]])-LEN(SUBSTITUTE(Tabela1[[#This Row],[18]],",",""))+1,1),"")</f>
        <v/>
      </c>
      <c r="AR581" s="13" t="str">
        <f>IF(Tabela1[[#This Row],[19_LENGTH]]&lt;&gt;"",IF(ISNUMBER(FIND(",",Tabela1[[#This Row],[19_LENGTH]])),LEN(Tabela1[[#This Row],[19_LENGTH]])-LEN(SUBSTITUTE(Tabela1[[#This Row],[19_LENGTH]],",",""))+1,1),"")</f>
        <v/>
      </c>
      <c r="AS581" s="21">
        <f>SUM(Tabela1[[#This Row],[1_]:[19_]])</f>
        <v>1</v>
      </c>
    </row>
    <row r="582" spans="1:45" x14ac:dyDescent="0.25">
      <c r="A582" s="27" t="s">
        <v>1329</v>
      </c>
      <c r="B582" s="19" t="s">
        <v>888</v>
      </c>
      <c r="C582" s="19">
        <v>102</v>
      </c>
      <c r="D582" s="19" t="s">
        <v>1311</v>
      </c>
      <c r="E582" s="20">
        <v>43543</v>
      </c>
      <c r="F582" s="19"/>
      <c r="G582" s="19">
        <v>13</v>
      </c>
      <c r="H582" s="19"/>
      <c r="I582" s="19"/>
      <c r="J582" s="19"/>
      <c r="K582" s="19"/>
      <c r="L582" s="19"/>
      <c r="M582" s="19"/>
      <c r="N582" s="19"/>
      <c r="O582" s="19"/>
      <c r="P582" s="19"/>
      <c r="Q582" s="19"/>
      <c r="R582" s="19"/>
      <c r="S582" s="19"/>
      <c r="T582" s="19"/>
      <c r="U582" s="19"/>
      <c r="V582" s="19"/>
      <c r="W582" s="19"/>
      <c r="X582" s="19"/>
      <c r="Y582" s="19"/>
      <c r="Z582" t="str">
        <f>IF(Tabela1[[#This Row],[1]]&lt;&gt;"",IF(ISNUMBER(FIND(",",Tabela1[[#This Row],[1]])),LEN(Tabela1[[#This Row],[1]])-LEN(SUBSTITUTE(Tabela1[[#This Row],[1]],",",""))+1,1),"")</f>
        <v/>
      </c>
      <c r="AA582">
        <f>IF(Tabela1[[#This Row],[2]]&lt;&gt;"",IF(ISNUMBER(FIND(",",Tabela1[[#This Row],[2]])),LEN(Tabela1[[#This Row],[2]])-LEN(SUBSTITUTE(Tabela1[[#This Row],[2]],",",""))+1,1),"")</f>
        <v>1</v>
      </c>
      <c r="AB582" t="str">
        <f>IF(Tabela1[[#This Row],[3]]&lt;&gt;"",IF(ISNUMBER(FIND(",",Tabela1[[#This Row],[3]])),LEN(Tabela1[[#This Row],[3]])-LEN(SUBSTITUTE(Tabela1[[#This Row],[3]],",",""))+1,1),"")</f>
        <v/>
      </c>
      <c r="AC582" t="str">
        <f>IF(Tabela1[[#This Row],[4]]&lt;&gt;"",IF(ISNUMBER(FIND(",",Tabela1[[#This Row],[4]])),LEN(Tabela1[[#This Row],[4]])-LEN(SUBSTITUTE(Tabela1[[#This Row],[4]],",",""))+1,1),"")</f>
        <v/>
      </c>
      <c r="AD582" t="str">
        <f>IF(Tabela1[[#This Row],[5]]&lt;&gt;"",IF(ISNUMBER(FIND(",",Tabela1[[#This Row],[5]])),LEN(Tabela1[[#This Row],[5]])-LEN(SUBSTITUTE(Tabela1[[#This Row],[5]],",",""))+1,1),"")</f>
        <v/>
      </c>
      <c r="AE582" t="str">
        <f>IF(Tabela1[[#This Row],[6]]&lt;&gt;"",IF(ISNUMBER(FIND(",",Tabela1[[#This Row],[6]])),LEN(Tabela1[[#This Row],[6]])-LEN(SUBSTITUTE(Tabela1[[#This Row],[6]],",",""))+1,1),"")</f>
        <v/>
      </c>
      <c r="AF582" t="str">
        <f>IF(Tabela1[[#This Row],[7]]&lt;&gt;"",IF(ISNUMBER(FIND(",",Tabela1[[#This Row],[7]])),LEN(Tabela1[[#This Row],[7]])-LEN(SUBSTITUTE(Tabela1[[#This Row],[7]],",",""))+1,1),"")</f>
        <v/>
      </c>
      <c r="AG582" t="str">
        <f>IF(Tabela1[[#This Row],[8]]&lt;&gt;"",IF(ISNUMBER(FIND(",",Tabela1[[#This Row],[8]])),LEN(Tabela1[[#This Row],[8]])-LEN(SUBSTITUTE(Tabela1[[#This Row],[8]],",",""))+1,1),"")</f>
        <v/>
      </c>
      <c r="AH582" t="str">
        <f>IF(Tabela1[[#This Row],[9]]&lt;&gt;"",IF(ISNUMBER(FIND(",",Tabela1[[#This Row],[9]])),LEN(Tabela1[[#This Row],[9]])-LEN(SUBSTITUTE(Tabela1[[#This Row],[9]],",",""))+1,1),"")</f>
        <v/>
      </c>
      <c r="AI582" t="str">
        <f>IF(Tabela1[[#This Row],[10]]&lt;&gt;"",IF(ISNUMBER(FIND(",",Tabela1[[#This Row],[10]])),LEN(Tabela1[[#This Row],[10]])-LEN(SUBSTITUTE(Tabela1[[#This Row],[10]],",",""))+1,1),"")</f>
        <v/>
      </c>
      <c r="AJ582" t="str">
        <f>IF(Tabela1[[#This Row],[11]]&lt;&gt;"",IF(ISNUMBER(FIND(",",Tabela1[[#This Row],[11]])),LEN(Tabela1[[#This Row],[11]])-LEN(SUBSTITUTE(Tabela1[[#This Row],[11]],",",""))+1,1),"")</f>
        <v/>
      </c>
      <c r="AK582" t="str">
        <f>IF(Tabela1[[#This Row],[12]]&lt;&gt;"",IF(ISNUMBER(FIND(",",Tabela1[[#This Row],[12]])),LEN(Tabela1[[#This Row],[12]])-LEN(SUBSTITUTE(Tabela1[[#This Row],[12]],",",""))+1,1),"")</f>
        <v/>
      </c>
      <c r="AL582" t="str">
        <f>IF(Tabela1[[#This Row],[13]]&lt;&gt;"",IF(ISNUMBER(FIND(",",Tabela1[[#This Row],[13]])),LEN(Tabela1[[#This Row],[13]])-LEN(SUBSTITUTE(Tabela1[[#This Row],[13]],",",""))+1,1),"")</f>
        <v/>
      </c>
      <c r="AM582" t="str">
        <f>IF(Tabela1[[#This Row],[14]]&lt;&gt;"",IF(ISNUMBER(FIND(",",Tabela1[[#This Row],[14]])),LEN(Tabela1[[#This Row],[14]])-LEN(SUBSTITUTE(Tabela1[[#This Row],[14]],",",""))+1,1),"")</f>
        <v/>
      </c>
      <c r="AN582" t="str">
        <f>IF(Tabela1[[#This Row],[15]]&lt;&gt;"",IF(ISNUMBER(FIND(",",Tabela1[[#This Row],[15]])),LEN(Tabela1[[#This Row],[15]])-LEN(SUBSTITUTE(Tabela1[[#This Row],[15]],",",""))+1,1),"")</f>
        <v/>
      </c>
      <c r="AO582" t="str">
        <f>IF(Tabela1[[#This Row],[16]]&lt;&gt;"",IF(ISNUMBER(FIND(",",Tabela1[[#This Row],[16]])),LEN(Tabela1[[#This Row],[16]])-LEN(SUBSTITUTE(Tabela1[[#This Row],[16]],",",""))+1,1),"")</f>
        <v/>
      </c>
      <c r="AP582" t="str">
        <f>IF(Tabela1[[#This Row],[17]]&lt;&gt;"",IF(ISNUMBER(FIND(",",Tabela1[[#This Row],[17]])),LEN(Tabela1[[#This Row],[17]])-LEN(SUBSTITUTE(Tabela1[[#This Row],[17]],",",""))+1,1),"")</f>
        <v/>
      </c>
      <c r="AQ582" t="str">
        <f>IF(Tabela1[[#This Row],[18]]&lt;&gt;"",IF(ISNUMBER(FIND(",",Tabela1[[#This Row],[18]])),LEN(Tabela1[[#This Row],[18]])-LEN(SUBSTITUTE(Tabela1[[#This Row],[18]],",",""))+1,1),"")</f>
        <v/>
      </c>
      <c r="AR582" s="13" t="str">
        <f>IF(Tabela1[[#This Row],[19_LENGTH]]&lt;&gt;"",IF(ISNUMBER(FIND(",",Tabela1[[#This Row],[19_LENGTH]])),LEN(Tabela1[[#This Row],[19_LENGTH]])-LEN(SUBSTITUTE(Tabela1[[#This Row],[19_LENGTH]],",",""))+1,1),"")</f>
        <v/>
      </c>
      <c r="AS582" s="21">
        <f>SUM(Tabela1[[#This Row],[1_]:[19_]])</f>
        <v>1</v>
      </c>
    </row>
    <row r="583" spans="1:45" x14ac:dyDescent="0.25">
      <c r="A583" s="27" t="s">
        <v>1328</v>
      </c>
      <c r="B583" s="19" t="s">
        <v>889</v>
      </c>
      <c r="C583" s="19">
        <v>88</v>
      </c>
      <c r="D583" s="19" t="s">
        <v>1300</v>
      </c>
      <c r="E583" s="20">
        <v>43543</v>
      </c>
      <c r="F583" s="19"/>
      <c r="G583" s="19"/>
      <c r="H583" s="19">
        <v>50</v>
      </c>
      <c r="I583" s="19"/>
      <c r="J583" s="19"/>
      <c r="K583" s="19"/>
      <c r="L583" s="19"/>
      <c r="M583" s="19"/>
      <c r="N583" s="19"/>
      <c r="O583" s="19"/>
      <c r="P583" s="19"/>
      <c r="Q583" s="19"/>
      <c r="R583" s="19"/>
      <c r="S583" s="19"/>
      <c r="T583" s="19"/>
      <c r="U583" s="19"/>
      <c r="V583" s="19"/>
      <c r="W583" s="19"/>
      <c r="X583" s="19"/>
      <c r="Y583" s="19"/>
      <c r="Z583" t="str">
        <f>IF(Tabela1[[#This Row],[1]]&lt;&gt;"",IF(ISNUMBER(FIND(",",Tabela1[[#This Row],[1]])),LEN(Tabela1[[#This Row],[1]])-LEN(SUBSTITUTE(Tabela1[[#This Row],[1]],",",""))+1,1),"")</f>
        <v/>
      </c>
      <c r="AA583" t="str">
        <f>IF(Tabela1[[#This Row],[2]]&lt;&gt;"",IF(ISNUMBER(FIND(",",Tabela1[[#This Row],[2]])),LEN(Tabela1[[#This Row],[2]])-LEN(SUBSTITUTE(Tabela1[[#This Row],[2]],",",""))+1,1),"")</f>
        <v/>
      </c>
      <c r="AB583">
        <f>IF(Tabela1[[#This Row],[3]]&lt;&gt;"",IF(ISNUMBER(FIND(",",Tabela1[[#This Row],[3]])),LEN(Tabela1[[#This Row],[3]])-LEN(SUBSTITUTE(Tabela1[[#This Row],[3]],",",""))+1,1),"")</f>
        <v>1</v>
      </c>
      <c r="AC583" t="str">
        <f>IF(Tabela1[[#This Row],[4]]&lt;&gt;"",IF(ISNUMBER(FIND(",",Tabela1[[#This Row],[4]])),LEN(Tabela1[[#This Row],[4]])-LEN(SUBSTITUTE(Tabela1[[#This Row],[4]],",",""))+1,1),"")</f>
        <v/>
      </c>
      <c r="AD583" t="str">
        <f>IF(Tabela1[[#This Row],[5]]&lt;&gt;"",IF(ISNUMBER(FIND(",",Tabela1[[#This Row],[5]])),LEN(Tabela1[[#This Row],[5]])-LEN(SUBSTITUTE(Tabela1[[#This Row],[5]],",",""))+1,1),"")</f>
        <v/>
      </c>
      <c r="AE583" t="str">
        <f>IF(Tabela1[[#This Row],[6]]&lt;&gt;"",IF(ISNUMBER(FIND(",",Tabela1[[#This Row],[6]])),LEN(Tabela1[[#This Row],[6]])-LEN(SUBSTITUTE(Tabela1[[#This Row],[6]],",",""))+1,1),"")</f>
        <v/>
      </c>
      <c r="AF583" t="str">
        <f>IF(Tabela1[[#This Row],[7]]&lt;&gt;"",IF(ISNUMBER(FIND(",",Tabela1[[#This Row],[7]])),LEN(Tabela1[[#This Row],[7]])-LEN(SUBSTITUTE(Tabela1[[#This Row],[7]],",",""))+1,1),"")</f>
        <v/>
      </c>
      <c r="AG583" t="str">
        <f>IF(Tabela1[[#This Row],[8]]&lt;&gt;"",IF(ISNUMBER(FIND(",",Tabela1[[#This Row],[8]])),LEN(Tabela1[[#This Row],[8]])-LEN(SUBSTITUTE(Tabela1[[#This Row],[8]],",",""))+1,1),"")</f>
        <v/>
      </c>
      <c r="AH583" t="str">
        <f>IF(Tabela1[[#This Row],[9]]&lt;&gt;"",IF(ISNUMBER(FIND(",",Tabela1[[#This Row],[9]])),LEN(Tabela1[[#This Row],[9]])-LEN(SUBSTITUTE(Tabela1[[#This Row],[9]],",",""))+1,1),"")</f>
        <v/>
      </c>
      <c r="AI583" t="str">
        <f>IF(Tabela1[[#This Row],[10]]&lt;&gt;"",IF(ISNUMBER(FIND(",",Tabela1[[#This Row],[10]])),LEN(Tabela1[[#This Row],[10]])-LEN(SUBSTITUTE(Tabela1[[#This Row],[10]],",",""))+1,1),"")</f>
        <v/>
      </c>
      <c r="AJ583" t="str">
        <f>IF(Tabela1[[#This Row],[11]]&lt;&gt;"",IF(ISNUMBER(FIND(",",Tabela1[[#This Row],[11]])),LEN(Tabela1[[#This Row],[11]])-LEN(SUBSTITUTE(Tabela1[[#This Row],[11]],",",""))+1,1),"")</f>
        <v/>
      </c>
      <c r="AK583" t="str">
        <f>IF(Tabela1[[#This Row],[12]]&lt;&gt;"",IF(ISNUMBER(FIND(",",Tabela1[[#This Row],[12]])),LEN(Tabela1[[#This Row],[12]])-LEN(SUBSTITUTE(Tabela1[[#This Row],[12]],",",""))+1,1),"")</f>
        <v/>
      </c>
      <c r="AL583" t="str">
        <f>IF(Tabela1[[#This Row],[13]]&lt;&gt;"",IF(ISNUMBER(FIND(",",Tabela1[[#This Row],[13]])),LEN(Tabela1[[#This Row],[13]])-LEN(SUBSTITUTE(Tabela1[[#This Row],[13]],",",""))+1,1),"")</f>
        <v/>
      </c>
      <c r="AM583" t="str">
        <f>IF(Tabela1[[#This Row],[14]]&lt;&gt;"",IF(ISNUMBER(FIND(",",Tabela1[[#This Row],[14]])),LEN(Tabela1[[#This Row],[14]])-LEN(SUBSTITUTE(Tabela1[[#This Row],[14]],",",""))+1,1),"")</f>
        <v/>
      </c>
      <c r="AN583" t="str">
        <f>IF(Tabela1[[#This Row],[15]]&lt;&gt;"",IF(ISNUMBER(FIND(",",Tabela1[[#This Row],[15]])),LEN(Tabela1[[#This Row],[15]])-LEN(SUBSTITUTE(Tabela1[[#This Row],[15]],",",""))+1,1),"")</f>
        <v/>
      </c>
      <c r="AO583" t="str">
        <f>IF(Tabela1[[#This Row],[16]]&lt;&gt;"",IF(ISNUMBER(FIND(",",Tabela1[[#This Row],[16]])),LEN(Tabela1[[#This Row],[16]])-LEN(SUBSTITUTE(Tabela1[[#This Row],[16]],",",""))+1,1),"")</f>
        <v/>
      </c>
      <c r="AP583" t="str">
        <f>IF(Tabela1[[#This Row],[17]]&lt;&gt;"",IF(ISNUMBER(FIND(",",Tabela1[[#This Row],[17]])),LEN(Tabela1[[#This Row],[17]])-LEN(SUBSTITUTE(Tabela1[[#This Row],[17]],",",""))+1,1),"")</f>
        <v/>
      </c>
      <c r="AQ583" t="str">
        <f>IF(Tabela1[[#This Row],[18]]&lt;&gt;"",IF(ISNUMBER(FIND(",",Tabela1[[#This Row],[18]])),LEN(Tabela1[[#This Row],[18]])-LEN(SUBSTITUTE(Tabela1[[#This Row],[18]],",",""))+1,1),"")</f>
        <v/>
      </c>
      <c r="AR583" s="13" t="str">
        <f>IF(Tabela1[[#This Row],[19_LENGTH]]&lt;&gt;"",IF(ISNUMBER(FIND(",",Tabela1[[#This Row],[19_LENGTH]])),LEN(Tabela1[[#This Row],[19_LENGTH]])-LEN(SUBSTITUTE(Tabela1[[#This Row],[19_LENGTH]],",",""))+1,1),"")</f>
        <v/>
      </c>
      <c r="AS583" s="21">
        <f>SUM(Tabela1[[#This Row],[1_]:[19_]])</f>
        <v>1</v>
      </c>
    </row>
    <row r="584" spans="1:45" x14ac:dyDescent="0.25">
      <c r="A584" s="27" t="s">
        <v>1327</v>
      </c>
      <c r="B584" s="19" t="s">
        <v>615</v>
      </c>
      <c r="C584" s="19">
        <v>91</v>
      </c>
      <c r="D584" s="19" t="s">
        <v>1298</v>
      </c>
      <c r="E584" s="20">
        <v>43545</v>
      </c>
      <c r="F584" s="19"/>
      <c r="G584" s="19">
        <v>81</v>
      </c>
      <c r="H584" s="19"/>
      <c r="I584" s="19"/>
      <c r="J584" s="19"/>
      <c r="K584" s="19"/>
      <c r="L584" s="19"/>
      <c r="M584" s="19"/>
      <c r="N584" s="19"/>
      <c r="O584" s="19"/>
      <c r="P584" s="19"/>
      <c r="Q584" s="19"/>
      <c r="R584" s="19"/>
      <c r="S584" s="19"/>
      <c r="T584" s="19"/>
      <c r="U584" s="19"/>
      <c r="V584" s="19"/>
      <c r="W584" s="19"/>
      <c r="X584" s="19"/>
      <c r="Y584" s="19"/>
      <c r="Z584" t="str">
        <f>IF(Tabela1[[#This Row],[1]]&lt;&gt;"",IF(ISNUMBER(FIND(",",Tabela1[[#This Row],[1]])),LEN(Tabela1[[#This Row],[1]])-LEN(SUBSTITUTE(Tabela1[[#This Row],[1]],",",""))+1,1),"")</f>
        <v/>
      </c>
      <c r="AA584">
        <f>IF(Tabela1[[#This Row],[2]]&lt;&gt;"",IF(ISNUMBER(FIND(",",Tabela1[[#This Row],[2]])),LEN(Tabela1[[#This Row],[2]])-LEN(SUBSTITUTE(Tabela1[[#This Row],[2]],",",""))+1,1),"")</f>
        <v>1</v>
      </c>
      <c r="AB584" t="str">
        <f>IF(Tabela1[[#This Row],[3]]&lt;&gt;"",IF(ISNUMBER(FIND(",",Tabela1[[#This Row],[3]])),LEN(Tabela1[[#This Row],[3]])-LEN(SUBSTITUTE(Tabela1[[#This Row],[3]],",",""))+1,1),"")</f>
        <v/>
      </c>
      <c r="AC584" t="str">
        <f>IF(Tabela1[[#This Row],[4]]&lt;&gt;"",IF(ISNUMBER(FIND(",",Tabela1[[#This Row],[4]])),LEN(Tabela1[[#This Row],[4]])-LEN(SUBSTITUTE(Tabela1[[#This Row],[4]],",",""))+1,1),"")</f>
        <v/>
      </c>
      <c r="AD584" t="str">
        <f>IF(Tabela1[[#This Row],[5]]&lt;&gt;"",IF(ISNUMBER(FIND(",",Tabela1[[#This Row],[5]])),LEN(Tabela1[[#This Row],[5]])-LEN(SUBSTITUTE(Tabela1[[#This Row],[5]],",",""))+1,1),"")</f>
        <v/>
      </c>
      <c r="AE584" t="str">
        <f>IF(Tabela1[[#This Row],[6]]&lt;&gt;"",IF(ISNUMBER(FIND(",",Tabela1[[#This Row],[6]])),LEN(Tabela1[[#This Row],[6]])-LEN(SUBSTITUTE(Tabela1[[#This Row],[6]],",",""))+1,1),"")</f>
        <v/>
      </c>
      <c r="AF584" t="str">
        <f>IF(Tabela1[[#This Row],[7]]&lt;&gt;"",IF(ISNUMBER(FIND(",",Tabela1[[#This Row],[7]])),LEN(Tabela1[[#This Row],[7]])-LEN(SUBSTITUTE(Tabela1[[#This Row],[7]],",",""))+1,1),"")</f>
        <v/>
      </c>
      <c r="AG584" t="str">
        <f>IF(Tabela1[[#This Row],[8]]&lt;&gt;"",IF(ISNUMBER(FIND(",",Tabela1[[#This Row],[8]])),LEN(Tabela1[[#This Row],[8]])-LEN(SUBSTITUTE(Tabela1[[#This Row],[8]],",",""))+1,1),"")</f>
        <v/>
      </c>
      <c r="AH584" t="str">
        <f>IF(Tabela1[[#This Row],[9]]&lt;&gt;"",IF(ISNUMBER(FIND(",",Tabela1[[#This Row],[9]])),LEN(Tabela1[[#This Row],[9]])-LEN(SUBSTITUTE(Tabela1[[#This Row],[9]],",",""))+1,1),"")</f>
        <v/>
      </c>
      <c r="AI584" t="str">
        <f>IF(Tabela1[[#This Row],[10]]&lt;&gt;"",IF(ISNUMBER(FIND(",",Tabela1[[#This Row],[10]])),LEN(Tabela1[[#This Row],[10]])-LEN(SUBSTITUTE(Tabela1[[#This Row],[10]],",",""))+1,1),"")</f>
        <v/>
      </c>
      <c r="AJ584" t="str">
        <f>IF(Tabela1[[#This Row],[11]]&lt;&gt;"",IF(ISNUMBER(FIND(",",Tabela1[[#This Row],[11]])),LEN(Tabela1[[#This Row],[11]])-LEN(SUBSTITUTE(Tabela1[[#This Row],[11]],",",""))+1,1),"")</f>
        <v/>
      </c>
      <c r="AK584" t="str">
        <f>IF(Tabela1[[#This Row],[12]]&lt;&gt;"",IF(ISNUMBER(FIND(",",Tabela1[[#This Row],[12]])),LEN(Tabela1[[#This Row],[12]])-LEN(SUBSTITUTE(Tabela1[[#This Row],[12]],",",""))+1,1),"")</f>
        <v/>
      </c>
      <c r="AL584" t="str">
        <f>IF(Tabela1[[#This Row],[13]]&lt;&gt;"",IF(ISNUMBER(FIND(",",Tabela1[[#This Row],[13]])),LEN(Tabela1[[#This Row],[13]])-LEN(SUBSTITUTE(Tabela1[[#This Row],[13]],",",""))+1,1),"")</f>
        <v/>
      </c>
      <c r="AM584" t="str">
        <f>IF(Tabela1[[#This Row],[14]]&lt;&gt;"",IF(ISNUMBER(FIND(",",Tabela1[[#This Row],[14]])),LEN(Tabela1[[#This Row],[14]])-LEN(SUBSTITUTE(Tabela1[[#This Row],[14]],",",""))+1,1),"")</f>
        <v/>
      </c>
      <c r="AN584" t="str">
        <f>IF(Tabela1[[#This Row],[15]]&lt;&gt;"",IF(ISNUMBER(FIND(",",Tabela1[[#This Row],[15]])),LEN(Tabela1[[#This Row],[15]])-LEN(SUBSTITUTE(Tabela1[[#This Row],[15]],",",""))+1,1),"")</f>
        <v/>
      </c>
      <c r="AO584" t="str">
        <f>IF(Tabela1[[#This Row],[16]]&lt;&gt;"",IF(ISNUMBER(FIND(",",Tabela1[[#This Row],[16]])),LEN(Tabela1[[#This Row],[16]])-LEN(SUBSTITUTE(Tabela1[[#This Row],[16]],",",""))+1,1),"")</f>
        <v/>
      </c>
      <c r="AP584" t="str">
        <f>IF(Tabela1[[#This Row],[17]]&lt;&gt;"",IF(ISNUMBER(FIND(",",Tabela1[[#This Row],[17]])),LEN(Tabela1[[#This Row],[17]])-LEN(SUBSTITUTE(Tabela1[[#This Row],[17]],",",""))+1,1),"")</f>
        <v/>
      </c>
      <c r="AQ584" t="str">
        <f>IF(Tabela1[[#This Row],[18]]&lt;&gt;"",IF(ISNUMBER(FIND(",",Tabela1[[#This Row],[18]])),LEN(Tabela1[[#This Row],[18]])-LEN(SUBSTITUTE(Tabela1[[#This Row],[18]],",",""))+1,1),"")</f>
        <v/>
      </c>
      <c r="AR584" s="13" t="str">
        <f>IF(Tabela1[[#This Row],[19_LENGTH]]&lt;&gt;"",IF(ISNUMBER(FIND(",",Tabela1[[#This Row],[19_LENGTH]])),LEN(Tabela1[[#This Row],[19_LENGTH]])-LEN(SUBSTITUTE(Tabela1[[#This Row],[19_LENGTH]],",",""))+1,1),"")</f>
        <v/>
      </c>
      <c r="AS584" s="21">
        <f>SUM(Tabela1[[#This Row],[1_]:[19_]])</f>
        <v>1</v>
      </c>
    </row>
    <row r="585" spans="1:45" x14ac:dyDescent="0.25">
      <c r="A585" s="27" t="s">
        <v>1327</v>
      </c>
      <c r="B585" s="19" t="s">
        <v>616</v>
      </c>
      <c r="C585" s="19">
        <v>202</v>
      </c>
      <c r="D585" s="19" t="s">
        <v>1298</v>
      </c>
      <c r="E585" s="20">
        <v>43545</v>
      </c>
      <c r="F585" s="19"/>
      <c r="G585" s="19"/>
      <c r="H585" s="19">
        <v>140</v>
      </c>
      <c r="I585" s="19"/>
      <c r="J585" s="19"/>
      <c r="K585" s="19"/>
      <c r="L585" s="19"/>
      <c r="M585" s="19"/>
      <c r="N585" s="19"/>
      <c r="O585" s="19"/>
      <c r="P585" s="19"/>
      <c r="Q585" s="19"/>
      <c r="R585" s="19"/>
      <c r="S585" s="19"/>
      <c r="T585" s="19"/>
      <c r="U585" s="19">
        <v>79</v>
      </c>
      <c r="V585" s="19"/>
      <c r="W585" s="19"/>
      <c r="X585" s="19"/>
      <c r="Y585" s="19"/>
      <c r="Z585" t="str">
        <f>IF(Tabela1[[#This Row],[1]]&lt;&gt;"",IF(ISNUMBER(FIND(",",Tabela1[[#This Row],[1]])),LEN(Tabela1[[#This Row],[1]])-LEN(SUBSTITUTE(Tabela1[[#This Row],[1]],",",""))+1,1),"")</f>
        <v/>
      </c>
      <c r="AA585" t="str">
        <f>IF(Tabela1[[#This Row],[2]]&lt;&gt;"",IF(ISNUMBER(FIND(",",Tabela1[[#This Row],[2]])),LEN(Tabela1[[#This Row],[2]])-LEN(SUBSTITUTE(Tabela1[[#This Row],[2]],",",""))+1,1),"")</f>
        <v/>
      </c>
      <c r="AB585">
        <f>IF(Tabela1[[#This Row],[3]]&lt;&gt;"",IF(ISNUMBER(FIND(",",Tabela1[[#This Row],[3]])),LEN(Tabela1[[#This Row],[3]])-LEN(SUBSTITUTE(Tabela1[[#This Row],[3]],",",""))+1,1),"")</f>
        <v>1</v>
      </c>
      <c r="AC585" t="str">
        <f>IF(Tabela1[[#This Row],[4]]&lt;&gt;"",IF(ISNUMBER(FIND(",",Tabela1[[#This Row],[4]])),LEN(Tabela1[[#This Row],[4]])-LEN(SUBSTITUTE(Tabela1[[#This Row],[4]],",",""))+1,1),"")</f>
        <v/>
      </c>
      <c r="AD585" t="str">
        <f>IF(Tabela1[[#This Row],[5]]&lt;&gt;"",IF(ISNUMBER(FIND(",",Tabela1[[#This Row],[5]])),LEN(Tabela1[[#This Row],[5]])-LEN(SUBSTITUTE(Tabela1[[#This Row],[5]],",",""))+1,1),"")</f>
        <v/>
      </c>
      <c r="AE585" t="str">
        <f>IF(Tabela1[[#This Row],[6]]&lt;&gt;"",IF(ISNUMBER(FIND(",",Tabela1[[#This Row],[6]])),LEN(Tabela1[[#This Row],[6]])-LEN(SUBSTITUTE(Tabela1[[#This Row],[6]],",",""))+1,1),"")</f>
        <v/>
      </c>
      <c r="AF585" t="str">
        <f>IF(Tabela1[[#This Row],[7]]&lt;&gt;"",IF(ISNUMBER(FIND(",",Tabela1[[#This Row],[7]])),LEN(Tabela1[[#This Row],[7]])-LEN(SUBSTITUTE(Tabela1[[#This Row],[7]],",",""))+1,1),"")</f>
        <v/>
      </c>
      <c r="AG585" t="str">
        <f>IF(Tabela1[[#This Row],[8]]&lt;&gt;"",IF(ISNUMBER(FIND(",",Tabela1[[#This Row],[8]])),LEN(Tabela1[[#This Row],[8]])-LEN(SUBSTITUTE(Tabela1[[#This Row],[8]],",",""))+1,1),"")</f>
        <v/>
      </c>
      <c r="AH585" t="str">
        <f>IF(Tabela1[[#This Row],[9]]&lt;&gt;"",IF(ISNUMBER(FIND(",",Tabela1[[#This Row],[9]])),LEN(Tabela1[[#This Row],[9]])-LEN(SUBSTITUTE(Tabela1[[#This Row],[9]],",",""))+1,1),"")</f>
        <v/>
      </c>
      <c r="AI585" t="str">
        <f>IF(Tabela1[[#This Row],[10]]&lt;&gt;"",IF(ISNUMBER(FIND(",",Tabela1[[#This Row],[10]])),LEN(Tabela1[[#This Row],[10]])-LEN(SUBSTITUTE(Tabela1[[#This Row],[10]],",",""))+1,1),"")</f>
        <v/>
      </c>
      <c r="AJ585" t="str">
        <f>IF(Tabela1[[#This Row],[11]]&lt;&gt;"",IF(ISNUMBER(FIND(",",Tabela1[[#This Row],[11]])),LEN(Tabela1[[#This Row],[11]])-LEN(SUBSTITUTE(Tabela1[[#This Row],[11]],",",""))+1,1),"")</f>
        <v/>
      </c>
      <c r="AK585" t="str">
        <f>IF(Tabela1[[#This Row],[12]]&lt;&gt;"",IF(ISNUMBER(FIND(",",Tabela1[[#This Row],[12]])),LEN(Tabela1[[#This Row],[12]])-LEN(SUBSTITUTE(Tabela1[[#This Row],[12]],",",""))+1,1),"")</f>
        <v/>
      </c>
      <c r="AL585" t="str">
        <f>IF(Tabela1[[#This Row],[13]]&lt;&gt;"",IF(ISNUMBER(FIND(",",Tabela1[[#This Row],[13]])),LEN(Tabela1[[#This Row],[13]])-LEN(SUBSTITUTE(Tabela1[[#This Row],[13]],",",""))+1,1),"")</f>
        <v/>
      </c>
      <c r="AM585" t="str">
        <f>IF(Tabela1[[#This Row],[14]]&lt;&gt;"",IF(ISNUMBER(FIND(",",Tabela1[[#This Row],[14]])),LEN(Tabela1[[#This Row],[14]])-LEN(SUBSTITUTE(Tabela1[[#This Row],[14]],",",""))+1,1),"")</f>
        <v/>
      </c>
      <c r="AN585" t="str">
        <f>IF(Tabela1[[#This Row],[15]]&lt;&gt;"",IF(ISNUMBER(FIND(",",Tabela1[[#This Row],[15]])),LEN(Tabela1[[#This Row],[15]])-LEN(SUBSTITUTE(Tabela1[[#This Row],[15]],",",""))+1,1),"")</f>
        <v/>
      </c>
      <c r="AO585">
        <f>IF(Tabela1[[#This Row],[16]]&lt;&gt;"",IF(ISNUMBER(FIND(",",Tabela1[[#This Row],[16]])),LEN(Tabela1[[#This Row],[16]])-LEN(SUBSTITUTE(Tabela1[[#This Row],[16]],",",""))+1,1),"")</f>
        <v>1</v>
      </c>
      <c r="AP585" t="str">
        <f>IF(Tabela1[[#This Row],[17]]&lt;&gt;"",IF(ISNUMBER(FIND(",",Tabela1[[#This Row],[17]])),LEN(Tabela1[[#This Row],[17]])-LEN(SUBSTITUTE(Tabela1[[#This Row],[17]],",",""))+1,1),"")</f>
        <v/>
      </c>
      <c r="AQ585" t="str">
        <f>IF(Tabela1[[#This Row],[18]]&lt;&gt;"",IF(ISNUMBER(FIND(",",Tabela1[[#This Row],[18]])),LEN(Tabela1[[#This Row],[18]])-LEN(SUBSTITUTE(Tabela1[[#This Row],[18]],",",""))+1,1),"")</f>
        <v/>
      </c>
      <c r="AR585" s="13" t="str">
        <f>IF(Tabela1[[#This Row],[19_LENGTH]]&lt;&gt;"",IF(ISNUMBER(FIND(",",Tabela1[[#This Row],[19_LENGTH]])),LEN(Tabela1[[#This Row],[19_LENGTH]])-LEN(SUBSTITUTE(Tabela1[[#This Row],[19_LENGTH]],",",""))+1,1),"")</f>
        <v/>
      </c>
      <c r="AS585" s="21">
        <f>SUM(Tabela1[[#This Row],[1_]:[19_]])</f>
        <v>2</v>
      </c>
    </row>
    <row r="586" spans="1:45" x14ac:dyDescent="0.25">
      <c r="A586" s="27" t="s">
        <v>1325</v>
      </c>
      <c r="B586" s="19" t="s">
        <v>617</v>
      </c>
      <c r="C586" s="19">
        <v>202</v>
      </c>
      <c r="D586" s="19" t="s">
        <v>1301</v>
      </c>
      <c r="E586" s="20">
        <v>43545</v>
      </c>
      <c r="F586" s="19"/>
      <c r="G586" s="19">
        <v>61</v>
      </c>
      <c r="H586" s="19"/>
      <c r="I586" s="19"/>
      <c r="J586" s="19"/>
      <c r="K586" s="19"/>
      <c r="L586" s="19"/>
      <c r="M586" s="19"/>
      <c r="N586" s="19"/>
      <c r="O586" s="19"/>
      <c r="P586" s="19"/>
      <c r="Q586" s="19"/>
      <c r="R586" s="19"/>
      <c r="S586" s="19"/>
      <c r="T586" s="19"/>
      <c r="U586" s="19"/>
      <c r="V586" s="19"/>
      <c r="W586" s="19"/>
      <c r="X586" s="19"/>
      <c r="Y586" s="19"/>
      <c r="Z586" t="str">
        <f>IF(Tabela1[[#This Row],[1]]&lt;&gt;"",IF(ISNUMBER(FIND(",",Tabela1[[#This Row],[1]])),LEN(Tabela1[[#This Row],[1]])-LEN(SUBSTITUTE(Tabela1[[#This Row],[1]],",",""))+1,1),"")</f>
        <v/>
      </c>
      <c r="AA586">
        <f>IF(Tabela1[[#This Row],[2]]&lt;&gt;"",IF(ISNUMBER(FIND(",",Tabela1[[#This Row],[2]])),LEN(Tabela1[[#This Row],[2]])-LEN(SUBSTITUTE(Tabela1[[#This Row],[2]],",",""))+1,1),"")</f>
        <v>1</v>
      </c>
      <c r="AB586" t="str">
        <f>IF(Tabela1[[#This Row],[3]]&lt;&gt;"",IF(ISNUMBER(FIND(",",Tabela1[[#This Row],[3]])),LEN(Tabela1[[#This Row],[3]])-LEN(SUBSTITUTE(Tabela1[[#This Row],[3]],",",""))+1,1),"")</f>
        <v/>
      </c>
      <c r="AC586" t="str">
        <f>IF(Tabela1[[#This Row],[4]]&lt;&gt;"",IF(ISNUMBER(FIND(",",Tabela1[[#This Row],[4]])),LEN(Tabela1[[#This Row],[4]])-LEN(SUBSTITUTE(Tabela1[[#This Row],[4]],",",""))+1,1),"")</f>
        <v/>
      </c>
      <c r="AD586" t="str">
        <f>IF(Tabela1[[#This Row],[5]]&lt;&gt;"",IF(ISNUMBER(FIND(",",Tabela1[[#This Row],[5]])),LEN(Tabela1[[#This Row],[5]])-LEN(SUBSTITUTE(Tabela1[[#This Row],[5]],",",""))+1,1),"")</f>
        <v/>
      </c>
      <c r="AE586" t="str">
        <f>IF(Tabela1[[#This Row],[6]]&lt;&gt;"",IF(ISNUMBER(FIND(",",Tabela1[[#This Row],[6]])),LEN(Tabela1[[#This Row],[6]])-LEN(SUBSTITUTE(Tabela1[[#This Row],[6]],",",""))+1,1),"")</f>
        <v/>
      </c>
      <c r="AF586" t="str">
        <f>IF(Tabela1[[#This Row],[7]]&lt;&gt;"",IF(ISNUMBER(FIND(",",Tabela1[[#This Row],[7]])),LEN(Tabela1[[#This Row],[7]])-LEN(SUBSTITUTE(Tabela1[[#This Row],[7]],",",""))+1,1),"")</f>
        <v/>
      </c>
      <c r="AG586" t="str">
        <f>IF(Tabela1[[#This Row],[8]]&lt;&gt;"",IF(ISNUMBER(FIND(",",Tabela1[[#This Row],[8]])),LEN(Tabela1[[#This Row],[8]])-LEN(SUBSTITUTE(Tabela1[[#This Row],[8]],",",""))+1,1),"")</f>
        <v/>
      </c>
      <c r="AH586" t="str">
        <f>IF(Tabela1[[#This Row],[9]]&lt;&gt;"",IF(ISNUMBER(FIND(",",Tabela1[[#This Row],[9]])),LEN(Tabela1[[#This Row],[9]])-LEN(SUBSTITUTE(Tabela1[[#This Row],[9]],",",""))+1,1),"")</f>
        <v/>
      </c>
      <c r="AI586" t="str">
        <f>IF(Tabela1[[#This Row],[10]]&lt;&gt;"",IF(ISNUMBER(FIND(",",Tabela1[[#This Row],[10]])),LEN(Tabela1[[#This Row],[10]])-LEN(SUBSTITUTE(Tabela1[[#This Row],[10]],",",""))+1,1),"")</f>
        <v/>
      </c>
      <c r="AJ586" t="str">
        <f>IF(Tabela1[[#This Row],[11]]&lt;&gt;"",IF(ISNUMBER(FIND(",",Tabela1[[#This Row],[11]])),LEN(Tabela1[[#This Row],[11]])-LEN(SUBSTITUTE(Tabela1[[#This Row],[11]],",",""))+1,1),"")</f>
        <v/>
      </c>
      <c r="AK586" t="str">
        <f>IF(Tabela1[[#This Row],[12]]&lt;&gt;"",IF(ISNUMBER(FIND(",",Tabela1[[#This Row],[12]])),LEN(Tabela1[[#This Row],[12]])-LEN(SUBSTITUTE(Tabela1[[#This Row],[12]],",",""))+1,1),"")</f>
        <v/>
      </c>
      <c r="AL586" t="str">
        <f>IF(Tabela1[[#This Row],[13]]&lt;&gt;"",IF(ISNUMBER(FIND(",",Tabela1[[#This Row],[13]])),LEN(Tabela1[[#This Row],[13]])-LEN(SUBSTITUTE(Tabela1[[#This Row],[13]],",",""))+1,1),"")</f>
        <v/>
      </c>
      <c r="AM586" t="str">
        <f>IF(Tabela1[[#This Row],[14]]&lt;&gt;"",IF(ISNUMBER(FIND(",",Tabela1[[#This Row],[14]])),LEN(Tabela1[[#This Row],[14]])-LEN(SUBSTITUTE(Tabela1[[#This Row],[14]],",",""))+1,1),"")</f>
        <v/>
      </c>
      <c r="AN586" t="str">
        <f>IF(Tabela1[[#This Row],[15]]&lt;&gt;"",IF(ISNUMBER(FIND(",",Tabela1[[#This Row],[15]])),LEN(Tabela1[[#This Row],[15]])-LEN(SUBSTITUTE(Tabela1[[#This Row],[15]],",",""))+1,1),"")</f>
        <v/>
      </c>
      <c r="AO586" t="str">
        <f>IF(Tabela1[[#This Row],[16]]&lt;&gt;"",IF(ISNUMBER(FIND(",",Tabela1[[#This Row],[16]])),LEN(Tabela1[[#This Row],[16]])-LEN(SUBSTITUTE(Tabela1[[#This Row],[16]],",",""))+1,1),"")</f>
        <v/>
      </c>
      <c r="AP586" t="str">
        <f>IF(Tabela1[[#This Row],[17]]&lt;&gt;"",IF(ISNUMBER(FIND(",",Tabela1[[#This Row],[17]])),LEN(Tabela1[[#This Row],[17]])-LEN(SUBSTITUTE(Tabela1[[#This Row],[17]],",",""))+1,1),"")</f>
        <v/>
      </c>
      <c r="AQ586" t="str">
        <f>IF(Tabela1[[#This Row],[18]]&lt;&gt;"",IF(ISNUMBER(FIND(",",Tabela1[[#This Row],[18]])),LEN(Tabela1[[#This Row],[18]])-LEN(SUBSTITUTE(Tabela1[[#This Row],[18]],",",""))+1,1),"")</f>
        <v/>
      </c>
      <c r="AR586" s="13" t="str">
        <f>IF(Tabela1[[#This Row],[19_LENGTH]]&lt;&gt;"",IF(ISNUMBER(FIND(",",Tabela1[[#This Row],[19_LENGTH]])),LEN(Tabela1[[#This Row],[19_LENGTH]])-LEN(SUBSTITUTE(Tabela1[[#This Row],[19_LENGTH]],",",""))+1,1),"")</f>
        <v/>
      </c>
      <c r="AS586" s="21">
        <f>SUM(Tabela1[[#This Row],[1_]:[19_]])</f>
        <v>1</v>
      </c>
    </row>
    <row r="587" spans="1:45" x14ac:dyDescent="0.25">
      <c r="A587" s="27" t="s">
        <v>1327</v>
      </c>
      <c r="B587" s="19" t="s">
        <v>890</v>
      </c>
      <c r="C587" s="19">
        <v>202</v>
      </c>
      <c r="D587" s="19" t="s">
        <v>1304</v>
      </c>
      <c r="E587" s="20">
        <v>43544</v>
      </c>
      <c r="F587" s="19"/>
      <c r="G587" s="19">
        <v>60</v>
      </c>
      <c r="H587" s="19"/>
      <c r="I587" s="19"/>
      <c r="J587" s="19"/>
      <c r="K587" s="19"/>
      <c r="L587" s="19"/>
      <c r="M587" s="19"/>
      <c r="N587" s="19"/>
      <c r="O587" s="19"/>
      <c r="P587" s="19"/>
      <c r="Q587" s="19"/>
      <c r="R587" s="19"/>
      <c r="S587" s="19"/>
      <c r="T587" s="19"/>
      <c r="U587" s="19"/>
      <c r="V587" s="19"/>
      <c r="W587" s="19"/>
      <c r="X587" s="19"/>
      <c r="Y587" s="19"/>
      <c r="Z587" t="str">
        <f>IF(Tabela1[[#This Row],[1]]&lt;&gt;"",IF(ISNUMBER(FIND(",",Tabela1[[#This Row],[1]])),LEN(Tabela1[[#This Row],[1]])-LEN(SUBSTITUTE(Tabela1[[#This Row],[1]],",",""))+1,1),"")</f>
        <v/>
      </c>
      <c r="AA587">
        <f>IF(Tabela1[[#This Row],[2]]&lt;&gt;"",IF(ISNUMBER(FIND(",",Tabela1[[#This Row],[2]])),LEN(Tabela1[[#This Row],[2]])-LEN(SUBSTITUTE(Tabela1[[#This Row],[2]],",",""))+1,1),"")</f>
        <v>1</v>
      </c>
      <c r="AB587" t="str">
        <f>IF(Tabela1[[#This Row],[3]]&lt;&gt;"",IF(ISNUMBER(FIND(",",Tabela1[[#This Row],[3]])),LEN(Tabela1[[#This Row],[3]])-LEN(SUBSTITUTE(Tabela1[[#This Row],[3]],",",""))+1,1),"")</f>
        <v/>
      </c>
      <c r="AC587" t="str">
        <f>IF(Tabela1[[#This Row],[4]]&lt;&gt;"",IF(ISNUMBER(FIND(",",Tabela1[[#This Row],[4]])),LEN(Tabela1[[#This Row],[4]])-LEN(SUBSTITUTE(Tabela1[[#This Row],[4]],",",""))+1,1),"")</f>
        <v/>
      </c>
      <c r="AD587" t="str">
        <f>IF(Tabela1[[#This Row],[5]]&lt;&gt;"",IF(ISNUMBER(FIND(",",Tabela1[[#This Row],[5]])),LEN(Tabela1[[#This Row],[5]])-LEN(SUBSTITUTE(Tabela1[[#This Row],[5]],",",""))+1,1),"")</f>
        <v/>
      </c>
      <c r="AE587" t="str">
        <f>IF(Tabela1[[#This Row],[6]]&lt;&gt;"",IF(ISNUMBER(FIND(",",Tabela1[[#This Row],[6]])),LEN(Tabela1[[#This Row],[6]])-LEN(SUBSTITUTE(Tabela1[[#This Row],[6]],",",""))+1,1),"")</f>
        <v/>
      </c>
      <c r="AF587" t="str">
        <f>IF(Tabela1[[#This Row],[7]]&lt;&gt;"",IF(ISNUMBER(FIND(",",Tabela1[[#This Row],[7]])),LEN(Tabela1[[#This Row],[7]])-LEN(SUBSTITUTE(Tabela1[[#This Row],[7]],",",""))+1,1),"")</f>
        <v/>
      </c>
      <c r="AG587" t="str">
        <f>IF(Tabela1[[#This Row],[8]]&lt;&gt;"",IF(ISNUMBER(FIND(",",Tabela1[[#This Row],[8]])),LEN(Tabela1[[#This Row],[8]])-LEN(SUBSTITUTE(Tabela1[[#This Row],[8]],",",""))+1,1),"")</f>
        <v/>
      </c>
      <c r="AH587" t="str">
        <f>IF(Tabela1[[#This Row],[9]]&lt;&gt;"",IF(ISNUMBER(FIND(",",Tabela1[[#This Row],[9]])),LEN(Tabela1[[#This Row],[9]])-LEN(SUBSTITUTE(Tabela1[[#This Row],[9]],",",""))+1,1),"")</f>
        <v/>
      </c>
      <c r="AI587" t="str">
        <f>IF(Tabela1[[#This Row],[10]]&lt;&gt;"",IF(ISNUMBER(FIND(",",Tabela1[[#This Row],[10]])),LEN(Tabela1[[#This Row],[10]])-LEN(SUBSTITUTE(Tabela1[[#This Row],[10]],",",""))+1,1),"")</f>
        <v/>
      </c>
      <c r="AJ587" t="str">
        <f>IF(Tabela1[[#This Row],[11]]&lt;&gt;"",IF(ISNUMBER(FIND(",",Tabela1[[#This Row],[11]])),LEN(Tabela1[[#This Row],[11]])-LEN(SUBSTITUTE(Tabela1[[#This Row],[11]],",",""))+1,1),"")</f>
        <v/>
      </c>
      <c r="AK587" t="str">
        <f>IF(Tabela1[[#This Row],[12]]&lt;&gt;"",IF(ISNUMBER(FIND(",",Tabela1[[#This Row],[12]])),LEN(Tabela1[[#This Row],[12]])-LEN(SUBSTITUTE(Tabela1[[#This Row],[12]],",",""))+1,1),"")</f>
        <v/>
      </c>
      <c r="AL587" t="str">
        <f>IF(Tabela1[[#This Row],[13]]&lt;&gt;"",IF(ISNUMBER(FIND(",",Tabela1[[#This Row],[13]])),LEN(Tabela1[[#This Row],[13]])-LEN(SUBSTITUTE(Tabela1[[#This Row],[13]],",",""))+1,1),"")</f>
        <v/>
      </c>
      <c r="AM587" t="str">
        <f>IF(Tabela1[[#This Row],[14]]&lt;&gt;"",IF(ISNUMBER(FIND(",",Tabela1[[#This Row],[14]])),LEN(Tabela1[[#This Row],[14]])-LEN(SUBSTITUTE(Tabela1[[#This Row],[14]],",",""))+1,1),"")</f>
        <v/>
      </c>
      <c r="AN587" t="str">
        <f>IF(Tabela1[[#This Row],[15]]&lt;&gt;"",IF(ISNUMBER(FIND(",",Tabela1[[#This Row],[15]])),LEN(Tabela1[[#This Row],[15]])-LEN(SUBSTITUTE(Tabela1[[#This Row],[15]],",",""))+1,1),"")</f>
        <v/>
      </c>
      <c r="AO587" t="str">
        <f>IF(Tabela1[[#This Row],[16]]&lt;&gt;"",IF(ISNUMBER(FIND(",",Tabela1[[#This Row],[16]])),LEN(Tabela1[[#This Row],[16]])-LEN(SUBSTITUTE(Tabela1[[#This Row],[16]],",",""))+1,1),"")</f>
        <v/>
      </c>
      <c r="AP587" t="str">
        <f>IF(Tabela1[[#This Row],[17]]&lt;&gt;"",IF(ISNUMBER(FIND(",",Tabela1[[#This Row],[17]])),LEN(Tabela1[[#This Row],[17]])-LEN(SUBSTITUTE(Tabela1[[#This Row],[17]],",",""))+1,1),"")</f>
        <v/>
      </c>
      <c r="AQ587" t="str">
        <f>IF(Tabela1[[#This Row],[18]]&lt;&gt;"",IF(ISNUMBER(FIND(",",Tabela1[[#This Row],[18]])),LEN(Tabela1[[#This Row],[18]])-LEN(SUBSTITUTE(Tabela1[[#This Row],[18]],",",""))+1,1),"")</f>
        <v/>
      </c>
      <c r="AR587" s="13" t="str">
        <f>IF(Tabela1[[#This Row],[19_LENGTH]]&lt;&gt;"",IF(ISNUMBER(FIND(",",Tabela1[[#This Row],[19_LENGTH]])),LEN(Tabela1[[#This Row],[19_LENGTH]])-LEN(SUBSTITUTE(Tabela1[[#This Row],[19_LENGTH]],",",""))+1,1),"")</f>
        <v/>
      </c>
      <c r="AS587" s="21">
        <f>SUM(Tabela1[[#This Row],[1_]:[19_]])</f>
        <v>1</v>
      </c>
    </row>
    <row r="588" spans="1:45" x14ac:dyDescent="0.25">
      <c r="A588" s="27" t="s">
        <v>1328</v>
      </c>
      <c r="B588" s="19" t="s">
        <v>618</v>
      </c>
      <c r="C588" s="19">
        <v>102</v>
      </c>
      <c r="D588" s="19" t="s">
        <v>1309</v>
      </c>
      <c r="E588" s="20">
        <v>43544</v>
      </c>
      <c r="F588" s="19"/>
      <c r="G588" s="19">
        <v>76</v>
      </c>
      <c r="H588" s="19"/>
      <c r="I588" s="19"/>
      <c r="J588" s="19"/>
      <c r="K588" s="19"/>
      <c r="L588" s="19"/>
      <c r="M588" s="19"/>
      <c r="N588" s="19"/>
      <c r="O588" s="19"/>
      <c r="P588" s="19"/>
      <c r="Q588" s="19"/>
      <c r="R588" s="19"/>
      <c r="S588" s="19"/>
      <c r="T588" s="19"/>
      <c r="U588" s="19"/>
      <c r="V588" s="19"/>
      <c r="W588" s="19"/>
      <c r="X588" s="19"/>
      <c r="Y588" s="19"/>
      <c r="Z588" t="str">
        <f>IF(Tabela1[[#This Row],[1]]&lt;&gt;"",IF(ISNUMBER(FIND(",",Tabela1[[#This Row],[1]])),LEN(Tabela1[[#This Row],[1]])-LEN(SUBSTITUTE(Tabela1[[#This Row],[1]],",",""))+1,1),"")</f>
        <v/>
      </c>
      <c r="AA588">
        <f>IF(Tabela1[[#This Row],[2]]&lt;&gt;"",IF(ISNUMBER(FIND(",",Tabela1[[#This Row],[2]])),LEN(Tabela1[[#This Row],[2]])-LEN(SUBSTITUTE(Tabela1[[#This Row],[2]],",",""))+1,1),"")</f>
        <v>1</v>
      </c>
      <c r="AB588" t="str">
        <f>IF(Tabela1[[#This Row],[3]]&lt;&gt;"",IF(ISNUMBER(FIND(",",Tabela1[[#This Row],[3]])),LEN(Tabela1[[#This Row],[3]])-LEN(SUBSTITUTE(Tabela1[[#This Row],[3]],",",""))+1,1),"")</f>
        <v/>
      </c>
      <c r="AC588" t="str">
        <f>IF(Tabela1[[#This Row],[4]]&lt;&gt;"",IF(ISNUMBER(FIND(",",Tabela1[[#This Row],[4]])),LEN(Tabela1[[#This Row],[4]])-LEN(SUBSTITUTE(Tabela1[[#This Row],[4]],",",""))+1,1),"")</f>
        <v/>
      </c>
      <c r="AD588" t="str">
        <f>IF(Tabela1[[#This Row],[5]]&lt;&gt;"",IF(ISNUMBER(FIND(",",Tabela1[[#This Row],[5]])),LEN(Tabela1[[#This Row],[5]])-LEN(SUBSTITUTE(Tabela1[[#This Row],[5]],",",""))+1,1),"")</f>
        <v/>
      </c>
      <c r="AE588" t="str">
        <f>IF(Tabela1[[#This Row],[6]]&lt;&gt;"",IF(ISNUMBER(FIND(",",Tabela1[[#This Row],[6]])),LEN(Tabela1[[#This Row],[6]])-LEN(SUBSTITUTE(Tabela1[[#This Row],[6]],",",""))+1,1),"")</f>
        <v/>
      </c>
      <c r="AF588" t="str">
        <f>IF(Tabela1[[#This Row],[7]]&lt;&gt;"",IF(ISNUMBER(FIND(",",Tabela1[[#This Row],[7]])),LEN(Tabela1[[#This Row],[7]])-LEN(SUBSTITUTE(Tabela1[[#This Row],[7]],",",""))+1,1),"")</f>
        <v/>
      </c>
      <c r="AG588" t="str">
        <f>IF(Tabela1[[#This Row],[8]]&lt;&gt;"",IF(ISNUMBER(FIND(",",Tabela1[[#This Row],[8]])),LEN(Tabela1[[#This Row],[8]])-LEN(SUBSTITUTE(Tabela1[[#This Row],[8]],",",""))+1,1),"")</f>
        <v/>
      </c>
      <c r="AH588" t="str">
        <f>IF(Tabela1[[#This Row],[9]]&lt;&gt;"",IF(ISNUMBER(FIND(",",Tabela1[[#This Row],[9]])),LEN(Tabela1[[#This Row],[9]])-LEN(SUBSTITUTE(Tabela1[[#This Row],[9]],",",""))+1,1),"")</f>
        <v/>
      </c>
      <c r="AI588" t="str">
        <f>IF(Tabela1[[#This Row],[10]]&lt;&gt;"",IF(ISNUMBER(FIND(",",Tabela1[[#This Row],[10]])),LEN(Tabela1[[#This Row],[10]])-LEN(SUBSTITUTE(Tabela1[[#This Row],[10]],",",""))+1,1),"")</f>
        <v/>
      </c>
      <c r="AJ588" t="str">
        <f>IF(Tabela1[[#This Row],[11]]&lt;&gt;"",IF(ISNUMBER(FIND(",",Tabela1[[#This Row],[11]])),LEN(Tabela1[[#This Row],[11]])-LEN(SUBSTITUTE(Tabela1[[#This Row],[11]],",",""))+1,1),"")</f>
        <v/>
      </c>
      <c r="AK588" t="str">
        <f>IF(Tabela1[[#This Row],[12]]&lt;&gt;"",IF(ISNUMBER(FIND(",",Tabela1[[#This Row],[12]])),LEN(Tabela1[[#This Row],[12]])-LEN(SUBSTITUTE(Tabela1[[#This Row],[12]],",",""))+1,1),"")</f>
        <v/>
      </c>
      <c r="AL588" t="str">
        <f>IF(Tabela1[[#This Row],[13]]&lt;&gt;"",IF(ISNUMBER(FIND(",",Tabela1[[#This Row],[13]])),LEN(Tabela1[[#This Row],[13]])-LEN(SUBSTITUTE(Tabela1[[#This Row],[13]],",",""))+1,1),"")</f>
        <v/>
      </c>
      <c r="AM588" t="str">
        <f>IF(Tabela1[[#This Row],[14]]&lt;&gt;"",IF(ISNUMBER(FIND(",",Tabela1[[#This Row],[14]])),LEN(Tabela1[[#This Row],[14]])-LEN(SUBSTITUTE(Tabela1[[#This Row],[14]],",",""))+1,1),"")</f>
        <v/>
      </c>
      <c r="AN588" t="str">
        <f>IF(Tabela1[[#This Row],[15]]&lt;&gt;"",IF(ISNUMBER(FIND(",",Tabela1[[#This Row],[15]])),LEN(Tabela1[[#This Row],[15]])-LEN(SUBSTITUTE(Tabela1[[#This Row],[15]],",",""))+1,1),"")</f>
        <v/>
      </c>
      <c r="AO588" t="str">
        <f>IF(Tabela1[[#This Row],[16]]&lt;&gt;"",IF(ISNUMBER(FIND(",",Tabela1[[#This Row],[16]])),LEN(Tabela1[[#This Row],[16]])-LEN(SUBSTITUTE(Tabela1[[#This Row],[16]],",",""))+1,1),"")</f>
        <v/>
      </c>
      <c r="AP588" t="str">
        <f>IF(Tabela1[[#This Row],[17]]&lt;&gt;"",IF(ISNUMBER(FIND(",",Tabela1[[#This Row],[17]])),LEN(Tabela1[[#This Row],[17]])-LEN(SUBSTITUTE(Tabela1[[#This Row],[17]],",",""))+1,1),"")</f>
        <v/>
      </c>
      <c r="AQ588" t="str">
        <f>IF(Tabela1[[#This Row],[18]]&lt;&gt;"",IF(ISNUMBER(FIND(",",Tabela1[[#This Row],[18]])),LEN(Tabela1[[#This Row],[18]])-LEN(SUBSTITUTE(Tabela1[[#This Row],[18]],",",""))+1,1),"")</f>
        <v/>
      </c>
      <c r="AR588" s="13" t="str">
        <f>IF(Tabela1[[#This Row],[19_LENGTH]]&lt;&gt;"",IF(ISNUMBER(FIND(",",Tabela1[[#This Row],[19_LENGTH]])),LEN(Tabela1[[#This Row],[19_LENGTH]])-LEN(SUBSTITUTE(Tabela1[[#This Row],[19_LENGTH]],",",""))+1,1),"")</f>
        <v/>
      </c>
      <c r="AS588" s="21">
        <f>SUM(Tabela1[[#This Row],[1_]:[19_]])</f>
        <v>1</v>
      </c>
    </row>
    <row r="589" spans="1:45" x14ac:dyDescent="0.25">
      <c r="A589" s="27" t="s">
        <v>1328</v>
      </c>
      <c r="B589" s="19" t="s">
        <v>619</v>
      </c>
      <c r="C589" s="19">
        <v>102</v>
      </c>
      <c r="D589" s="19" t="s">
        <v>1309</v>
      </c>
      <c r="E589" s="20">
        <v>43544</v>
      </c>
      <c r="F589" s="19"/>
      <c r="G589" s="19" t="s">
        <v>224</v>
      </c>
      <c r="H589" s="19"/>
      <c r="I589" s="19"/>
      <c r="J589" s="19"/>
      <c r="K589" s="19"/>
      <c r="L589" s="19"/>
      <c r="M589" s="19"/>
      <c r="N589" s="19"/>
      <c r="O589" s="19"/>
      <c r="P589" s="19"/>
      <c r="Q589" s="19"/>
      <c r="R589" s="19"/>
      <c r="S589" s="19"/>
      <c r="T589" s="19"/>
      <c r="U589" s="19">
        <v>32</v>
      </c>
      <c r="V589" s="19"/>
      <c r="W589" s="19"/>
      <c r="X589" s="19"/>
      <c r="Y589" s="19"/>
      <c r="Z589" t="str">
        <f>IF(Tabela1[[#This Row],[1]]&lt;&gt;"",IF(ISNUMBER(FIND(",",Tabela1[[#This Row],[1]])),LEN(Tabela1[[#This Row],[1]])-LEN(SUBSTITUTE(Tabela1[[#This Row],[1]],",",""))+1,1),"")</f>
        <v/>
      </c>
      <c r="AA589">
        <f>IF(Tabela1[[#This Row],[2]]&lt;&gt;"",IF(ISNUMBER(FIND(",",Tabela1[[#This Row],[2]])),LEN(Tabela1[[#This Row],[2]])-LEN(SUBSTITUTE(Tabela1[[#This Row],[2]],",",""))+1,1),"")</f>
        <v>1</v>
      </c>
      <c r="AB589" t="str">
        <f>IF(Tabela1[[#This Row],[3]]&lt;&gt;"",IF(ISNUMBER(FIND(",",Tabela1[[#This Row],[3]])),LEN(Tabela1[[#This Row],[3]])-LEN(SUBSTITUTE(Tabela1[[#This Row],[3]],",",""))+1,1),"")</f>
        <v/>
      </c>
      <c r="AC589" t="str">
        <f>IF(Tabela1[[#This Row],[4]]&lt;&gt;"",IF(ISNUMBER(FIND(",",Tabela1[[#This Row],[4]])),LEN(Tabela1[[#This Row],[4]])-LEN(SUBSTITUTE(Tabela1[[#This Row],[4]],",",""))+1,1),"")</f>
        <v/>
      </c>
      <c r="AD589" t="str">
        <f>IF(Tabela1[[#This Row],[5]]&lt;&gt;"",IF(ISNUMBER(FIND(",",Tabela1[[#This Row],[5]])),LEN(Tabela1[[#This Row],[5]])-LEN(SUBSTITUTE(Tabela1[[#This Row],[5]],",",""))+1,1),"")</f>
        <v/>
      </c>
      <c r="AE589" t="str">
        <f>IF(Tabela1[[#This Row],[6]]&lt;&gt;"",IF(ISNUMBER(FIND(",",Tabela1[[#This Row],[6]])),LEN(Tabela1[[#This Row],[6]])-LEN(SUBSTITUTE(Tabela1[[#This Row],[6]],",",""))+1,1),"")</f>
        <v/>
      </c>
      <c r="AF589" t="str">
        <f>IF(Tabela1[[#This Row],[7]]&lt;&gt;"",IF(ISNUMBER(FIND(",",Tabela1[[#This Row],[7]])),LEN(Tabela1[[#This Row],[7]])-LEN(SUBSTITUTE(Tabela1[[#This Row],[7]],",",""))+1,1),"")</f>
        <v/>
      </c>
      <c r="AG589" t="str">
        <f>IF(Tabela1[[#This Row],[8]]&lt;&gt;"",IF(ISNUMBER(FIND(",",Tabela1[[#This Row],[8]])),LEN(Tabela1[[#This Row],[8]])-LEN(SUBSTITUTE(Tabela1[[#This Row],[8]],",",""))+1,1),"")</f>
        <v/>
      </c>
      <c r="AH589" t="str">
        <f>IF(Tabela1[[#This Row],[9]]&lt;&gt;"",IF(ISNUMBER(FIND(",",Tabela1[[#This Row],[9]])),LEN(Tabela1[[#This Row],[9]])-LEN(SUBSTITUTE(Tabela1[[#This Row],[9]],",",""))+1,1),"")</f>
        <v/>
      </c>
      <c r="AI589" t="str">
        <f>IF(Tabela1[[#This Row],[10]]&lt;&gt;"",IF(ISNUMBER(FIND(",",Tabela1[[#This Row],[10]])),LEN(Tabela1[[#This Row],[10]])-LEN(SUBSTITUTE(Tabela1[[#This Row],[10]],",",""))+1,1),"")</f>
        <v/>
      </c>
      <c r="AJ589" t="str">
        <f>IF(Tabela1[[#This Row],[11]]&lt;&gt;"",IF(ISNUMBER(FIND(",",Tabela1[[#This Row],[11]])),LEN(Tabela1[[#This Row],[11]])-LEN(SUBSTITUTE(Tabela1[[#This Row],[11]],",",""))+1,1),"")</f>
        <v/>
      </c>
      <c r="AK589" t="str">
        <f>IF(Tabela1[[#This Row],[12]]&lt;&gt;"",IF(ISNUMBER(FIND(",",Tabela1[[#This Row],[12]])),LEN(Tabela1[[#This Row],[12]])-LEN(SUBSTITUTE(Tabela1[[#This Row],[12]],",",""))+1,1),"")</f>
        <v/>
      </c>
      <c r="AL589" t="str">
        <f>IF(Tabela1[[#This Row],[13]]&lt;&gt;"",IF(ISNUMBER(FIND(",",Tabela1[[#This Row],[13]])),LEN(Tabela1[[#This Row],[13]])-LEN(SUBSTITUTE(Tabela1[[#This Row],[13]],",",""))+1,1),"")</f>
        <v/>
      </c>
      <c r="AM589" t="str">
        <f>IF(Tabela1[[#This Row],[14]]&lt;&gt;"",IF(ISNUMBER(FIND(",",Tabela1[[#This Row],[14]])),LEN(Tabela1[[#This Row],[14]])-LEN(SUBSTITUTE(Tabela1[[#This Row],[14]],",",""))+1,1),"")</f>
        <v/>
      </c>
      <c r="AN589" t="str">
        <f>IF(Tabela1[[#This Row],[15]]&lt;&gt;"",IF(ISNUMBER(FIND(",",Tabela1[[#This Row],[15]])),LEN(Tabela1[[#This Row],[15]])-LEN(SUBSTITUTE(Tabela1[[#This Row],[15]],",",""))+1,1),"")</f>
        <v/>
      </c>
      <c r="AO589">
        <f>IF(Tabela1[[#This Row],[16]]&lt;&gt;"",IF(ISNUMBER(FIND(",",Tabela1[[#This Row],[16]])),LEN(Tabela1[[#This Row],[16]])-LEN(SUBSTITUTE(Tabela1[[#This Row],[16]],",",""))+1,1),"")</f>
        <v>1</v>
      </c>
      <c r="AP589" t="str">
        <f>IF(Tabela1[[#This Row],[17]]&lt;&gt;"",IF(ISNUMBER(FIND(",",Tabela1[[#This Row],[17]])),LEN(Tabela1[[#This Row],[17]])-LEN(SUBSTITUTE(Tabela1[[#This Row],[17]],",",""))+1,1),"")</f>
        <v/>
      </c>
      <c r="AQ589" t="str">
        <f>IF(Tabela1[[#This Row],[18]]&lt;&gt;"",IF(ISNUMBER(FIND(",",Tabela1[[#This Row],[18]])),LEN(Tabela1[[#This Row],[18]])-LEN(SUBSTITUTE(Tabela1[[#This Row],[18]],",",""))+1,1),"")</f>
        <v/>
      </c>
      <c r="AR589" s="13" t="str">
        <f>IF(Tabela1[[#This Row],[19_LENGTH]]&lt;&gt;"",IF(ISNUMBER(FIND(",",Tabela1[[#This Row],[19_LENGTH]])),LEN(Tabela1[[#This Row],[19_LENGTH]])-LEN(SUBSTITUTE(Tabela1[[#This Row],[19_LENGTH]],",",""))+1,1),"")</f>
        <v/>
      </c>
      <c r="AS589" s="21">
        <f>SUM(Tabela1[[#This Row],[1_]:[19_]])</f>
        <v>2</v>
      </c>
    </row>
    <row r="590" spans="1:45" x14ac:dyDescent="0.25">
      <c r="A590" s="27" t="s">
        <v>1328</v>
      </c>
      <c r="B590" s="19" t="s">
        <v>620</v>
      </c>
      <c r="C590" s="19">
        <v>102</v>
      </c>
      <c r="D590" s="19" t="s">
        <v>1309</v>
      </c>
      <c r="E590" s="20">
        <v>43544</v>
      </c>
      <c r="F590" s="19"/>
      <c r="G590" s="19"/>
      <c r="H590" s="19"/>
      <c r="I590" s="19"/>
      <c r="J590" s="19">
        <v>33</v>
      </c>
      <c r="K590" s="19"/>
      <c r="L590" s="19"/>
      <c r="M590" s="19"/>
      <c r="N590" s="19"/>
      <c r="O590" s="19"/>
      <c r="P590" s="19"/>
      <c r="Q590" s="19"/>
      <c r="R590" s="19"/>
      <c r="S590" s="19"/>
      <c r="T590" s="19"/>
      <c r="U590" s="19" t="s">
        <v>225</v>
      </c>
      <c r="V590" s="19"/>
      <c r="W590" s="19"/>
      <c r="X590" s="19"/>
      <c r="Y590" s="19"/>
      <c r="Z590" t="str">
        <f>IF(Tabela1[[#This Row],[1]]&lt;&gt;"",IF(ISNUMBER(FIND(",",Tabela1[[#This Row],[1]])),LEN(Tabela1[[#This Row],[1]])-LEN(SUBSTITUTE(Tabela1[[#This Row],[1]],",",""))+1,1),"")</f>
        <v/>
      </c>
      <c r="AA590" t="str">
        <f>IF(Tabela1[[#This Row],[2]]&lt;&gt;"",IF(ISNUMBER(FIND(",",Tabela1[[#This Row],[2]])),LEN(Tabela1[[#This Row],[2]])-LEN(SUBSTITUTE(Tabela1[[#This Row],[2]],",",""))+1,1),"")</f>
        <v/>
      </c>
      <c r="AB590" t="str">
        <f>IF(Tabela1[[#This Row],[3]]&lt;&gt;"",IF(ISNUMBER(FIND(",",Tabela1[[#This Row],[3]])),LEN(Tabela1[[#This Row],[3]])-LEN(SUBSTITUTE(Tabela1[[#This Row],[3]],",",""))+1,1),"")</f>
        <v/>
      </c>
      <c r="AC590" t="str">
        <f>IF(Tabela1[[#This Row],[4]]&lt;&gt;"",IF(ISNUMBER(FIND(",",Tabela1[[#This Row],[4]])),LEN(Tabela1[[#This Row],[4]])-LEN(SUBSTITUTE(Tabela1[[#This Row],[4]],",",""))+1,1),"")</f>
        <v/>
      </c>
      <c r="AD590">
        <f>IF(Tabela1[[#This Row],[5]]&lt;&gt;"",IF(ISNUMBER(FIND(",",Tabela1[[#This Row],[5]])),LEN(Tabela1[[#This Row],[5]])-LEN(SUBSTITUTE(Tabela1[[#This Row],[5]],",",""))+1,1),"")</f>
        <v>1</v>
      </c>
      <c r="AE590" t="str">
        <f>IF(Tabela1[[#This Row],[6]]&lt;&gt;"",IF(ISNUMBER(FIND(",",Tabela1[[#This Row],[6]])),LEN(Tabela1[[#This Row],[6]])-LEN(SUBSTITUTE(Tabela1[[#This Row],[6]],",",""))+1,1),"")</f>
        <v/>
      </c>
      <c r="AF590" t="str">
        <f>IF(Tabela1[[#This Row],[7]]&lt;&gt;"",IF(ISNUMBER(FIND(",",Tabela1[[#This Row],[7]])),LEN(Tabela1[[#This Row],[7]])-LEN(SUBSTITUTE(Tabela1[[#This Row],[7]],",",""))+1,1),"")</f>
        <v/>
      </c>
      <c r="AG590" t="str">
        <f>IF(Tabela1[[#This Row],[8]]&lt;&gt;"",IF(ISNUMBER(FIND(",",Tabela1[[#This Row],[8]])),LEN(Tabela1[[#This Row],[8]])-LEN(SUBSTITUTE(Tabela1[[#This Row],[8]],",",""))+1,1),"")</f>
        <v/>
      </c>
      <c r="AH590" t="str">
        <f>IF(Tabela1[[#This Row],[9]]&lt;&gt;"",IF(ISNUMBER(FIND(",",Tabela1[[#This Row],[9]])),LEN(Tabela1[[#This Row],[9]])-LEN(SUBSTITUTE(Tabela1[[#This Row],[9]],",",""))+1,1),"")</f>
        <v/>
      </c>
      <c r="AI590" t="str">
        <f>IF(Tabela1[[#This Row],[10]]&lt;&gt;"",IF(ISNUMBER(FIND(",",Tabela1[[#This Row],[10]])),LEN(Tabela1[[#This Row],[10]])-LEN(SUBSTITUTE(Tabela1[[#This Row],[10]],",",""))+1,1),"")</f>
        <v/>
      </c>
      <c r="AJ590" t="str">
        <f>IF(Tabela1[[#This Row],[11]]&lt;&gt;"",IF(ISNUMBER(FIND(",",Tabela1[[#This Row],[11]])),LEN(Tabela1[[#This Row],[11]])-LEN(SUBSTITUTE(Tabela1[[#This Row],[11]],",",""))+1,1),"")</f>
        <v/>
      </c>
      <c r="AK590" t="str">
        <f>IF(Tabela1[[#This Row],[12]]&lt;&gt;"",IF(ISNUMBER(FIND(",",Tabela1[[#This Row],[12]])),LEN(Tabela1[[#This Row],[12]])-LEN(SUBSTITUTE(Tabela1[[#This Row],[12]],",",""))+1,1),"")</f>
        <v/>
      </c>
      <c r="AL590" t="str">
        <f>IF(Tabela1[[#This Row],[13]]&lt;&gt;"",IF(ISNUMBER(FIND(",",Tabela1[[#This Row],[13]])),LEN(Tabela1[[#This Row],[13]])-LEN(SUBSTITUTE(Tabela1[[#This Row],[13]],",",""))+1,1),"")</f>
        <v/>
      </c>
      <c r="AM590" t="str">
        <f>IF(Tabela1[[#This Row],[14]]&lt;&gt;"",IF(ISNUMBER(FIND(",",Tabela1[[#This Row],[14]])),LEN(Tabela1[[#This Row],[14]])-LEN(SUBSTITUTE(Tabela1[[#This Row],[14]],",",""))+1,1),"")</f>
        <v/>
      </c>
      <c r="AN590" t="str">
        <f>IF(Tabela1[[#This Row],[15]]&lt;&gt;"",IF(ISNUMBER(FIND(",",Tabela1[[#This Row],[15]])),LEN(Tabela1[[#This Row],[15]])-LEN(SUBSTITUTE(Tabela1[[#This Row],[15]],",",""))+1,1),"")</f>
        <v/>
      </c>
      <c r="AO590">
        <f>IF(Tabela1[[#This Row],[16]]&lt;&gt;"",IF(ISNUMBER(FIND(",",Tabela1[[#This Row],[16]])),LEN(Tabela1[[#This Row],[16]])-LEN(SUBSTITUTE(Tabela1[[#This Row],[16]],",",""))+1,1),"")</f>
        <v>3</v>
      </c>
      <c r="AP590" t="str">
        <f>IF(Tabela1[[#This Row],[17]]&lt;&gt;"",IF(ISNUMBER(FIND(",",Tabela1[[#This Row],[17]])),LEN(Tabela1[[#This Row],[17]])-LEN(SUBSTITUTE(Tabela1[[#This Row],[17]],",",""))+1,1),"")</f>
        <v/>
      </c>
      <c r="AQ590" t="str">
        <f>IF(Tabela1[[#This Row],[18]]&lt;&gt;"",IF(ISNUMBER(FIND(",",Tabela1[[#This Row],[18]])),LEN(Tabela1[[#This Row],[18]])-LEN(SUBSTITUTE(Tabela1[[#This Row],[18]],",",""))+1,1),"")</f>
        <v/>
      </c>
      <c r="AR590" s="13" t="str">
        <f>IF(Tabela1[[#This Row],[19_LENGTH]]&lt;&gt;"",IF(ISNUMBER(FIND(",",Tabela1[[#This Row],[19_LENGTH]])),LEN(Tabela1[[#This Row],[19_LENGTH]])-LEN(SUBSTITUTE(Tabela1[[#This Row],[19_LENGTH]],",",""))+1,1),"")</f>
        <v/>
      </c>
      <c r="AS590" s="21">
        <f>SUM(Tabela1[[#This Row],[1_]:[19_]])</f>
        <v>4</v>
      </c>
    </row>
    <row r="591" spans="1:45" x14ac:dyDescent="0.25">
      <c r="A591" s="27" t="s">
        <v>1328</v>
      </c>
      <c r="B591" s="19" t="s">
        <v>621</v>
      </c>
      <c r="C591" s="19">
        <v>102</v>
      </c>
      <c r="D591" s="19" t="s">
        <v>1309</v>
      </c>
      <c r="E591" s="20">
        <v>43544</v>
      </c>
      <c r="F591" s="19"/>
      <c r="G591" s="19"/>
      <c r="H591" s="19"/>
      <c r="I591" s="19"/>
      <c r="J591" s="19">
        <v>78</v>
      </c>
      <c r="K591" s="19"/>
      <c r="L591" s="19"/>
      <c r="M591" s="19"/>
      <c r="N591" s="19"/>
      <c r="O591" s="19"/>
      <c r="P591" s="19"/>
      <c r="Q591" s="19"/>
      <c r="R591" s="19"/>
      <c r="S591" s="19"/>
      <c r="T591" s="19"/>
      <c r="U591" s="19"/>
      <c r="V591" s="19"/>
      <c r="W591" s="19"/>
      <c r="X591" s="19"/>
      <c r="Y591" s="19"/>
      <c r="Z591" t="str">
        <f>IF(Tabela1[[#This Row],[1]]&lt;&gt;"",IF(ISNUMBER(FIND(",",Tabela1[[#This Row],[1]])),LEN(Tabela1[[#This Row],[1]])-LEN(SUBSTITUTE(Tabela1[[#This Row],[1]],",",""))+1,1),"")</f>
        <v/>
      </c>
      <c r="AA591" t="str">
        <f>IF(Tabela1[[#This Row],[2]]&lt;&gt;"",IF(ISNUMBER(FIND(",",Tabela1[[#This Row],[2]])),LEN(Tabela1[[#This Row],[2]])-LEN(SUBSTITUTE(Tabela1[[#This Row],[2]],",",""))+1,1),"")</f>
        <v/>
      </c>
      <c r="AB591" t="str">
        <f>IF(Tabela1[[#This Row],[3]]&lt;&gt;"",IF(ISNUMBER(FIND(",",Tabela1[[#This Row],[3]])),LEN(Tabela1[[#This Row],[3]])-LEN(SUBSTITUTE(Tabela1[[#This Row],[3]],",",""))+1,1),"")</f>
        <v/>
      </c>
      <c r="AC591" t="str">
        <f>IF(Tabela1[[#This Row],[4]]&lt;&gt;"",IF(ISNUMBER(FIND(",",Tabela1[[#This Row],[4]])),LEN(Tabela1[[#This Row],[4]])-LEN(SUBSTITUTE(Tabela1[[#This Row],[4]],",",""))+1,1),"")</f>
        <v/>
      </c>
      <c r="AD591">
        <f>IF(Tabela1[[#This Row],[5]]&lt;&gt;"",IF(ISNUMBER(FIND(",",Tabela1[[#This Row],[5]])),LEN(Tabela1[[#This Row],[5]])-LEN(SUBSTITUTE(Tabela1[[#This Row],[5]],",",""))+1,1),"")</f>
        <v>1</v>
      </c>
      <c r="AE591" t="str">
        <f>IF(Tabela1[[#This Row],[6]]&lt;&gt;"",IF(ISNUMBER(FIND(",",Tabela1[[#This Row],[6]])),LEN(Tabela1[[#This Row],[6]])-LEN(SUBSTITUTE(Tabela1[[#This Row],[6]],",",""))+1,1),"")</f>
        <v/>
      </c>
      <c r="AF591" t="str">
        <f>IF(Tabela1[[#This Row],[7]]&lt;&gt;"",IF(ISNUMBER(FIND(",",Tabela1[[#This Row],[7]])),LEN(Tabela1[[#This Row],[7]])-LEN(SUBSTITUTE(Tabela1[[#This Row],[7]],",",""))+1,1),"")</f>
        <v/>
      </c>
      <c r="AG591" t="str">
        <f>IF(Tabela1[[#This Row],[8]]&lt;&gt;"",IF(ISNUMBER(FIND(",",Tabela1[[#This Row],[8]])),LEN(Tabela1[[#This Row],[8]])-LEN(SUBSTITUTE(Tabela1[[#This Row],[8]],",",""))+1,1),"")</f>
        <v/>
      </c>
      <c r="AH591" t="str">
        <f>IF(Tabela1[[#This Row],[9]]&lt;&gt;"",IF(ISNUMBER(FIND(",",Tabela1[[#This Row],[9]])),LEN(Tabela1[[#This Row],[9]])-LEN(SUBSTITUTE(Tabela1[[#This Row],[9]],",",""))+1,1),"")</f>
        <v/>
      </c>
      <c r="AI591" t="str">
        <f>IF(Tabela1[[#This Row],[10]]&lt;&gt;"",IF(ISNUMBER(FIND(",",Tabela1[[#This Row],[10]])),LEN(Tabela1[[#This Row],[10]])-LEN(SUBSTITUTE(Tabela1[[#This Row],[10]],",",""))+1,1),"")</f>
        <v/>
      </c>
      <c r="AJ591" t="str">
        <f>IF(Tabela1[[#This Row],[11]]&lt;&gt;"",IF(ISNUMBER(FIND(",",Tabela1[[#This Row],[11]])),LEN(Tabela1[[#This Row],[11]])-LEN(SUBSTITUTE(Tabela1[[#This Row],[11]],",",""))+1,1),"")</f>
        <v/>
      </c>
      <c r="AK591" t="str">
        <f>IF(Tabela1[[#This Row],[12]]&lt;&gt;"",IF(ISNUMBER(FIND(",",Tabela1[[#This Row],[12]])),LEN(Tabela1[[#This Row],[12]])-LEN(SUBSTITUTE(Tabela1[[#This Row],[12]],",",""))+1,1),"")</f>
        <v/>
      </c>
      <c r="AL591" t="str">
        <f>IF(Tabela1[[#This Row],[13]]&lt;&gt;"",IF(ISNUMBER(FIND(",",Tabela1[[#This Row],[13]])),LEN(Tabela1[[#This Row],[13]])-LEN(SUBSTITUTE(Tabela1[[#This Row],[13]],",",""))+1,1),"")</f>
        <v/>
      </c>
      <c r="AM591" t="str">
        <f>IF(Tabela1[[#This Row],[14]]&lt;&gt;"",IF(ISNUMBER(FIND(",",Tabela1[[#This Row],[14]])),LEN(Tabela1[[#This Row],[14]])-LEN(SUBSTITUTE(Tabela1[[#This Row],[14]],",",""))+1,1),"")</f>
        <v/>
      </c>
      <c r="AN591" t="str">
        <f>IF(Tabela1[[#This Row],[15]]&lt;&gt;"",IF(ISNUMBER(FIND(",",Tabela1[[#This Row],[15]])),LEN(Tabela1[[#This Row],[15]])-LEN(SUBSTITUTE(Tabela1[[#This Row],[15]],",",""))+1,1),"")</f>
        <v/>
      </c>
      <c r="AO591" t="str">
        <f>IF(Tabela1[[#This Row],[16]]&lt;&gt;"",IF(ISNUMBER(FIND(",",Tabela1[[#This Row],[16]])),LEN(Tabela1[[#This Row],[16]])-LEN(SUBSTITUTE(Tabela1[[#This Row],[16]],",",""))+1,1),"")</f>
        <v/>
      </c>
      <c r="AP591" t="str">
        <f>IF(Tabela1[[#This Row],[17]]&lt;&gt;"",IF(ISNUMBER(FIND(",",Tabela1[[#This Row],[17]])),LEN(Tabela1[[#This Row],[17]])-LEN(SUBSTITUTE(Tabela1[[#This Row],[17]],",",""))+1,1),"")</f>
        <v/>
      </c>
      <c r="AQ591" t="str">
        <f>IF(Tabela1[[#This Row],[18]]&lt;&gt;"",IF(ISNUMBER(FIND(",",Tabela1[[#This Row],[18]])),LEN(Tabela1[[#This Row],[18]])-LEN(SUBSTITUTE(Tabela1[[#This Row],[18]],",",""))+1,1),"")</f>
        <v/>
      </c>
      <c r="AR591" s="13" t="str">
        <f>IF(Tabela1[[#This Row],[19_LENGTH]]&lt;&gt;"",IF(ISNUMBER(FIND(",",Tabela1[[#This Row],[19_LENGTH]])),LEN(Tabela1[[#This Row],[19_LENGTH]])-LEN(SUBSTITUTE(Tabela1[[#This Row],[19_LENGTH]],",",""))+1,1),"")</f>
        <v/>
      </c>
      <c r="AS591" s="21">
        <f>SUM(Tabela1[[#This Row],[1_]:[19_]])</f>
        <v>1</v>
      </c>
    </row>
    <row r="592" spans="1:45" x14ac:dyDescent="0.25">
      <c r="A592" s="27" t="s">
        <v>1328</v>
      </c>
      <c r="B592" s="19" t="s">
        <v>622</v>
      </c>
      <c r="C592" s="19">
        <v>102</v>
      </c>
      <c r="D592" s="19" t="s">
        <v>1309</v>
      </c>
      <c r="E592" s="20">
        <v>43544</v>
      </c>
      <c r="F592" s="19"/>
      <c r="G592" s="19"/>
      <c r="H592" s="19"/>
      <c r="I592" s="19"/>
      <c r="J592" s="19"/>
      <c r="K592" s="19"/>
      <c r="L592" s="19"/>
      <c r="M592" s="19"/>
      <c r="N592" s="19"/>
      <c r="O592" s="19"/>
      <c r="P592" s="19"/>
      <c r="Q592" s="19"/>
      <c r="R592" s="19"/>
      <c r="S592" s="19"/>
      <c r="T592" s="19"/>
      <c r="U592" s="19">
        <v>11</v>
      </c>
      <c r="V592" s="19">
        <v>35</v>
      </c>
      <c r="W592" s="19"/>
      <c r="X592" s="19"/>
      <c r="Y592" s="19"/>
      <c r="Z592" t="str">
        <f>IF(Tabela1[[#This Row],[1]]&lt;&gt;"",IF(ISNUMBER(FIND(",",Tabela1[[#This Row],[1]])),LEN(Tabela1[[#This Row],[1]])-LEN(SUBSTITUTE(Tabela1[[#This Row],[1]],",",""))+1,1),"")</f>
        <v/>
      </c>
      <c r="AA592" t="str">
        <f>IF(Tabela1[[#This Row],[2]]&lt;&gt;"",IF(ISNUMBER(FIND(",",Tabela1[[#This Row],[2]])),LEN(Tabela1[[#This Row],[2]])-LEN(SUBSTITUTE(Tabela1[[#This Row],[2]],",",""))+1,1),"")</f>
        <v/>
      </c>
      <c r="AB592" t="str">
        <f>IF(Tabela1[[#This Row],[3]]&lt;&gt;"",IF(ISNUMBER(FIND(",",Tabela1[[#This Row],[3]])),LEN(Tabela1[[#This Row],[3]])-LEN(SUBSTITUTE(Tabela1[[#This Row],[3]],",",""))+1,1),"")</f>
        <v/>
      </c>
      <c r="AC592" t="str">
        <f>IF(Tabela1[[#This Row],[4]]&lt;&gt;"",IF(ISNUMBER(FIND(",",Tabela1[[#This Row],[4]])),LEN(Tabela1[[#This Row],[4]])-LEN(SUBSTITUTE(Tabela1[[#This Row],[4]],",",""))+1,1),"")</f>
        <v/>
      </c>
      <c r="AD592" t="str">
        <f>IF(Tabela1[[#This Row],[5]]&lt;&gt;"",IF(ISNUMBER(FIND(",",Tabela1[[#This Row],[5]])),LEN(Tabela1[[#This Row],[5]])-LEN(SUBSTITUTE(Tabela1[[#This Row],[5]],",",""))+1,1),"")</f>
        <v/>
      </c>
      <c r="AE592" t="str">
        <f>IF(Tabela1[[#This Row],[6]]&lt;&gt;"",IF(ISNUMBER(FIND(",",Tabela1[[#This Row],[6]])),LEN(Tabela1[[#This Row],[6]])-LEN(SUBSTITUTE(Tabela1[[#This Row],[6]],",",""))+1,1),"")</f>
        <v/>
      </c>
      <c r="AF592" t="str">
        <f>IF(Tabela1[[#This Row],[7]]&lt;&gt;"",IF(ISNUMBER(FIND(",",Tabela1[[#This Row],[7]])),LEN(Tabela1[[#This Row],[7]])-LEN(SUBSTITUTE(Tabela1[[#This Row],[7]],",",""))+1,1),"")</f>
        <v/>
      </c>
      <c r="AG592" t="str">
        <f>IF(Tabela1[[#This Row],[8]]&lt;&gt;"",IF(ISNUMBER(FIND(",",Tabela1[[#This Row],[8]])),LEN(Tabela1[[#This Row],[8]])-LEN(SUBSTITUTE(Tabela1[[#This Row],[8]],",",""))+1,1),"")</f>
        <v/>
      </c>
      <c r="AH592" t="str">
        <f>IF(Tabela1[[#This Row],[9]]&lt;&gt;"",IF(ISNUMBER(FIND(",",Tabela1[[#This Row],[9]])),LEN(Tabela1[[#This Row],[9]])-LEN(SUBSTITUTE(Tabela1[[#This Row],[9]],",",""))+1,1),"")</f>
        <v/>
      </c>
      <c r="AI592" t="str">
        <f>IF(Tabela1[[#This Row],[10]]&lt;&gt;"",IF(ISNUMBER(FIND(",",Tabela1[[#This Row],[10]])),LEN(Tabela1[[#This Row],[10]])-LEN(SUBSTITUTE(Tabela1[[#This Row],[10]],",",""))+1,1),"")</f>
        <v/>
      </c>
      <c r="AJ592" t="str">
        <f>IF(Tabela1[[#This Row],[11]]&lt;&gt;"",IF(ISNUMBER(FIND(",",Tabela1[[#This Row],[11]])),LEN(Tabela1[[#This Row],[11]])-LEN(SUBSTITUTE(Tabela1[[#This Row],[11]],",",""))+1,1),"")</f>
        <v/>
      </c>
      <c r="AK592" t="str">
        <f>IF(Tabela1[[#This Row],[12]]&lt;&gt;"",IF(ISNUMBER(FIND(",",Tabela1[[#This Row],[12]])),LEN(Tabela1[[#This Row],[12]])-LEN(SUBSTITUTE(Tabela1[[#This Row],[12]],",",""))+1,1),"")</f>
        <v/>
      </c>
      <c r="AL592" t="str">
        <f>IF(Tabela1[[#This Row],[13]]&lt;&gt;"",IF(ISNUMBER(FIND(",",Tabela1[[#This Row],[13]])),LEN(Tabela1[[#This Row],[13]])-LEN(SUBSTITUTE(Tabela1[[#This Row],[13]],",",""))+1,1),"")</f>
        <v/>
      </c>
      <c r="AM592" t="str">
        <f>IF(Tabela1[[#This Row],[14]]&lt;&gt;"",IF(ISNUMBER(FIND(",",Tabela1[[#This Row],[14]])),LEN(Tabela1[[#This Row],[14]])-LEN(SUBSTITUTE(Tabela1[[#This Row],[14]],",",""))+1,1),"")</f>
        <v/>
      </c>
      <c r="AN592" t="str">
        <f>IF(Tabela1[[#This Row],[15]]&lt;&gt;"",IF(ISNUMBER(FIND(",",Tabela1[[#This Row],[15]])),LEN(Tabela1[[#This Row],[15]])-LEN(SUBSTITUTE(Tabela1[[#This Row],[15]],",",""))+1,1),"")</f>
        <v/>
      </c>
      <c r="AO592">
        <f>IF(Tabela1[[#This Row],[16]]&lt;&gt;"",IF(ISNUMBER(FIND(",",Tabela1[[#This Row],[16]])),LEN(Tabela1[[#This Row],[16]])-LEN(SUBSTITUTE(Tabela1[[#This Row],[16]],",",""))+1,1),"")</f>
        <v>1</v>
      </c>
      <c r="AP592">
        <f>IF(Tabela1[[#This Row],[17]]&lt;&gt;"",IF(ISNUMBER(FIND(",",Tabela1[[#This Row],[17]])),LEN(Tabela1[[#This Row],[17]])-LEN(SUBSTITUTE(Tabela1[[#This Row],[17]],",",""))+1,1),"")</f>
        <v>1</v>
      </c>
      <c r="AQ592" t="str">
        <f>IF(Tabela1[[#This Row],[18]]&lt;&gt;"",IF(ISNUMBER(FIND(",",Tabela1[[#This Row],[18]])),LEN(Tabela1[[#This Row],[18]])-LEN(SUBSTITUTE(Tabela1[[#This Row],[18]],",",""))+1,1),"")</f>
        <v/>
      </c>
      <c r="AR592" s="13" t="str">
        <f>IF(Tabela1[[#This Row],[19_LENGTH]]&lt;&gt;"",IF(ISNUMBER(FIND(",",Tabela1[[#This Row],[19_LENGTH]])),LEN(Tabela1[[#This Row],[19_LENGTH]])-LEN(SUBSTITUTE(Tabela1[[#This Row],[19_LENGTH]],",",""))+1,1),"")</f>
        <v/>
      </c>
      <c r="AS592" s="21">
        <f>SUM(Tabela1[[#This Row],[1_]:[19_]])</f>
        <v>2</v>
      </c>
    </row>
    <row r="593" spans="1:45" x14ac:dyDescent="0.25">
      <c r="A593" s="27" t="s">
        <v>1328</v>
      </c>
      <c r="B593" s="19" t="s">
        <v>623</v>
      </c>
      <c r="C593" s="19">
        <v>102</v>
      </c>
      <c r="D593" s="19" t="s">
        <v>1309</v>
      </c>
      <c r="E593" s="20">
        <v>43544</v>
      </c>
      <c r="F593" s="19"/>
      <c r="G593" s="19"/>
      <c r="H593" s="19"/>
      <c r="I593" s="19"/>
      <c r="J593" s="19">
        <v>35</v>
      </c>
      <c r="K593" s="19"/>
      <c r="L593" s="19"/>
      <c r="M593" s="19"/>
      <c r="N593" s="19"/>
      <c r="O593" s="19"/>
      <c r="P593" s="19"/>
      <c r="Q593" s="19"/>
      <c r="R593" s="19"/>
      <c r="S593" s="19"/>
      <c r="T593" s="19"/>
      <c r="U593" s="19"/>
      <c r="V593" s="19"/>
      <c r="W593" s="19"/>
      <c r="X593" s="19"/>
      <c r="Y593" s="19"/>
      <c r="Z593" t="str">
        <f>IF(Tabela1[[#This Row],[1]]&lt;&gt;"",IF(ISNUMBER(FIND(",",Tabela1[[#This Row],[1]])),LEN(Tabela1[[#This Row],[1]])-LEN(SUBSTITUTE(Tabela1[[#This Row],[1]],",",""))+1,1),"")</f>
        <v/>
      </c>
      <c r="AA593" t="str">
        <f>IF(Tabela1[[#This Row],[2]]&lt;&gt;"",IF(ISNUMBER(FIND(",",Tabela1[[#This Row],[2]])),LEN(Tabela1[[#This Row],[2]])-LEN(SUBSTITUTE(Tabela1[[#This Row],[2]],",",""))+1,1),"")</f>
        <v/>
      </c>
      <c r="AB593" t="str">
        <f>IF(Tabela1[[#This Row],[3]]&lt;&gt;"",IF(ISNUMBER(FIND(",",Tabela1[[#This Row],[3]])),LEN(Tabela1[[#This Row],[3]])-LEN(SUBSTITUTE(Tabela1[[#This Row],[3]],",",""))+1,1),"")</f>
        <v/>
      </c>
      <c r="AC593" t="str">
        <f>IF(Tabela1[[#This Row],[4]]&lt;&gt;"",IF(ISNUMBER(FIND(",",Tabela1[[#This Row],[4]])),LEN(Tabela1[[#This Row],[4]])-LEN(SUBSTITUTE(Tabela1[[#This Row],[4]],",",""))+1,1),"")</f>
        <v/>
      </c>
      <c r="AD593">
        <f>IF(Tabela1[[#This Row],[5]]&lt;&gt;"",IF(ISNUMBER(FIND(",",Tabela1[[#This Row],[5]])),LEN(Tabela1[[#This Row],[5]])-LEN(SUBSTITUTE(Tabela1[[#This Row],[5]],",",""))+1,1),"")</f>
        <v>1</v>
      </c>
      <c r="AE593" t="str">
        <f>IF(Tabela1[[#This Row],[6]]&lt;&gt;"",IF(ISNUMBER(FIND(",",Tabela1[[#This Row],[6]])),LEN(Tabela1[[#This Row],[6]])-LEN(SUBSTITUTE(Tabela1[[#This Row],[6]],",",""))+1,1),"")</f>
        <v/>
      </c>
      <c r="AF593" t="str">
        <f>IF(Tabela1[[#This Row],[7]]&lt;&gt;"",IF(ISNUMBER(FIND(",",Tabela1[[#This Row],[7]])),LEN(Tabela1[[#This Row],[7]])-LEN(SUBSTITUTE(Tabela1[[#This Row],[7]],",",""))+1,1),"")</f>
        <v/>
      </c>
      <c r="AG593" t="str">
        <f>IF(Tabela1[[#This Row],[8]]&lt;&gt;"",IF(ISNUMBER(FIND(",",Tabela1[[#This Row],[8]])),LEN(Tabela1[[#This Row],[8]])-LEN(SUBSTITUTE(Tabela1[[#This Row],[8]],",",""))+1,1),"")</f>
        <v/>
      </c>
      <c r="AH593" t="str">
        <f>IF(Tabela1[[#This Row],[9]]&lt;&gt;"",IF(ISNUMBER(FIND(",",Tabela1[[#This Row],[9]])),LEN(Tabela1[[#This Row],[9]])-LEN(SUBSTITUTE(Tabela1[[#This Row],[9]],",",""))+1,1),"")</f>
        <v/>
      </c>
      <c r="AI593" t="str">
        <f>IF(Tabela1[[#This Row],[10]]&lt;&gt;"",IF(ISNUMBER(FIND(",",Tabela1[[#This Row],[10]])),LEN(Tabela1[[#This Row],[10]])-LEN(SUBSTITUTE(Tabela1[[#This Row],[10]],",",""))+1,1),"")</f>
        <v/>
      </c>
      <c r="AJ593" t="str">
        <f>IF(Tabela1[[#This Row],[11]]&lt;&gt;"",IF(ISNUMBER(FIND(",",Tabela1[[#This Row],[11]])),LEN(Tabela1[[#This Row],[11]])-LEN(SUBSTITUTE(Tabela1[[#This Row],[11]],",",""))+1,1),"")</f>
        <v/>
      </c>
      <c r="AK593" t="str">
        <f>IF(Tabela1[[#This Row],[12]]&lt;&gt;"",IF(ISNUMBER(FIND(",",Tabela1[[#This Row],[12]])),LEN(Tabela1[[#This Row],[12]])-LEN(SUBSTITUTE(Tabela1[[#This Row],[12]],",",""))+1,1),"")</f>
        <v/>
      </c>
      <c r="AL593" t="str">
        <f>IF(Tabela1[[#This Row],[13]]&lt;&gt;"",IF(ISNUMBER(FIND(",",Tabela1[[#This Row],[13]])),LEN(Tabela1[[#This Row],[13]])-LEN(SUBSTITUTE(Tabela1[[#This Row],[13]],",",""))+1,1),"")</f>
        <v/>
      </c>
      <c r="AM593" t="str">
        <f>IF(Tabela1[[#This Row],[14]]&lt;&gt;"",IF(ISNUMBER(FIND(",",Tabela1[[#This Row],[14]])),LEN(Tabela1[[#This Row],[14]])-LEN(SUBSTITUTE(Tabela1[[#This Row],[14]],",",""))+1,1),"")</f>
        <v/>
      </c>
      <c r="AN593" t="str">
        <f>IF(Tabela1[[#This Row],[15]]&lt;&gt;"",IF(ISNUMBER(FIND(",",Tabela1[[#This Row],[15]])),LEN(Tabela1[[#This Row],[15]])-LEN(SUBSTITUTE(Tabela1[[#This Row],[15]],",",""))+1,1),"")</f>
        <v/>
      </c>
      <c r="AO593" t="str">
        <f>IF(Tabela1[[#This Row],[16]]&lt;&gt;"",IF(ISNUMBER(FIND(",",Tabela1[[#This Row],[16]])),LEN(Tabela1[[#This Row],[16]])-LEN(SUBSTITUTE(Tabela1[[#This Row],[16]],",",""))+1,1),"")</f>
        <v/>
      </c>
      <c r="AP593" t="str">
        <f>IF(Tabela1[[#This Row],[17]]&lt;&gt;"",IF(ISNUMBER(FIND(",",Tabela1[[#This Row],[17]])),LEN(Tabela1[[#This Row],[17]])-LEN(SUBSTITUTE(Tabela1[[#This Row],[17]],",",""))+1,1),"")</f>
        <v/>
      </c>
      <c r="AQ593" t="str">
        <f>IF(Tabela1[[#This Row],[18]]&lt;&gt;"",IF(ISNUMBER(FIND(",",Tabela1[[#This Row],[18]])),LEN(Tabela1[[#This Row],[18]])-LEN(SUBSTITUTE(Tabela1[[#This Row],[18]],",",""))+1,1),"")</f>
        <v/>
      </c>
      <c r="AR593" s="13" t="str">
        <f>IF(Tabela1[[#This Row],[19_LENGTH]]&lt;&gt;"",IF(ISNUMBER(FIND(",",Tabela1[[#This Row],[19_LENGTH]])),LEN(Tabela1[[#This Row],[19_LENGTH]])-LEN(SUBSTITUTE(Tabela1[[#This Row],[19_LENGTH]],",",""))+1,1),"")</f>
        <v/>
      </c>
      <c r="AS593" s="21">
        <f>SUM(Tabela1[[#This Row],[1_]:[19_]])</f>
        <v>1</v>
      </c>
    </row>
    <row r="594" spans="1:45" x14ac:dyDescent="0.25">
      <c r="A594" s="27" t="s">
        <v>1325</v>
      </c>
      <c r="B594" s="19" t="s">
        <v>624</v>
      </c>
      <c r="C594" s="19">
        <v>202</v>
      </c>
      <c r="D594" s="19" t="s">
        <v>1315</v>
      </c>
      <c r="E594" s="20">
        <v>43544</v>
      </c>
      <c r="F594" s="19"/>
      <c r="G594" s="19"/>
      <c r="H594" s="19"/>
      <c r="I594" s="19"/>
      <c r="J594" s="19"/>
      <c r="K594" s="19">
        <v>45</v>
      </c>
      <c r="L594" s="19"/>
      <c r="M594" s="19"/>
      <c r="N594" s="19"/>
      <c r="O594" s="19"/>
      <c r="P594" s="19"/>
      <c r="Q594" s="19"/>
      <c r="R594" s="19"/>
      <c r="S594" s="19"/>
      <c r="T594" s="19"/>
      <c r="U594" s="19"/>
      <c r="V594" s="19"/>
      <c r="W594" s="19"/>
      <c r="X594" s="19"/>
      <c r="Y594" s="19"/>
      <c r="Z594" t="str">
        <f>IF(Tabela1[[#This Row],[1]]&lt;&gt;"",IF(ISNUMBER(FIND(",",Tabela1[[#This Row],[1]])),LEN(Tabela1[[#This Row],[1]])-LEN(SUBSTITUTE(Tabela1[[#This Row],[1]],",",""))+1,1),"")</f>
        <v/>
      </c>
      <c r="AA594" t="str">
        <f>IF(Tabela1[[#This Row],[2]]&lt;&gt;"",IF(ISNUMBER(FIND(",",Tabela1[[#This Row],[2]])),LEN(Tabela1[[#This Row],[2]])-LEN(SUBSTITUTE(Tabela1[[#This Row],[2]],",",""))+1,1),"")</f>
        <v/>
      </c>
      <c r="AB594" t="str">
        <f>IF(Tabela1[[#This Row],[3]]&lt;&gt;"",IF(ISNUMBER(FIND(",",Tabela1[[#This Row],[3]])),LEN(Tabela1[[#This Row],[3]])-LEN(SUBSTITUTE(Tabela1[[#This Row],[3]],",",""))+1,1),"")</f>
        <v/>
      </c>
      <c r="AC594" t="str">
        <f>IF(Tabela1[[#This Row],[4]]&lt;&gt;"",IF(ISNUMBER(FIND(",",Tabela1[[#This Row],[4]])),LEN(Tabela1[[#This Row],[4]])-LEN(SUBSTITUTE(Tabela1[[#This Row],[4]],",",""))+1,1),"")</f>
        <v/>
      </c>
      <c r="AD594" t="str">
        <f>IF(Tabela1[[#This Row],[5]]&lt;&gt;"",IF(ISNUMBER(FIND(",",Tabela1[[#This Row],[5]])),LEN(Tabela1[[#This Row],[5]])-LEN(SUBSTITUTE(Tabela1[[#This Row],[5]],",",""))+1,1),"")</f>
        <v/>
      </c>
      <c r="AE594">
        <f>IF(Tabela1[[#This Row],[6]]&lt;&gt;"",IF(ISNUMBER(FIND(",",Tabela1[[#This Row],[6]])),LEN(Tabela1[[#This Row],[6]])-LEN(SUBSTITUTE(Tabela1[[#This Row],[6]],",",""))+1,1),"")</f>
        <v>1</v>
      </c>
      <c r="AF594" t="str">
        <f>IF(Tabela1[[#This Row],[7]]&lt;&gt;"",IF(ISNUMBER(FIND(",",Tabela1[[#This Row],[7]])),LEN(Tabela1[[#This Row],[7]])-LEN(SUBSTITUTE(Tabela1[[#This Row],[7]],",",""))+1,1),"")</f>
        <v/>
      </c>
      <c r="AG594" t="str">
        <f>IF(Tabela1[[#This Row],[8]]&lt;&gt;"",IF(ISNUMBER(FIND(",",Tabela1[[#This Row],[8]])),LEN(Tabela1[[#This Row],[8]])-LEN(SUBSTITUTE(Tabela1[[#This Row],[8]],",",""))+1,1),"")</f>
        <v/>
      </c>
      <c r="AH594" t="str">
        <f>IF(Tabela1[[#This Row],[9]]&lt;&gt;"",IF(ISNUMBER(FIND(",",Tabela1[[#This Row],[9]])),LEN(Tabela1[[#This Row],[9]])-LEN(SUBSTITUTE(Tabela1[[#This Row],[9]],",",""))+1,1),"")</f>
        <v/>
      </c>
      <c r="AI594" t="str">
        <f>IF(Tabela1[[#This Row],[10]]&lt;&gt;"",IF(ISNUMBER(FIND(",",Tabela1[[#This Row],[10]])),LEN(Tabela1[[#This Row],[10]])-LEN(SUBSTITUTE(Tabela1[[#This Row],[10]],",",""))+1,1),"")</f>
        <v/>
      </c>
      <c r="AJ594" t="str">
        <f>IF(Tabela1[[#This Row],[11]]&lt;&gt;"",IF(ISNUMBER(FIND(",",Tabela1[[#This Row],[11]])),LEN(Tabela1[[#This Row],[11]])-LEN(SUBSTITUTE(Tabela1[[#This Row],[11]],",",""))+1,1),"")</f>
        <v/>
      </c>
      <c r="AK594" t="str">
        <f>IF(Tabela1[[#This Row],[12]]&lt;&gt;"",IF(ISNUMBER(FIND(",",Tabela1[[#This Row],[12]])),LEN(Tabela1[[#This Row],[12]])-LEN(SUBSTITUTE(Tabela1[[#This Row],[12]],",",""))+1,1),"")</f>
        <v/>
      </c>
      <c r="AL594" t="str">
        <f>IF(Tabela1[[#This Row],[13]]&lt;&gt;"",IF(ISNUMBER(FIND(",",Tabela1[[#This Row],[13]])),LEN(Tabela1[[#This Row],[13]])-LEN(SUBSTITUTE(Tabela1[[#This Row],[13]],",",""))+1,1),"")</f>
        <v/>
      </c>
      <c r="AM594" t="str">
        <f>IF(Tabela1[[#This Row],[14]]&lt;&gt;"",IF(ISNUMBER(FIND(",",Tabela1[[#This Row],[14]])),LEN(Tabela1[[#This Row],[14]])-LEN(SUBSTITUTE(Tabela1[[#This Row],[14]],",",""))+1,1),"")</f>
        <v/>
      </c>
      <c r="AN594" t="str">
        <f>IF(Tabela1[[#This Row],[15]]&lt;&gt;"",IF(ISNUMBER(FIND(",",Tabela1[[#This Row],[15]])),LEN(Tabela1[[#This Row],[15]])-LEN(SUBSTITUTE(Tabela1[[#This Row],[15]],",",""))+1,1),"")</f>
        <v/>
      </c>
      <c r="AO594" t="str">
        <f>IF(Tabela1[[#This Row],[16]]&lt;&gt;"",IF(ISNUMBER(FIND(",",Tabela1[[#This Row],[16]])),LEN(Tabela1[[#This Row],[16]])-LEN(SUBSTITUTE(Tabela1[[#This Row],[16]],",",""))+1,1),"")</f>
        <v/>
      </c>
      <c r="AP594" t="str">
        <f>IF(Tabela1[[#This Row],[17]]&lt;&gt;"",IF(ISNUMBER(FIND(",",Tabela1[[#This Row],[17]])),LEN(Tabela1[[#This Row],[17]])-LEN(SUBSTITUTE(Tabela1[[#This Row],[17]],",",""))+1,1),"")</f>
        <v/>
      </c>
      <c r="AQ594" t="str">
        <f>IF(Tabela1[[#This Row],[18]]&lt;&gt;"",IF(ISNUMBER(FIND(",",Tabela1[[#This Row],[18]])),LEN(Tabela1[[#This Row],[18]])-LEN(SUBSTITUTE(Tabela1[[#This Row],[18]],",",""))+1,1),"")</f>
        <v/>
      </c>
      <c r="AR594" s="13" t="str">
        <f>IF(Tabela1[[#This Row],[19_LENGTH]]&lt;&gt;"",IF(ISNUMBER(FIND(",",Tabela1[[#This Row],[19_LENGTH]])),LEN(Tabela1[[#This Row],[19_LENGTH]])-LEN(SUBSTITUTE(Tabela1[[#This Row],[19_LENGTH]],",",""))+1,1),"")</f>
        <v/>
      </c>
      <c r="AS594" s="21">
        <f>SUM(Tabela1[[#This Row],[1_]:[19_]])</f>
        <v>1</v>
      </c>
    </row>
    <row r="595" spans="1:45" x14ac:dyDescent="0.25">
      <c r="A595" s="27" t="s">
        <v>1325</v>
      </c>
      <c r="B595" s="19" t="s">
        <v>625</v>
      </c>
      <c r="C595" s="19">
        <v>202</v>
      </c>
      <c r="D595" s="19" t="s">
        <v>1315</v>
      </c>
      <c r="E595" s="20">
        <v>43544</v>
      </c>
      <c r="F595" s="19"/>
      <c r="G595" s="19"/>
      <c r="H595" s="19"/>
      <c r="I595" s="19"/>
      <c r="J595" s="19"/>
      <c r="K595" s="19" t="s">
        <v>226</v>
      </c>
      <c r="L595" s="19"/>
      <c r="M595" s="19"/>
      <c r="N595" s="19"/>
      <c r="O595" s="19"/>
      <c r="P595" s="19"/>
      <c r="Q595" s="19"/>
      <c r="R595" s="19"/>
      <c r="S595" s="19"/>
      <c r="T595" s="19"/>
      <c r="U595" s="19"/>
      <c r="V595" s="19"/>
      <c r="W595" s="19"/>
      <c r="X595" s="19"/>
      <c r="Y595" s="19"/>
      <c r="Z595" t="str">
        <f>IF(Tabela1[[#This Row],[1]]&lt;&gt;"",IF(ISNUMBER(FIND(",",Tabela1[[#This Row],[1]])),LEN(Tabela1[[#This Row],[1]])-LEN(SUBSTITUTE(Tabela1[[#This Row],[1]],",",""))+1,1),"")</f>
        <v/>
      </c>
      <c r="AA595" t="str">
        <f>IF(Tabela1[[#This Row],[2]]&lt;&gt;"",IF(ISNUMBER(FIND(",",Tabela1[[#This Row],[2]])),LEN(Tabela1[[#This Row],[2]])-LEN(SUBSTITUTE(Tabela1[[#This Row],[2]],",",""))+1,1),"")</f>
        <v/>
      </c>
      <c r="AB595" t="str">
        <f>IF(Tabela1[[#This Row],[3]]&lt;&gt;"",IF(ISNUMBER(FIND(",",Tabela1[[#This Row],[3]])),LEN(Tabela1[[#This Row],[3]])-LEN(SUBSTITUTE(Tabela1[[#This Row],[3]],",",""))+1,1),"")</f>
        <v/>
      </c>
      <c r="AC595" t="str">
        <f>IF(Tabela1[[#This Row],[4]]&lt;&gt;"",IF(ISNUMBER(FIND(",",Tabela1[[#This Row],[4]])),LEN(Tabela1[[#This Row],[4]])-LEN(SUBSTITUTE(Tabela1[[#This Row],[4]],",",""))+1,1),"")</f>
        <v/>
      </c>
      <c r="AD595" t="str">
        <f>IF(Tabela1[[#This Row],[5]]&lt;&gt;"",IF(ISNUMBER(FIND(",",Tabela1[[#This Row],[5]])),LEN(Tabela1[[#This Row],[5]])-LEN(SUBSTITUTE(Tabela1[[#This Row],[5]],",",""))+1,1),"")</f>
        <v/>
      </c>
      <c r="AE595">
        <f>IF(Tabela1[[#This Row],[6]]&lt;&gt;"",IF(ISNUMBER(FIND(",",Tabela1[[#This Row],[6]])),LEN(Tabela1[[#This Row],[6]])-LEN(SUBSTITUTE(Tabela1[[#This Row],[6]],",",""))+1,1),"")</f>
        <v>2</v>
      </c>
      <c r="AF595" t="str">
        <f>IF(Tabela1[[#This Row],[7]]&lt;&gt;"",IF(ISNUMBER(FIND(",",Tabela1[[#This Row],[7]])),LEN(Tabela1[[#This Row],[7]])-LEN(SUBSTITUTE(Tabela1[[#This Row],[7]],",",""))+1,1),"")</f>
        <v/>
      </c>
      <c r="AG595" t="str">
        <f>IF(Tabela1[[#This Row],[8]]&lt;&gt;"",IF(ISNUMBER(FIND(",",Tabela1[[#This Row],[8]])),LEN(Tabela1[[#This Row],[8]])-LEN(SUBSTITUTE(Tabela1[[#This Row],[8]],",",""))+1,1),"")</f>
        <v/>
      </c>
      <c r="AH595" t="str">
        <f>IF(Tabela1[[#This Row],[9]]&lt;&gt;"",IF(ISNUMBER(FIND(",",Tabela1[[#This Row],[9]])),LEN(Tabela1[[#This Row],[9]])-LEN(SUBSTITUTE(Tabela1[[#This Row],[9]],",",""))+1,1),"")</f>
        <v/>
      </c>
      <c r="AI595" t="str">
        <f>IF(Tabela1[[#This Row],[10]]&lt;&gt;"",IF(ISNUMBER(FIND(",",Tabela1[[#This Row],[10]])),LEN(Tabela1[[#This Row],[10]])-LEN(SUBSTITUTE(Tabela1[[#This Row],[10]],",",""))+1,1),"")</f>
        <v/>
      </c>
      <c r="AJ595" t="str">
        <f>IF(Tabela1[[#This Row],[11]]&lt;&gt;"",IF(ISNUMBER(FIND(",",Tabela1[[#This Row],[11]])),LEN(Tabela1[[#This Row],[11]])-LEN(SUBSTITUTE(Tabela1[[#This Row],[11]],",",""))+1,1),"")</f>
        <v/>
      </c>
      <c r="AK595" t="str">
        <f>IF(Tabela1[[#This Row],[12]]&lt;&gt;"",IF(ISNUMBER(FIND(",",Tabela1[[#This Row],[12]])),LEN(Tabela1[[#This Row],[12]])-LEN(SUBSTITUTE(Tabela1[[#This Row],[12]],",",""))+1,1),"")</f>
        <v/>
      </c>
      <c r="AL595" t="str">
        <f>IF(Tabela1[[#This Row],[13]]&lt;&gt;"",IF(ISNUMBER(FIND(",",Tabela1[[#This Row],[13]])),LEN(Tabela1[[#This Row],[13]])-LEN(SUBSTITUTE(Tabela1[[#This Row],[13]],",",""))+1,1),"")</f>
        <v/>
      </c>
      <c r="AM595" t="str">
        <f>IF(Tabela1[[#This Row],[14]]&lt;&gt;"",IF(ISNUMBER(FIND(",",Tabela1[[#This Row],[14]])),LEN(Tabela1[[#This Row],[14]])-LEN(SUBSTITUTE(Tabela1[[#This Row],[14]],",",""))+1,1),"")</f>
        <v/>
      </c>
      <c r="AN595" t="str">
        <f>IF(Tabela1[[#This Row],[15]]&lt;&gt;"",IF(ISNUMBER(FIND(",",Tabela1[[#This Row],[15]])),LEN(Tabela1[[#This Row],[15]])-LEN(SUBSTITUTE(Tabela1[[#This Row],[15]],",",""))+1,1),"")</f>
        <v/>
      </c>
      <c r="AO595" t="str">
        <f>IF(Tabela1[[#This Row],[16]]&lt;&gt;"",IF(ISNUMBER(FIND(",",Tabela1[[#This Row],[16]])),LEN(Tabela1[[#This Row],[16]])-LEN(SUBSTITUTE(Tabela1[[#This Row],[16]],",",""))+1,1),"")</f>
        <v/>
      </c>
      <c r="AP595" t="str">
        <f>IF(Tabela1[[#This Row],[17]]&lt;&gt;"",IF(ISNUMBER(FIND(",",Tabela1[[#This Row],[17]])),LEN(Tabela1[[#This Row],[17]])-LEN(SUBSTITUTE(Tabela1[[#This Row],[17]],",",""))+1,1),"")</f>
        <v/>
      </c>
      <c r="AQ595" t="str">
        <f>IF(Tabela1[[#This Row],[18]]&lt;&gt;"",IF(ISNUMBER(FIND(",",Tabela1[[#This Row],[18]])),LEN(Tabela1[[#This Row],[18]])-LEN(SUBSTITUTE(Tabela1[[#This Row],[18]],",",""))+1,1),"")</f>
        <v/>
      </c>
      <c r="AR595" s="13" t="str">
        <f>IF(Tabela1[[#This Row],[19_LENGTH]]&lt;&gt;"",IF(ISNUMBER(FIND(",",Tabela1[[#This Row],[19_LENGTH]])),LEN(Tabela1[[#This Row],[19_LENGTH]])-LEN(SUBSTITUTE(Tabela1[[#This Row],[19_LENGTH]],",",""))+1,1),"")</f>
        <v/>
      </c>
      <c r="AS595" s="21">
        <f>SUM(Tabela1[[#This Row],[1_]:[19_]])</f>
        <v>2</v>
      </c>
    </row>
    <row r="596" spans="1:45" x14ac:dyDescent="0.25">
      <c r="A596" s="27" t="s">
        <v>1325</v>
      </c>
      <c r="B596" s="19" t="s">
        <v>626</v>
      </c>
      <c r="C596" s="19">
        <v>202</v>
      </c>
      <c r="D596" s="19" t="s">
        <v>1315</v>
      </c>
      <c r="E596" s="20">
        <v>43544</v>
      </c>
      <c r="F596" s="19"/>
      <c r="G596" s="19"/>
      <c r="H596" s="19" t="s">
        <v>227</v>
      </c>
      <c r="I596" s="19"/>
      <c r="J596" s="19"/>
      <c r="K596" s="19"/>
      <c r="L596" s="19"/>
      <c r="M596" s="19"/>
      <c r="N596" s="19"/>
      <c r="O596" s="19"/>
      <c r="P596" s="19"/>
      <c r="Q596" s="19"/>
      <c r="R596" s="19"/>
      <c r="S596" s="19"/>
      <c r="T596" s="19"/>
      <c r="U596" s="19">
        <v>38</v>
      </c>
      <c r="V596" s="19"/>
      <c r="W596" s="19"/>
      <c r="X596" s="19"/>
      <c r="Y596" s="19"/>
      <c r="Z596" t="str">
        <f>IF(Tabela1[[#This Row],[1]]&lt;&gt;"",IF(ISNUMBER(FIND(",",Tabela1[[#This Row],[1]])),LEN(Tabela1[[#This Row],[1]])-LEN(SUBSTITUTE(Tabela1[[#This Row],[1]],",",""))+1,1),"")</f>
        <v/>
      </c>
      <c r="AA596" t="str">
        <f>IF(Tabela1[[#This Row],[2]]&lt;&gt;"",IF(ISNUMBER(FIND(",",Tabela1[[#This Row],[2]])),LEN(Tabela1[[#This Row],[2]])-LEN(SUBSTITUTE(Tabela1[[#This Row],[2]],",",""))+1,1),"")</f>
        <v/>
      </c>
      <c r="AB596">
        <f>IF(Tabela1[[#This Row],[3]]&lt;&gt;"",IF(ISNUMBER(FIND(",",Tabela1[[#This Row],[3]])),LEN(Tabela1[[#This Row],[3]])-LEN(SUBSTITUTE(Tabela1[[#This Row],[3]],",",""))+1,1),"")</f>
        <v>1</v>
      </c>
      <c r="AC596" t="str">
        <f>IF(Tabela1[[#This Row],[4]]&lt;&gt;"",IF(ISNUMBER(FIND(",",Tabela1[[#This Row],[4]])),LEN(Tabela1[[#This Row],[4]])-LEN(SUBSTITUTE(Tabela1[[#This Row],[4]],",",""))+1,1),"")</f>
        <v/>
      </c>
      <c r="AD596" t="str">
        <f>IF(Tabela1[[#This Row],[5]]&lt;&gt;"",IF(ISNUMBER(FIND(",",Tabela1[[#This Row],[5]])),LEN(Tabela1[[#This Row],[5]])-LEN(SUBSTITUTE(Tabela1[[#This Row],[5]],",",""))+1,1),"")</f>
        <v/>
      </c>
      <c r="AE596" t="str">
        <f>IF(Tabela1[[#This Row],[6]]&lt;&gt;"",IF(ISNUMBER(FIND(",",Tabela1[[#This Row],[6]])),LEN(Tabela1[[#This Row],[6]])-LEN(SUBSTITUTE(Tabela1[[#This Row],[6]],",",""))+1,1),"")</f>
        <v/>
      </c>
      <c r="AF596" t="str">
        <f>IF(Tabela1[[#This Row],[7]]&lt;&gt;"",IF(ISNUMBER(FIND(",",Tabela1[[#This Row],[7]])),LEN(Tabela1[[#This Row],[7]])-LEN(SUBSTITUTE(Tabela1[[#This Row],[7]],",",""))+1,1),"")</f>
        <v/>
      </c>
      <c r="AG596" t="str">
        <f>IF(Tabela1[[#This Row],[8]]&lt;&gt;"",IF(ISNUMBER(FIND(",",Tabela1[[#This Row],[8]])),LEN(Tabela1[[#This Row],[8]])-LEN(SUBSTITUTE(Tabela1[[#This Row],[8]],",",""))+1,1),"")</f>
        <v/>
      </c>
      <c r="AH596" t="str">
        <f>IF(Tabela1[[#This Row],[9]]&lt;&gt;"",IF(ISNUMBER(FIND(",",Tabela1[[#This Row],[9]])),LEN(Tabela1[[#This Row],[9]])-LEN(SUBSTITUTE(Tabela1[[#This Row],[9]],",",""))+1,1),"")</f>
        <v/>
      </c>
      <c r="AI596" t="str">
        <f>IF(Tabela1[[#This Row],[10]]&lt;&gt;"",IF(ISNUMBER(FIND(",",Tabela1[[#This Row],[10]])),LEN(Tabela1[[#This Row],[10]])-LEN(SUBSTITUTE(Tabela1[[#This Row],[10]],",",""))+1,1),"")</f>
        <v/>
      </c>
      <c r="AJ596" t="str">
        <f>IF(Tabela1[[#This Row],[11]]&lt;&gt;"",IF(ISNUMBER(FIND(",",Tabela1[[#This Row],[11]])),LEN(Tabela1[[#This Row],[11]])-LEN(SUBSTITUTE(Tabela1[[#This Row],[11]],",",""))+1,1),"")</f>
        <v/>
      </c>
      <c r="AK596" t="str">
        <f>IF(Tabela1[[#This Row],[12]]&lt;&gt;"",IF(ISNUMBER(FIND(",",Tabela1[[#This Row],[12]])),LEN(Tabela1[[#This Row],[12]])-LEN(SUBSTITUTE(Tabela1[[#This Row],[12]],",",""))+1,1),"")</f>
        <v/>
      </c>
      <c r="AL596" t="str">
        <f>IF(Tabela1[[#This Row],[13]]&lt;&gt;"",IF(ISNUMBER(FIND(",",Tabela1[[#This Row],[13]])),LEN(Tabela1[[#This Row],[13]])-LEN(SUBSTITUTE(Tabela1[[#This Row],[13]],",",""))+1,1),"")</f>
        <v/>
      </c>
      <c r="AM596" t="str">
        <f>IF(Tabela1[[#This Row],[14]]&lt;&gt;"",IF(ISNUMBER(FIND(",",Tabela1[[#This Row],[14]])),LEN(Tabela1[[#This Row],[14]])-LEN(SUBSTITUTE(Tabela1[[#This Row],[14]],",",""))+1,1),"")</f>
        <v/>
      </c>
      <c r="AN596" t="str">
        <f>IF(Tabela1[[#This Row],[15]]&lt;&gt;"",IF(ISNUMBER(FIND(",",Tabela1[[#This Row],[15]])),LEN(Tabela1[[#This Row],[15]])-LEN(SUBSTITUTE(Tabela1[[#This Row],[15]],",",""))+1,1),"")</f>
        <v/>
      </c>
      <c r="AO596">
        <f>IF(Tabela1[[#This Row],[16]]&lt;&gt;"",IF(ISNUMBER(FIND(",",Tabela1[[#This Row],[16]])),LEN(Tabela1[[#This Row],[16]])-LEN(SUBSTITUTE(Tabela1[[#This Row],[16]],",",""))+1,1),"")</f>
        <v>1</v>
      </c>
      <c r="AP596" t="str">
        <f>IF(Tabela1[[#This Row],[17]]&lt;&gt;"",IF(ISNUMBER(FIND(",",Tabela1[[#This Row],[17]])),LEN(Tabela1[[#This Row],[17]])-LEN(SUBSTITUTE(Tabela1[[#This Row],[17]],",",""))+1,1),"")</f>
        <v/>
      </c>
      <c r="AQ596" t="str">
        <f>IF(Tabela1[[#This Row],[18]]&lt;&gt;"",IF(ISNUMBER(FIND(",",Tabela1[[#This Row],[18]])),LEN(Tabela1[[#This Row],[18]])-LEN(SUBSTITUTE(Tabela1[[#This Row],[18]],",",""))+1,1),"")</f>
        <v/>
      </c>
      <c r="AR596" s="13" t="str">
        <f>IF(Tabela1[[#This Row],[19_LENGTH]]&lt;&gt;"",IF(ISNUMBER(FIND(",",Tabela1[[#This Row],[19_LENGTH]])),LEN(Tabela1[[#This Row],[19_LENGTH]])-LEN(SUBSTITUTE(Tabela1[[#This Row],[19_LENGTH]],",",""))+1,1),"")</f>
        <v/>
      </c>
      <c r="AS596" s="21">
        <f>SUM(Tabela1[[#This Row],[1_]:[19_]])</f>
        <v>2</v>
      </c>
    </row>
    <row r="597" spans="1:45" x14ac:dyDescent="0.25">
      <c r="A597" s="27" t="s">
        <v>1325</v>
      </c>
      <c r="B597" s="19" t="s">
        <v>627</v>
      </c>
      <c r="C597" s="19">
        <v>226</v>
      </c>
      <c r="D597" s="19" t="s">
        <v>1297</v>
      </c>
      <c r="E597" s="20">
        <v>43546</v>
      </c>
      <c r="F597" s="19"/>
      <c r="G597" s="19">
        <v>55</v>
      </c>
      <c r="H597" s="19">
        <v>60</v>
      </c>
      <c r="I597" s="19"/>
      <c r="J597" s="19"/>
      <c r="K597" s="19"/>
      <c r="L597" s="19"/>
      <c r="M597" s="19"/>
      <c r="N597" s="19"/>
      <c r="O597" s="19"/>
      <c r="P597" s="19"/>
      <c r="Q597" s="19"/>
      <c r="R597" s="19"/>
      <c r="S597" s="19"/>
      <c r="T597" s="19"/>
      <c r="U597" s="19"/>
      <c r="V597" s="19"/>
      <c r="W597" s="19"/>
      <c r="X597" s="19"/>
      <c r="Y597" s="19"/>
      <c r="Z597" t="str">
        <f>IF(Tabela1[[#This Row],[1]]&lt;&gt;"",IF(ISNUMBER(FIND(",",Tabela1[[#This Row],[1]])),LEN(Tabela1[[#This Row],[1]])-LEN(SUBSTITUTE(Tabela1[[#This Row],[1]],",",""))+1,1),"")</f>
        <v/>
      </c>
      <c r="AA597">
        <f>IF(Tabela1[[#This Row],[2]]&lt;&gt;"",IF(ISNUMBER(FIND(",",Tabela1[[#This Row],[2]])),LEN(Tabela1[[#This Row],[2]])-LEN(SUBSTITUTE(Tabela1[[#This Row],[2]],",",""))+1,1),"")</f>
        <v>1</v>
      </c>
      <c r="AB597">
        <f>IF(Tabela1[[#This Row],[3]]&lt;&gt;"",IF(ISNUMBER(FIND(",",Tabela1[[#This Row],[3]])),LEN(Tabela1[[#This Row],[3]])-LEN(SUBSTITUTE(Tabela1[[#This Row],[3]],",",""))+1,1),"")</f>
        <v>1</v>
      </c>
      <c r="AC597" t="str">
        <f>IF(Tabela1[[#This Row],[4]]&lt;&gt;"",IF(ISNUMBER(FIND(",",Tabela1[[#This Row],[4]])),LEN(Tabela1[[#This Row],[4]])-LEN(SUBSTITUTE(Tabela1[[#This Row],[4]],",",""))+1,1),"")</f>
        <v/>
      </c>
      <c r="AD597" t="str">
        <f>IF(Tabela1[[#This Row],[5]]&lt;&gt;"",IF(ISNUMBER(FIND(",",Tabela1[[#This Row],[5]])),LEN(Tabela1[[#This Row],[5]])-LEN(SUBSTITUTE(Tabela1[[#This Row],[5]],",",""))+1,1),"")</f>
        <v/>
      </c>
      <c r="AE597" t="str">
        <f>IF(Tabela1[[#This Row],[6]]&lt;&gt;"",IF(ISNUMBER(FIND(",",Tabela1[[#This Row],[6]])),LEN(Tabela1[[#This Row],[6]])-LEN(SUBSTITUTE(Tabela1[[#This Row],[6]],",",""))+1,1),"")</f>
        <v/>
      </c>
      <c r="AF597" t="str">
        <f>IF(Tabela1[[#This Row],[7]]&lt;&gt;"",IF(ISNUMBER(FIND(",",Tabela1[[#This Row],[7]])),LEN(Tabela1[[#This Row],[7]])-LEN(SUBSTITUTE(Tabela1[[#This Row],[7]],",",""))+1,1),"")</f>
        <v/>
      </c>
      <c r="AG597" t="str">
        <f>IF(Tabela1[[#This Row],[8]]&lt;&gt;"",IF(ISNUMBER(FIND(",",Tabela1[[#This Row],[8]])),LEN(Tabela1[[#This Row],[8]])-LEN(SUBSTITUTE(Tabela1[[#This Row],[8]],",",""))+1,1),"")</f>
        <v/>
      </c>
      <c r="AH597" t="str">
        <f>IF(Tabela1[[#This Row],[9]]&lt;&gt;"",IF(ISNUMBER(FIND(",",Tabela1[[#This Row],[9]])),LEN(Tabela1[[#This Row],[9]])-LEN(SUBSTITUTE(Tabela1[[#This Row],[9]],",",""))+1,1),"")</f>
        <v/>
      </c>
      <c r="AI597" t="str">
        <f>IF(Tabela1[[#This Row],[10]]&lt;&gt;"",IF(ISNUMBER(FIND(",",Tabela1[[#This Row],[10]])),LEN(Tabela1[[#This Row],[10]])-LEN(SUBSTITUTE(Tabela1[[#This Row],[10]],",",""))+1,1),"")</f>
        <v/>
      </c>
      <c r="AJ597" t="str">
        <f>IF(Tabela1[[#This Row],[11]]&lt;&gt;"",IF(ISNUMBER(FIND(",",Tabela1[[#This Row],[11]])),LEN(Tabela1[[#This Row],[11]])-LEN(SUBSTITUTE(Tabela1[[#This Row],[11]],",",""))+1,1),"")</f>
        <v/>
      </c>
      <c r="AK597" t="str">
        <f>IF(Tabela1[[#This Row],[12]]&lt;&gt;"",IF(ISNUMBER(FIND(",",Tabela1[[#This Row],[12]])),LEN(Tabela1[[#This Row],[12]])-LEN(SUBSTITUTE(Tabela1[[#This Row],[12]],",",""))+1,1),"")</f>
        <v/>
      </c>
      <c r="AL597" t="str">
        <f>IF(Tabela1[[#This Row],[13]]&lt;&gt;"",IF(ISNUMBER(FIND(",",Tabela1[[#This Row],[13]])),LEN(Tabela1[[#This Row],[13]])-LEN(SUBSTITUTE(Tabela1[[#This Row],[13]],",",""))+1,1),"")</f>
        <v/>
      </c>
      <c r="AM597" t="str">
        <f>IF(Tabela1[[#This Row],[14]]&lt;&gt;"",IF(ISNUMBER(FIND(",",Tabela1[[#This Row],[14]])),LEN(Tabela1[[#This Row],[14]])-LEN(SUBSTITUTE(Tabela1[[#This Row],[14]],",",""))+1,1),"")</f>
        <v/>
      </c>
      <c r="AN597" t="str">
        <f>IF(Tabela1[[#This Row],[15]]&lt;&gt;"",IF(ISNUMBER(FIND(",",Tabela1[[#This Row],[15]])),LEN(Tabela1[[#This Row],[15]])-LEN(SUBSTITUTE(Tabela1[[#This Row],[15]],",",""))+1,1),"")</f>
        <v/>
      </c>
      <c r="AO597" t="str">
        <f>IF(Tabela1[[#This Row],[16]]&lt;&gt;"",IF(ISNUMBER(FIND(",",Tabela1[[#This Row],[16]])),LEN(Tabela1[[#This Row],[16]])-LEN(SUBSTITUTE(Tabela1[[#This Row],[16]],",",""))+1,1),"")</f>
        <v/>
      </c>
      <c r="AP597" t="str">
        <f>IF(Tabela1[[#This Row],[17]]&lt;&gt;"",IF(ISNUMBER(FIND(",",Tabela1[[#This Row],[17]])),LEN(Tabela1[[#This Row],[17]])-LEN(SUBSTITUTE(Tabela1[[#This Row],[17]],",",""))+1,1),"")</f>
        <v/>
      </c>
      <c r="AQ597" t="str">
        <f>IF(Tabela1[[#This Row],[18]]&lt;&gt;"",IF(ISNUMBER(FIND(",",Tabela1[[#This Row],[18]])),LEN(Tabela1[[#This Row],[18]])-LEN(SUBSTITUTE(Tabela1[[#This Row],[18]],",",""))+1,1),"")</f>
        <v/>
      </c>
      <c r="AR597" s="13" t="str">
        <f>IF(Tabela1[[#This Row],[19_LENGTH]]&lt;&gt;"",IF(ISNUMBER(FIND(",",Tabela1[[#This Row],[19_LENGTH]])),LEN(Tabela1[[#This Row],[19_LENGTH]])-LEN(SUBSTITUTE(Tabela1[[#This Row],[19_LENGTH]],",",""))+1,1),"")</f>
        <v/>
      </c>
      <c r="AS597" s="21">
        <f>SUM(Tabela1[[#This Row],[1_]:[19_]])</f>
        <v>2</v>
      </c>
    </row>
    <row r="598" spans="1:45" x14ac:dyDescent="0.25">
      <c r="A598" s="27" t="s">
        <v>1325</v>
      </c>
      <c r="B598" s="19" t="s">
        <v>628</v>
      </c>
      <c r="C598" s="19">
        <v>202</v>
      </c>
      <c r="D598" s="19" t="s">
        <v>1297</v>
      </c>
      <c r="E598" s="20">
        <v>43546</v>
      </c>
      <c r="F598" s="19"/>
      <c r="G598" s="19">
        <v>125</v>
      </c>
      <c r="H598" s="19">
        <v>124</v>
      </c>
      <c r="I598" s="19"/>
      <c r="J598" s="19"/>
      <c r="K598" s="19"/>
      <c r="L598" s="19"/>
      <c r="M598" s="19"/>
      <c r="N598" s="19"/>
      <c r="O598" s="19"/>
      <c r="P598" s="19"/>
      <c r="Q598" s="19"/>
      <c r="R598" s="19"/>
      <c r="S598" s="19"/>
      <c r="T598" s="19"/>
      <c r="U598" s="19"/>
      <c r="V598" s="19"/>
      <c r="W598" s="19"/>
      <c r="X598" s="19"/>
      <c r="Y598" s="19"/>
      <c r="Z598" t="str">
        <f>IF(Tabela1[[#This Row],[1]]&lt;&gt;"",IF(ISNUMBER(FIND(",",Tabela1[[#This Row],[1]])),LEN(Tabela1[[#This Row],[1]])-LEN(SUBSTITUTE(Tabela1[[#This Row],[1]],",",""))+1,1),"")</f>
        <v/>
      </c>
      <c r="AA598">
        <f>IF(Tabela1[[#This Row],[2]]&lt;&gt;"",IF(ISNUMBER(FIND(",",Tabela1[[#This Row],[2]])),LEN(Tabela1[[#This Row],[2]])-LEN(SUBSTITUTE(Tabela1[[#This Row],[2]],",",""))+1,1),"")</f>
        <v>1</v>
      </c>
      <c r="AB598">
        <f>IF(Tabela1[[#This Row],[3]]&lt;&gt;"",IF(ISNUMBER(FIND(",",Tabela1[[#This Row],[3]])),LEN(Tabela1[[#This Row],[3]])-LEN(SUBSTITUTE(Tabela1[[#This Row],[3]],",",""))+1,1),"")</f>
        <v>1</v>
      </c>
      <c r="AC598" t="str">
        <f>IF(Tabela1[[#This Row],[4]]&lt;&gt;"",IF(ISNUMBER(FIND(",",Tabela1[[#This Row],[4]])),LEN(Tabela1[[#This Row],[4]])-LEN(SUBSTITUTE(Tabela1[[#This Row],[4]],",",""))+1,1),"")</f>
        <v/>
      </c>
      <c r="AD598" t="str">
        <f>IF(Tabela1[[#This Row],[5]]&lt;&gt;"",IF(ISNUMBER(FIND(",",Tabela1[[#This Row],[5]])),LEN(Tabela1[[#This Row],[5]])-LEN(SUBSTITUTE(Tabela1[[#This Row],[5]],",",""))+1,1),"")</f>
        <v/>
      </c>
      <c r="AE598" t="str">
        <f>IF(Tabela1[[#This Row],[6]]&lt;&gt;"",IF(ISNUMBER(FIND(",",Tabela1[[#This Row],[6]])),LEN(Tabela1[[#This Row],[6]])-LEN(SUBSTITUTE(Tabela1[[#This Row],[6]],",",""))+1,1),"")</f>
        <v/>
      </c>
      <c r="AF598" t="str">
        <f>IF(Tabela1[[#This Row],[7]]&lt;&gt;"",IF(ISNUMBER(FIND(",",Tabela1[[#This Row],[7]])),LEN(Tabela1[[#This Row],[7]])-LEN(SUBSTITUTE(Tabela1[[#This Row],[7]],",",""))+1,1),"")</f>
        <v/>
      </c>
      <c r="AG598" t="str">
        <f>IF(Tabela1[[#This Row],[8]]&lt;&gt;"",IF(ISNUMBER(FIND(",",Tabela1[[#This Row],[8]])),LEN(Tabela1[[#This Row],[8]])-LEN(SUBSTITUTE(Tabela1[[#This Row],[8]],",",""))+1,1),"")</f>
        <v/>
      </c>
      <c r="AH598" t="str">
        <f>IF(Tabela1[[#This Row],[9]]&lt;&gt;"",IF(ISNUMBER(FIND(",",Tabela1[[#This Row],[9]])),LEN(Tabela1[[#This Row],[9]])-LEN(SUBSTITUTE(Tabela1[[#This Row],[9]],",",""))+1,1),"")</f>
        <v/>
      </c>
      <c r="AI598" t="str">
        <f>IF(Tabela1[[#This Row],[10]]&lt;&gt;"",IF(ISNUMBER(FIND(",",Tabela1[[#This Row],[10]])),LEN(Tabela1[[#This Row],[10]])-LEN(SUBSTITUTE(Tabela1[[#This Row],[10]],",",""))+1,1),"")</f>
        <v/>
      </c>
      <c r="AJ598" t="str">
        <f>IF(Tabela1[[#This Row],[11]]&lt;&gt;"",IF(ISNUMBER(FIND(",",Tabela1[[#This Row],[11]])),LEN(Tabela1[[#This Row],[11]])-LEN(SUBSTITUTE(Tabela1[[#This Row],[11]],",",""))+1,1),"")</f>
        <v/>
      </c>
      <c r="AK598" t="str">
        <f>IF(Tabela1[[#This Row],[12]]&lt;&gt;"",IF(ISNUMBER(FIND(",",Tabela1[[#This Row],[12]])),LEN(Tabela1[[#This Row],[12]])-LEN(SUBSTITUTE(Tabela1[[#This Row],[12]],",",""))+1,1),"")</f>
        <v/>
      </c>
      <c r="AL598" t="str">
        <f>IF(Tabela1[[#This Row],[13]]&lt;&gt;"",IF(ISNUMBER(FIND(",",Tabela1[[#This Row],[13]])),LEN(Tabela1[[#This Row],[13]])-LEN(SUBSTITUTE(Tabela1[[#This Row],[13]],",",""))+1,1),"")</f>
        <v/>
      </c>
      <c r="AM598" t="str">
        <f>IF(Tabela1[[#This Row],[14]]&lt;&gt;"",IF(ISNUMBER(FIND(",",Tabela1[[#This Row],[14]])),LEN(Tabela1[[#This Row],[14]])-LEN(SUBSTITUTE(Tabela1[[#This Row],[14]],",",""))+1,1),"")</f>
        <v/>
      </c>
      <c r="AN598" t="str">
        <f>IF(Tabela1[[#This Row],[15]]&lt;&gt;"",IF(ISNUMBER(FIND(",",Tabela1[[#This Row],[15]])),LEN(Tabela1[[#This Row],[15]])-LEN(SUBSTITUTE(Tabela1[[#This Row],[15]],",",""))+1,1),"")</f>
        <v/>
      </c>
      <c r="AO598" t="str">
        <f>IF(Tabela1[[#This Row],[16]]&lt;&gt;"",IF(ISNUMBER(FIND(",",Tabela1[[#This Row],[16]])),LEN(Tabela1[[#This Row],[16]])-LEN(SUBSTITUTE(Tabela1[[#This Row],[16]],",",""))+1,1),"")</f>
        <v/>
      </c>
      <c r="AP598" t="str">
        <f>IF(Tabela1[[#This Row],[17]]&lt;&gt;"",IF(ISNUMBER(FIND(",",Tabela1[[#This Row],[17]])),LEN(Tabela1[[#This Row],[17]])-LEN(SUBSTITUTE(Tabela1[[#This Row],[17]],",",""))+1,1),"")</f>
        <v/>
      </c>
      <c r="AQ598" t="str">
        <f>IF(Tabela1[[#This Row],[18]]&lt;&gt;"",IF(ISNUMBER(FIND(",",Tabela1[[#This Row],[18]])),LEN(Tabela1[[#This Row],[18]])-LEN(SUBSTITUTE(Tabela1[[#This Row],[18]],",",""))+1,1),"")</f>
        <v/>
      </c>
      <c r="AR598" s="13" t="str">
        <f>IF(Tabela1[[#This Row],[19_LENGTH]]&lt;&gt;"",IF(ISNUMBER(FIND(",",Tabela1[[#This Row],[19_LENGTH]])),LEN(Tabela1[[#This Row],[19_LENGTH]])-LEN(SUBSTITUTE(Tabela1[[#This Row],[19_LENGTH]],",",""))+1,1),"")</f>
        <v/>
      </c>
      <c r="AS598" s="21">
        <f>SUM(Tabela1[[#This Row],[1_]:[19_]])</f>
        <v>2</v>
      </c>
    </row>
    <row r="599" spans="1:45" x14ac:dyDescent="0.25">
      <c r="A599" s="27" t="s">
        <v>1325</v>
      </c>
      <c r="B599" s="19" t="s">
        <v>629</v>
      </c>
      <c r="C599" s="19">
        <v>202</v>
      </c>
      <c r="D599" s="19" t="s">
        <v>1297</v>
      </c>
      <c r="E599" s="20">
        <v>43546</v>
      </c>
      <c r="F599" s="19"/>
      <c r="G599" s="19"/>
      <c r="H599" s="19" t="s">
        <v>228</v>
      </c>
      <c r="I599" s="19"/>
      <c r="J599" s="19"/>
      <c r="K599" s="19"/>
      <c r="L599" s="19"/>
      <c r="M599" s="19"/>
      <c r="N599" s="19"/>
      <c r="O599" s="19"/>
      <c r="P599" s="19"/>
      <c r="Q599" s="19"/>
      <c r="R599" s="19"/>
      <c r="S599" s="19"/>
      <c r="T599" s="19"/>
      <c r="U599" s="19"/>
      <c r="V599" s="19"/>
      <c r="W599" s="19"/>
      <c r="X599" s="19"/>
      <c r="Y599" s="19"/>
      <c r="Z599" t="str">
        <f>IF(Tabela1[[#This Row],[1]]&lt;&gt;"",IF(ISNUMBER(FIND(",",Tabela1[[#This Row],[1]])),LEN(Tabela1[[#This Row],[1]])-LEN(SUBSTITUTE(Tabela1[[#This Row],[1]],",",""))+1,1),"")</f>
        <v/>
      </c>
      <c r="AA599" t="str">
        <f>IF(Tabela1[[#This Row],[2]]&lt;&gt;"",IF(ISNUMBER(FIND(",",Tabela1[[#This Row],[2]])),LEN(Tabela1[[#This Row],[2]])-LEN(SUBSTITUTE(Tabela1[[#This Row],[2]],",",""))+1,1),"")</f>
        <v/>
      </c>
      <c r="AB599">
        <f>IF(Tabela1[[#This Row],[3]]&lt;&gt;"",IF(ISNUMBER(FIND(",",Tabela1[[#This Row],[3]])),LEN(Tabela1[[#This Row],[3]])-LEN(SUBSTITUTE(Tabela1[[#This Row],[3]],",",""))+1,1),"")</f>
        <v>2</v>
      </c>
      <c r="AC599" t="str">
        <f>IF(Tabela1[[#This Row],[4]]&lt;&gt;"",IF(ISNUMBER(FIND(",",Tabela1[[#This Row],[4]])),LEN(Tabela1[[#This Row],[4]])-LEN(SUBSTITUTE(Tabela1[[#This Row],[4]],",",""))+1,1),"")</f>
        <v/>
      </c>
      <c r="AD599" t="str">
        <f>IF(Tabela1[[#This Row],[5]]&lt;&gt;"",IF(ISNUMBER(FIND(",",Tabela1[[#This Row],[5]])),LEN(Tabela1[[#This Row],[5]])-LEN(SUBSTITUTE(Tabela1[[#This Row],[5]],",",""))+1,1),"")</f>
        <v/>
      </c>
      <c r="AE599" t="str">
        <f>IF(Tabela1[[#This Row],[6]]&lt;&gt;"",IF(ISNUMBER(FIND(",",Tabela1[[#This Row],[6]])),LEN(Tabela1[[#This Row],[6]])-LEN(SUBSTITUTE(Tabela1[[#This Row],[6]],",",""))+1,1),"")</f>
        <v/>
      </c>
      <c r="AF599" t="str">
        <f>IF(Tabela1[[#This Row],[7]]&lt;&gt;"",IF(ISNUMBER(FIND(",",Tabela1[[#This Row],[7]])),LEN(Tabela1[[#This Row],[7]])-LEN(SUBSTITUTE(Tabela1[[#This Row],[7]],",",""))+1,1),"")</f>
        <v/>
      </c>
      <c r="AG599" t="str">
        <f>IF(Tabela1[[#This Row],[8]]&lt;&gt;"",IF(ISNUMBER(FIND(",",Tabela1[[#This Row],[8]])),LEN(Tabela1[[#This Row],[8]])-LEN(SUBSTITUTE(Tabela1[[#This Row],[8]],",",""))+1,1),"")</f>
        <v/>
      </c>
      <c r="AH599" t="str">
        <f>IF(Tabela1[[#This Row],[9]]&lt;&gt;"",IF(ISNUMBER(FIND(",",Tabela1[[#This Row],[9]])),LEN(Tabela1[[#This Row],[9]])-LEN(SUBSTITUTE(Tabela1[[#This Row],[9]],",",""))+1,1),"")</f>
        <v/>
      </c>
      <c r="AI599" t="str">
        <f>IF(Tabela1[[#This Row],[10]]&lt;&gt;"",IF(ISNUMBER(FIND(",",Tabela1[[#This Row],[10]])),LEN(Tabela1[[#This Row],[10]])-LEN(SUBSTITUTE(Tabela1[[#This Row],[10]],",",""))+1,1),"")</f>
        <v/>
      </c>
      <c r="AJ599" t="str">
        <f>IF(Tabela1[[#This Row],[11]]&lt;&gt;"",IF(ISNUMBER(FIND(",",Tabela1[[#This Row],[11]])),LEN(Tabela1[[#This Row],[11]])-LEN(SUBSTITUTE(Tabela1[[#This Row],[11]],",",""))+1,1),"")</f>
        <v/>
      </c>
      <c r="AK599" t="str">
        <f>IF(Tabela1[[#This Row],[12]]&lt;&gt;"",IF(ISNUMBER(FIND(",",Tabela1[[#This Row],[12]])),LEN(Tabela1[[#This Row],[12]])-LEN(SUBSTITUTE(Tabela1[[#This Row],[12]],",",""))+1,1),"")</f>
        <v/>
      </c>
      <c r="AL599" t="str">
        <f>IF(Tabela1[[#This Row],[13]]&lt;&gt;"",IF(ISNUMBER(FIND(",",Tabela1[[#This Row],[13]])),LEN(Tabela1[[#This Row],[13]])-LEN(SUBSTITUTE(Tabela1[[#This Row],[13]],",",""))+1,1),"")</f>
        <v/>
      </c>
      <c r="AM599" t="str">
        <f>IF(Tabela1[[#This Row],[14]]&lt;&gt;"",IF(ISNUMBER(FIND(",",Tabela1[[#This Row],[14]])),LEN(Tabela1[[#This Row],[14]])-LEN(SUBSTITUTE(Tabela1[[#This Row],[14]],",",""))+1,1),"")</f>
        <v/>
      </c>
      <c r="AN599" t="str">
        <f>IF(Tabela1[[#This Row],[15]]&lt;&gt;"",IF(ISNUMBER(FIND(",",Tabela1[[#This Row],[15]])),LEN(Tabela1[[#This Row],[15]])-LEN(SUBSTITUTE(Tabela1[[#This Row],[15]],",",""))+1,1),"")</f>
        <v/>
      </c>
      <c r="AO599" t="str">
        <f>IF(Tabela1[[#This Row],[16]]&lt;&gt;"",IF(ISNUMBER(FIND(",",Tabela1[[#This Row],[16]])),LEN(Tabela1[[#This Row],[16]])-LEN(SUBSTITUTE(Tabela1[[#This Row],[16]],",",""))+1,1),"")</f>
        <v/>
      </c>
      <c r="AP599" t="str">
        <f>IF(Tabela1[[#This Row],[17]]&lt;&gt;"",IF(ISNUMBER(FIND(",",Tabela1[[#This Row],[17]])),LEN(Tabela1[[#This Row],[17]])-LEN(SUBSTITUTE(Tabela1[[#This Row],[17]],",",""))+1,1),"")</f>
        <v/>
      </c>
      <c r="AQ599" t="str">
        <f>IF(Tabela1[[#This Row],[18]]&lt;&gt;"",IF(ISNUMBER(FIND(",",Tabela1[[#This Row],[18]])),LEN(Tabela1[[#This Row],[18]])-LEN(SUBSTITUTE(Tabela1[[#This Row],[18]],",",""))+1,1),"")</f>
        <v/>
      </c>
      <c r="AR599" s="13" t="str">
        <f>IF(Tabela1[[#This Row],[19_LENGTH]]&lt;&gt;"",IF(ISNUMBER(FIND(",",Tabela1[[#This Row],[19_LENGTH]])),LEN(Tabela1[[#This Row],[19_LENGTH]])-LEN(SUBSTITUTE(Tabela1[[#This Row],[19_LENGTH]],",",""))+1,1),"")</f>
        <v/>
      </c>
      <c r="AS599" s="21">
        <f>SUM(Tabela1[[#This Row],[1_]:[19_]])</f>
        <v>2</v>
      </c>
    </row>
    <row r="600" spans="1:45" x14ac:dyDescent="0.25">
      <c r="A600" s="27" t="s">
        <v>1325</v>
      </c>
      <c r="B600" s="19" t="s">
        <v>891</v>
      </c>
      <c r="C600" s="19">
        <v>40</v>
      </c>
      <c r="D600" s="19" t="s">
        <v>1301</v>
      </c>
      <c r="E600" s="20">
        <v>43545</v>
      </c>
      <c r="F600" s="19"/>
      <c r="G600" s="19"/>
      <c r="H600" s="19"/>
      <c r="I600" s="19">
        <v>121</v>
      </c>
      <c r="J600" s="19"/>
      <c r="K600" s="19"/>
      <c r="L600" s="19"/>
      <c r="M600" s="19"/>
      <c r="N600" s="19"/>
      <c r="O600" s="19"/>
      <c r="P600" s="19"/>
      <c r="Q600" s="19"/>
      <c r="R600" s="19"/>
      <c r="S600" s="19"/>
      <c r="T600" s="19"/>
      <c r="U600" s="19"/>
      <c r="V600" s="19"/>
      <c r="W600" s="19"/>
      <c r="X600" s="19"/>
      <c r="Y600" s="19"/>
      <c r="Z600" t="str">
        <f>IF(Tabela1[[#This Row],[1]]&lt;&gt;"",IF(ISNUMBER(FIND(",",Tabela1[[#This Row],[1]])),LEN(Tabela1[[#This Row],[1]])-LEN(SUBSTITUTE(Tabela1[[#This Row],[1]],",",""))+1,1),"")</f>
        <v/>
      </c>
      <c r="AA600" t="str">
        <f>IF(Tabela1[[#This Row],[2]]&lt;&gt;"",IF(ISNUMBER(FIND(",",Tabela1[[#This Row],[2]])),LEN(Tabela1[[#This Row],[2]])-LEN(SUBSTITUTE(Tabela1[[#This Row],[2]],",",""))+1,1),"")</f>
        <v/>
      </c>
      <c r="AB600" t="str">
        <f>IF(Tabela1[[#This Row],[3]]&lt;&gt;"",IF(ISNUMBER(FIND(",",Tabela1[[#This Row],[3]])),LEN(Tabela1[[#This Row],[3]])-LEN(SUBSTITUTE(Tabela1[[#This Row],[3]],",",""))+1,1),"")</f>
        <v/>
      </c>
      <c r="AC600">
        <f>IF(Tabela1[[#This Row],[4]]&lt;&gt;"",IF(ISNUMBER(FIND(",",Tabela1[[#This Row],[4]])),LEN(Tabela1[[#This Row],[4]])-LEN(SUBSTITUTE(Tabela1[[#This Row],[4]],",",""))+1,1),"")</f>
        <v>1</v>
      </c>
      <c r="AD600" t="str">
        <f>IF(Tabela1[[#This Row],[5]]&lt;&gt;"",IF(ISNUMBER(FIND(",",Tabela1[[#This Row],[5]])),LEN(Tabela1[[#This Row],[5]])-LEN(SUBSTITUTE(Tabela1[[#This Row],[5]],",",""))+1,1),"")</f>
        <v/>
      </c>
      <c r="AE600" t="str">
        <f>IF(Tabela1[[#This Row],[6]]&lt;&gt;"",IF(ISNUMBER(FIND(",",Tabela1[[#This Row],[6]])),LEN(Tabela1[[#This Row],[6]])-LEN(SUBSTITUTE(Tabela1[[#This Row],[6]],",",""))+1,1),"")</f>
        <v/>
      </c>
      <c r="AF600" t="str">
        <f>IF(Tabela1[[#This Row],[7]]&lt;&gt;"",IF(ISNUMBER(FIND(",",Tabela1[[#This Row],[7]])),LEN(Tabela1[[#This Row],[7]])-LEN(SUBSTITUTE(Tabela1[[#This Row],[7]],",",""))+1,1),"")</f>
        <v/>
      </c>
      <c r="AG600" t="str">
        <f>IF(Tabela1[[#This Row],[8]]&lt;&gt;"",IF(ISNUMBER(FIND(",",Tabela1[[#This Row],[8]])),LEN(Tabela1[[#This Row],[8]])-LEN(SUBSTITUTE(Tabela1[[#This Row],[8]],",",""))+1,1),"")</f>
        <v/>
      </c>
      <c r="AH600" t="str">
        <f>IF(Tabela1[[#This Row],[9]]&lt;&gt;"",IF(ISNUMBER(FIND(",",Tabela1[[#This Row],[9]])),LEN(Tabela1[[#This Row],[9]])-LEN(SUBSTITUTE(Tabela1[[#This Row],[9]],",",""))+1,1),"")</f>
        <v/>
      </c>
      <c r="AI600" t="str">
        <f>IF(Tabela1[[#This Row],[10]]&lt;&gt;"",IF(ISNUMBER(FIND(",",Tabela1[[#This Row],[10]])),LEN(Tabela1[[#This Row],[10]])-LEN(SUBSTITUTE(Tabela1[[#This Row],[10]],",",""))+1,1),"")</f>
        <v/>
      </c>
      <c r="AJ600" t="str">
        <f>IF(Tabela1[[#This Row],[11]]&lt;&gt;"",IF(ISNUMBER(FIND(",",Tabela1[[#This Row],[11]])),LEN(Tabela1[[#This Row],[11]])-LEN(SUBSTITUTE(Tabela1[[#This Row],[11]],",",""))+1,1),"")</f>
        <v/>
      </c>
      <c r="AK600" t="str">
        <f>IF(Tabela1[[#This Row],[12]]&lt;&gt;"",IF(ISNUMBER(FIND(",",Tabela1[[#This Row],[12]])),LEN(Tabela1[[#This Row],[12]])-LEN(SUBSTITUTE(Tabela1[[#This Row],[12]],",",""))+1,1),"")</f>
        <v/>
      </c>
      <c r="AL600" t="str">
        <f>IF(Tabela1[[#This Row],[13]]&lt;&gt;"",IF(ISNUMBER(FIND(",",Tabela1[[#This Row],[13]])),LEN(Tabela1[[#This Row],[13]])-LEN(SUBSTITUTE(Tabela1[[#This Row],[13]],",",""))+1,1),"")</f>
        <v/>
      </c>
      <c r="AM600" t="str">
        <f>IF(Tabela1[[#This Row],[14]]&lt;&gt;"",IF(ISNUMBER(FIND(",",Tabela1[[#This Row],[14]])),LEN(Tabela1[[#This Row],[14]])-LEN(SUBSTITUTE(Tabela1[[#This Row],[14]],",",""))+1,1),"")</f>
        <v/>
      </c>
      <c r="AN600" t="str">
        <f>IF(Tabela1[[#This Row],[15]]&lt;&gt;"",IF(ISNUMBER(FIND(",",Tabela1[[#This Row],[15]])),LEN(Tabela1[[#This Row],[15]])-LEN(SUBSTITUTE(Tabela1[[#This Row],[15]],",",""))+1,1),"")</f>
        <v/>
      </c>
      <c r="AO600" t="str">
        <f>IF(Tabela1[[#This Row],[16]]&lt;&gt;"",IF(ISNUMBER(FIND(",",Tabela1[[#This Row],[16]])),LEN(Tabela1[[#This Row],[16]])-LEN(SUBSTITUTE(Tabela1[[#This Row],[16]],",",""))+1,1),"")</f>
        <v/>
      </c>
      <c r="AP600" t="str">
        <f>IF(Tabela1[[#This Row],[17]]&lt;&gt;"",IF(ISNUMBER(FIND(",",Tabela1[[#This Row],[17]])),LEN(Tabela1[[#This Row],[17]])-LEN(SUBSTITUTE(Tabela1[[#This Row],[17]],",",""))+1,1),"")</f>
        <v/>
      </c>
      <c r="AQ600" t="str">
        <f>IF(Tabela1[[#This Row],[18]]&lt;&gt;"",IF(ISNUMBER(FIND(",",Tabela1[[#This Row],[18]])),LEN(Tabela1[[#This Row],[18]])-LEN(SUBSTITUTE(Tabela1[[#This Row],[18]],",",""))+1,1),"")</f>
        <v/>
      </c>
      <c r="AR600" s="13" t="str">
        <f>IF(Tabela1[[#This Row],[19_LENGTH]]&lt;&gt;"",IF(ISNUMBER(FIND(",",Tabela1[[#This Row],[19_LENGTH]])),LEN(Tabela1[[#This Row],[19_LENGTH]])-LEN(SUBSTITUTE(Tabela1[[#This Row],[19_LENGTH]],",",""))+1,1),"")</f>
        <v/>
      </c>
      <c r="AS600" s="21">
        <f>SUM(Tabela1[[#This Row],[1_]:[19_]])</f>
        <v>1</v>
      </c>
    </row>
    <row r="601" spans="1:45" x14ac:dyDescent="0.25">
      <c r="A601" s="27" t="s">
        <v>1328</v>
      </c>
      <c r="B601" s="19" t="s">
        <v>892</v>
      </c>
      <c r="C601" s="19">
        <v>102</v>
      </c>
      <c r="D601" s="19" t="s">
        <v>1308</v>
      </c>
      <c r="E601" s="20">
        <v>43545</v>
      </c>
      <c r="F601" s="19"/>
      <c r="G601" s="19"/>
      <c r="H601" s="19"/>
      <c r="I601" s="19" t="s">
        <v>229</v>
      </c>
      <c r="J601" s="19"/>
      <c r="K601" s="19"/>
      <c r="L601" s="19"/>
      <c r="M601" s="19"/>
      <c r="N601" s="19"/>
      <c r="O601" s="19"/>
      <c r="P601" s="19"/>
      <c r="Q601" s="19"/>
      <c r="R601" s="19"/>
      <c r="S601" s="19"/>
      <c r="T601" s="19"/>
      <c r="U601" s="19"/>
      <c r="V601" s="19"/>
      <c r="W601" s="19"/>
      <c r="X601" s="19"/>
      <c r="Y601" s="19"/>
      <c r="Z601" t="str">
        <f>IF(Tabela1[[#This Row],[1]]&lt;&gt;"",IF(ISNUMBER(FIND(",",Tabela1[[#This Row],[1]])),LEN(Tabela1[[#This Row],[1]])-LEN(SUBSTITUTE(Tabela1[[#This Row],[1]],",",""))+1,1),"")</f>
        <v/>
      </c>
      <c r="AA601" t="str">
        <f>IF(Tabela1[[#This Row],[2]]&lt;&gt;"",IF(ISNUMBER(FIND(",",Tabela1[[#This Row],[2]])),LEN(Tabela1[[#This Row],[2]])-LEN(SUBSTITUTE(Tabela1[[#This Row],[2]],",",""))+1,1),"")</f>
        <v/>
      </c>
      <c r="AB601" t="str">
        <f>IF(Tabela1[[#This Row],[3]]&lt;&gt;"",IF(ISNUMBER(FIND(",",Tabela1[[#This Row],[3]])),LEN(Tabela1[[#This Row],[3]])-LEN(SUBSTITUTE(Tabela1[[#This Row],[3]],",",""))+1,1),"")</f>
        <v/>
      </c>
      <c r="AC601">
        <f>IF(Tabela1[[#This Row],[4]]&lt;&gt;"",IF(ISNUMBER(FIND(",",Tabela1[[#This Row],[4]])),LEN(Tabela1[[#This Row],[4]])-LEN(SUBSTITUTE(Tabela1[[#This Row],[4]],",",""))+1,1),"")</f>
        <v>2</v>
      </c>
      <c r="AD601" t="str">
        <f>IF(Tabela1[[#This Row],[5]]&lt;&gt;"",IF(ISNUMBER(FIND(",",Tabela1[[#This Row],[5]])),LEN(Tabela1[[#This Row],[5]])-LEN(SUBSTITUTE(Tabela1[[#This Row],[5]],",",""))+1,1),"")</f>
        <v/>
      </c>
      <c r="AE601" t="str">
        <f>IF(Tabela1[[#This Row],[6]]&lt;&gt;"",IF(ISNUMBER(FIND(",",Tabela1[[#This Row],[6]])),LEN(Tabela1[[#This Row],[6]])-LEN(SUBSTITUTE(Tabela1[[#This Row],[6]],",",""))+1,1),"")</f>
        <v/>
      </c>
      <c r="AF601" t="str">
        <f>IF(Tabela1[[#This Row],[7]]&lt;&gt;"",IF(ISNUMBER(FIND(",",Tabela1[[#This Row],[7]])),LEN(Tabela1[[#This Row],[7]])-LEN(SUBSTITUTE(Tabela1[[#This Row],[7]],",",""))+1,1),"")</f>
        <v/>
      </c>
      <c r="AG601" t="str">
        <f>IF(Tabela1[[#This Row],[8]]&lt;&gt;"",IF(ISNUMBER(FIND(",",Tabela1[[#This Row],[8]])),LEN(Tabela1[[#This Row],[8]])-LEN(SUBSTITUTE(Tabela1[[#This Row],[8]],",",""))+1,1),"")</f>
        <v/>
      </c>
      <c r="AH601" t="str">
        <f>IF(Tabela1[[#This Row],[9]]&lt;&gt;"",IF(ISNUMBER(FIND(",",Tabela1[[#This Row],[9]])),LEN(Tabela1[[#This Row],[9]])-LEN(SUBSTITUTE(Tabela1[[#This Row],[9]],",",""))+1,1),"")</f>
        <v/>
      </c>
      <c r="AI601" t="str">
        <f>IF(Tabela1[[#This Row],[10]]&lt;&gt;"",IF(ISNUMBER(FIND(",",Tabela1[[#This Row],[10]])),LEN(Tabela1[[#This Row],[10]])-LEN(SUBSTITUTE(Tabela1[[#This Row],[10]],",",""))+1,1),"")</f>
        <v/>
      </c>
      <c r="AJ601" t="str">
        <f>IF(Tabela1[[#This Row],[11]]&lt;&gt;"",IF(ISNUMBER(FIND(",",Tabela1[[#This Row],[11]])),LEN(Tabela1[[#This Row],[11]])-LEN(SUBSTITUTE(Tabela1[[#This Row],[11]],",",""))+1,1),"")</f>
        <v/>
      </c>
      <c r="AK601" t="str">
        <f>IF(Tabela1[[#This Row],[12]]&lt;&gt;"",IF(ISNUMBER(FIND(",",Tabela1[[#This Row],[12]])),LEN(Tabela1[[#This Row],[12]])-LEN(SUBSTITUTE(Tabela1[[#This Row],[12]],",",""))+1,1),"")</f>
        <v/>
      </c>
      <c r="AL601" t="str">
        <f>IF(Tabela1[[#This Row],[13]]&lt;&gt;"",IF(ISNUMBER(FIND(",",Tabela1[[#This Row],[13]])),LEN(Tabela1[[#This Row],[13]])-LEN(SUBSTITUTE(Tabela1[[#This Row],[13]],",",""))+1,1),"")</f>
        <v/>
      </c>
      <c r="AM601" t="str">
        <f>IF(Tabela1[[#This Row],[14]]&lt;&gt;"",IF(ISNUMBER(FIND(",",Tabela1[[#This Row],[14]])),LEN(Tabela1[[#This Row],[14]])-LEN(SUBSTITUTE(Tabela1[[#This Row],[14]],",",""))+1,1),"")</f>
        <v/>
      </c>
      <c r="AN601" t="str">
        <f>IF(Tabela1[[#This Row],[15]]&lt;&gt;"",IF(ISNUMBER(FIND(",",Tabela1[[#This Row],[15]])),LEN(Tabela1[[#This Row],[15]])-LEN(SUBSTITUTE(Tabela1[[#This Row],[15]],",",""))+1,1),"")</f>
        <v/>
      </c>
      <c r="AO601" t="str">
        <f>IF(Tabela1[[#This Row],[16]]&lt;&gt;"",IF(ISNUMBER(FIND(",",Tabela1[[#This Row],[16]])),LEN(Tabela1[[#This Row],[16]])-LEN(SUBSTITUTE(Tabela1[[#This Row],[16]],",",""))+1,1),"")</f>
        <v/>
      </c>
      <c r="AP601" t="str">
        <f>IF(Tabela1[[#This Row],[17]]&lt;&gt;"",IF(ISNUMBER(FIND(",",Tabela1[[#This Row],[17]])),LEN(Tabela1[[#This Row],[17]])-LEN(SUBSTITUTE(Tabela1[[#This Row],[17]],",",""))+1,1),"")</f>
        <v/>
      </c>
      <c r="AQ601" t="str">
        <f>IF(Tabela1[[#This Row],[18]]&lt;&gt;"",IF(ISNUMBER(FIND(",",Tabela1[[#This Row],[18]])),LEN(Tabela1[[#This Row],[18]])-LEN(SUBSTITUTE(Tabela1[[#This Row],[18]],",",""))+1,1),"")</f>
        <v/>
      </c>
      <c r="AR601" s="13" t="str">
        <f>IF(Tabela1[[#This Row],[19_LENGTH]]&lt;&gt;"",IF(ISNUMBER(FIND(",",Tabela1[[#This Row],[19_LENGTH]])),LEN(Tabela1[[#This Row],[19_LENGTH]])-LEN(SUBSTITUTE(Tabela1[[#This Row],[19_LENGTH]],",",""))+1,1),"")</f>
        <v/>
      </c>
      <c r="AS601" s="21">
        <f>SUM(Tabela1[[#This Row],[1_]:[19_]])</f>
        <v>2</v>
      </c>
    </row>
    <row r="602" spans="1:45" x14ac:dyDescent="0.25">
      <c r="A602" s="27" t="s">
        <v>1328</v>
      </c>
      <c r="B602" s="19" t="s">
        <v>893</v>
      </c>
      <c r="C602" s="19">
        <v>102</v>
      </c>
      <c r="D602" s="19" t="s">
        <v>1308</v>
      </c>
      <c r="E602" s="20">
        <v>43545</v>
      </c>
      <c r="F602" s="19"/>
      <c r="G602" s="19"/>
      <c r="H602" s="19"/>
      <c r="I602" s="19">
        <v>30</v>
      </c>
      <c r="J602" s="19"/>
      <c r="K602" s="19"/>
      <c r="L602" s="19"/>
      <c r="M602" s="19"/>
      <c r="N602" s="19"/>
      <c r="O602" s="19"/>
      <c r="P602" s="19"/>
      <c r="Q602" s="19"/>
      <c r="R602" s="19"/>
      <c r="S602" s="19"/>
      <c r="T602" s="19"/>
      <c r="U602" s="19"/>
      <c r="V602" s="19"/>
      <c r="W602" s="19"/>
      <c r="X602" s="19"/>
      <c r="Y602" s="19"/>
      <c r="Z602" t="str">
        <f>IF(Tabela1[[#This Row],[1]]&lt;&gt;"",IF(ISNUMBER(FIND(",",Tabela1[[#This Row],[1]])),LEN(Tabela1[[#This Row],[1]])-LEN(SUBSTITUTE(Tabela1[[#This Row],[1]],",",""))+1,1),"")</f>
        <v/>
      </c>
      <c r="AA602" t="str">
        <f>IF(Tabela1[[#This Row],[2]]&lt;&gt;"",IF(ISNUMBER(FIND(",",Tabela1[[#This Row],[2]])),LEN(Tabela1[[#This Row],[2]])-LEN(SUBSTITUTE(Tabela1[[#This Row],[2]],",",""))+1,1),"")</f>
        <v/>
      </c>
      <c r="AB602" t="str">
        <f>IF(Tabela1[[#This Row],[3]]&lt;&gt;"",IF(ISNUMBER(FIND(",",Tabela1[[#This Row],[3]])),LEN(Tabela1[[#This Row],[3]])-LEN(SUBSTITUTE(Tabela1[[#This Row],[3]],",",""))+1,1),"")</f>
        <v/>
      </c>
      <c r="AC602">
        <f>IF(Tabela1[[#This Row],[4]]&lt;&gt;"",IF(ISNUMBER(FIND(",",Tabela1[[#This Row],[4]])),LEN(Tabela1[[#This Row],[4]])-LEN(SUBSTITUTE(Tabela1[[#This Row],[4]],",",""))+1,1),"")</f>
        <v>1</v>
      </c>
      <c r="AD602" t="str">
        <f>IF(Tabela1[[#This Row],[5]]&lt;&gt;"",IF(ISNUMBER(FIND(",",Tabela1[[#This Row],[5]])),LEN(Tabela1[[#This Row],[5]])-LEN(SUBSTITUTE(Tabela1[[#This Row],[5]],",",""))+1,1),"")</f>
        <v/>
      </c>
      <c r="AE602" t="str">
        <f>IF(Tabela1[[#This Row],[6]]&lt;&gt;"",IF(ISNUMBER(FIND(",",Tabela1[[#This Row],[6]])),LEN(Tabela1[[#This Row],[6]])-LEN(SUBSTITUTE(Tabela1[[#This Row],[6]],",",""))+1,1),"")</f>
        <v/>
      </c>
      <c r="AF602" t="str">
        <f>IF(Tabela1[[#This Row],[7]]&lt;&gt;"",IF(ISNUMBER(FIND(",",Tabela1[[#This Row],[7]])),LEN(Tabela1[[#This Row],[7]])-LEN(SUBSTITUTE(Tabela1[[#This Row],[7]],",",""))+1,1),"")</f>
        <v/>
      </c>
      <c r="AG602" t="str">
        <f>IF(Tabela1[[#This Row],[8]]&lt;&gt;"",IF(ISNUMBER(FIND(",",Tabela1[[#This Row],[8]])),LEN(Tabela1[[#This Row],[8]])-LEN(SUBSTITUTE(Tabela1[[#This Row],[8]],",",""))+1,1),"")</f>
        <v/>
      </c>
      <c r="AH602" t="str">
        <f>IF(Tabela1[[#This Row],[9]]&lt;&gt;"",IF(ISNUMBER(FIND(",",Tabela1[[#This Row],[9]])),LEN(Tabela1[[#This Row],[9]])-LEN(SUBSTITUTE(Tabela1[[#This Row],[9]],",",""))+1,1),"")</f>
        <v/>
      </c>
      <c r="AI602" t="str">
        <f>IF(Tabela1[[#This Row],[10]]&lt;&gt;"",IF(ISNUMBER(FIND(",",Tabela1[[#This Row],[10]])),LEN(Tabela1[[#This Row],[10]])-LEN(SUBSTITUTE(Tabela1[[#This Row],[10]],",",""))+1,1),"")</f>
        <v/>
      </c>
      <c r="AJ602" t="str">
        <f>IF(Tabela1[[#This Row],[11]]&lt;&gt;"",IF(ISNUMBER(FIND(",",Tabela1[[#This Row],[11]])),LEN(Tabela1[[#This Row],[11]])-LEN(SUBSTITUTE(Tabela1[[#This Row],[11]],",",""))+1,1),"")</f>
        <v/>
      </c>
      <c r="AK602" t="str">
        <f>IF(Tabela1[[#This Row],[12]]&lt;&gt;"",IF(ISNUMBER(FIND(",",Tabela1[[#This Row],[12]])),LEN(Tabela1[[#This Row],[12]])-LEN(SUBSTITUTE(Tabela1[[#This Row],[12]],",",""))+1,1),"")</f>
        <v/>
      </c>
      <c r="AL602" t="str">
        <f>IF(Tabela1[[#This Row],[13]]&lt;&gt;"",IF(ISNUMBER(FIND(",",Tabela1[[#This Row],[13]])),LEN(Tabela1[[#This Row],[13]])-LEN(SUBSTITUTE(Tabela1[[#This Row],[13]],",",""))+1,1),"")</f>
        <v/>
      </c>
      <c r="AM602" t="str">
        <f>IF(Tabela1[[#This Row],[14]]&lt;&gt;"",IF(ISNUMBER(FIND(",",Tabela1[[#This Row],[14]])),LEN(Tabela1[[#This Row],[14]])-LEN(SUBSTITUTE(Tabela1[[#This Row],[14]],",",""))+1,1),"")</f>
        <v/>
      </c>
      <c r="AN602" t="str">
        <f>IF(Tabela1[[#This Row],[15]]&lt;&gt;"",IF(ISNUMBER(FIND(",",Tabela1[[#This Row],[15]])),LEN(Tabela1[[#This Row],[15]])-LEN(SUBSTITUTE(Tabela1[[#This Row],[15]],",",""))+1,1),"")</f>
        <v/>
      </c>
      <c r="AO602" t="str">
        <f>IF(Tabela1[[#This Row],[16]]&lt;&gt;"",IF(ISNUMBER(FIND(",",Tabela1[[#This Row],[16]])),LEN(Tabela1[[#This Row],[16]])-LEN(SUBSTITUTE(Tabela1[[#This Row],[16]],",",""))+1,1),"")</f>
        <v/>
      </c>
      <c r="AP602" t="str">
        <f>IF(Tabela1[[#This Row],[17]]&lt;&gt;"",IF(ISNUMBER(FIND(",",Tabela1[[#This Row],[17]])),LEN(Tabela1[[#This Row],[17]])-LEN(SUBSTITUTE(Tabela1[[#This Row],[17]],",",""))+1,1),"")</f>
        <v/>
      </c>
      <c r="AQ602" t="str">
        <f>IF(Tabela1[[#This Row],[18]]&lt;&gt;"",IF(ISNUMBER(FIND(",",Tabela1[[#This Row],[18]])),LEN(Tabela1[[#This Row],[18]])-LEN(SUBSTITUTE(Tabela1[[#This Row],[18]],",",""))+1,1),"")</f>
        <v/>
      </c>
      <c r="AR602" s="13" t="str">
        <f>IF(Tabela1[[#This Row],[19_LENGTH]]&lt;&gt;"",IF(ISNUMBER(FIND(",",Tabela1[[#This Row],[19_LENGTH]])),LEN(Tabela1[[#This Row],[19_LENGTH]])-LEN(SUBSTITUTE(Tabela1[[#This Row],[19_LENGTH]],",",""))+1,1),"")</f>
        <v/>
      </c>
      <c r="AS602" s="21">
        <f>SUM(Tabela1[[#This Row],[1_]:[19_]])</f>
        <v>1</v>
      </c>
    </row>
    <row r="603" spans="1:45" x14ac:dyDescent="0.25">
      <c r="A603" s="27" t="s">
        <v>1328</v>
      </c>
      <c r="B603" s="19" t="s">
        <v>894</v>
      </c>
      <c r="C603" s="19">
        <v>102</v>
      </c>
      <c r="D603" s="19" t="s">
        <v>1308</v>
      </c>
      <c r="E603" s="20">
        <v>43545</v>
      </c>
      <c r="F603" s="19"/>
      <c r="G603" s="19"/>
      <c r="H603" s="19"/>
      <c r="I603" s="19">
        <v>89</v>
      </c>
      <c r="J603" s="19"/>
      <c r="K603" s="19"/>
      <c r="L603" s="19"/>
      <c r="M603" s="19"/>
      <c r="N603" s="19"/>
      <c r="O603" s="19"/>
      <c r="P603" s="19"/>
      <c r="Q603" s="19"/>
      <c r="R603" s="19"/>
      <c r="S603" s="19"/>
      <c r="T603" s="19"/>
      <c r="U603" s="19"/>
      <c r="V603" s="19"/>
      <c r="W603" s="19"/>
      <c r="X603" s="19"/>
      <c r="Y603" s="19"/>
      <c r="Z603" t="str">
        <f>IF(Tabela1[[#This Row],[1]]&lt;&gt;"",IF(ISNUMBER(FIND(",",Tabela1[[#This Row],[1]])),LEN(Tabela1[[#This Row],[1]])-LEN(SUBSTITUTE(Tabela1[[#This Row],[1]],",",""))+1,1),"")</f>
        <v/>
      </c>
      <c r="AA603" t="str">
        <f>IF(Tabela1[[#This Row],[2]]&lt;&gt;"",IF(ISNUMBER(FIND(",",Tabela1[[#This Row],[2]])),LEN(Tabela1[[#This Row],[2]])-LEN(SUBSTITUTE(Tabela1[[#This Row],[2]],",",""))+1,1),"")</f>
        <v/>
      </c>
      <c r="AB603" t="str">
        <f>IF(Tabela1[[#This Row],[3]]&lt;&gt;"",IF(ISNUMBER(FIND(",",Tabela1[[#This Row],[3]])),LEN(Tabela1[[#This Row],[3]])-LEN(SUBSTITUTE(Tabela1[[#This Row],[3]],",",""))+1,1),"")</f>
        <v/>
      </c>
      <c r="AC603">
        <f>IF(Tabela1[[#This Row],[4]]&lt;&gt;"",IF(ISNUMBER(FIND(",",Tabela1[[#This Row],[4]])),LEN(Tabela1[[#This Row],[4]])-LEN(SUBSTITUTE(Tabela1[[#This Row],[4]],",",""))+1,1),"")</f>
        <v>1</v>
      </c>
      <c r="AD603" t="str">
        <f>IF(Tabela1[[#This Row],[5]]&lt;&gt;"",IF(ISNUMBER(FIND(",",Tabela1[[#This Row],[5]])),LEN(Tabela1[[#This Row],[5]])-LEN(SUBSTITUTE(Tabela1[[#This Row],[5]],",",""))+1,1),"")</f>
        <v/>
      </c>
      <c r="AE603" t="str">
        <f>IF(Tabela1[[#This Row],[6]]&lt;&gt;"",IF(ISNUMBER(FIND(",",Tabela1[[#This Row],[6]])),LEN(Tabela1[[#This Row],[6]])-LEN(SUBSTITUTE(Tabela1[[#This Row],[6]],",",""))+1,1),"")</f>
        <v/>
      </c>
      <c r="AF603" t="str">
        <f>IF(Tabela1[[#This Row],[7]]&lt;&gt;"",IF(ISNUMBER(FIND(",",Tabela1[[#This Row],[7]])),LEN(Tabela1[[#This Row],[7]])-LEN(SUBSTITUTE(Tabela1[[#This Row],[7]],",",""))+1,1),"")</f>
        <v/>
      </c>
      <c r="AG603" t="str">
        <f>IF(Tabela1[[#This Row],[8]]&lt;&gt;"",IF(ISNUMBER(FIND(",",Tabela1[[#This Row],[8]])),LEN(Tabela1[[#This Row],[8]])-LEN(SUBSTITUTE(Tabela1[[#This Row],[8]],",",""))+1,1),"")</f>
        <v/>
      </c>
      <c r="AH603" t="str">
        <f>IF(Tabela1[[#This Row],[9]]&lt;&gt;"",IF(ISNUMBER(FIND(",",Tabela1[[#This Row],[9]])),LEN(Tabela1[[#This Row],[9]])-LEN(SUBSTITUTE(Tabela1[[#This Row],[9]],",",""))+1,1),"")</f>
        <v/>
      </c>
      <c r="AI603" t="str">
        <f>IF(Tabela1[[#This Row],[10]]&lt;&gt;"",IF(ISNUMBER(FIND(",",Tabela1[[#This Row],[10]])),LEN(Tabela1[[#This Row],[10]])-LEN(SUBSTITUTE(Tabela1[[#This Row],[10]],",",""))+1,1),"")</f>
        <v/>
      </c>
      <c r="AJ603" t="str">
        <f>IF(Tabela1[[#This Row],[11]]&lt;&gt;"",IF(ISNUMBER(FIND(",",Tabela1[[#This Row],[11]])),LEN(Tabela1[[#This Row],[11]])-LEN(SUBSTITUTE(Tabela1[[#This Row],[11]],",",""))+1,1),"")</f>
        <v/>
      </c>
      <c r="AK603" t="str">
        <f>IF(Tabela1[[#This Row],[12]]&lt;&gt;"",IF(ISNUMBER(FIND(",",Tabela1[[#This Row],[12]])),LEN(Tabela1[[#This Row],[12]])-LEN(SUBSTITUTE(Tabela1[[#This Row],[12]],",",""))+1,1),"")</f>
        <v/>
      </c>
      <c r="AL603" t="str">
        <f>IF(Tabela1[[#This Row],[13]]&lt;&gt;"",IF(ISNUMBER(FIND(",",Tabela1[[#This Row],[13]])),LEN(Tabela1[[#This Row],[13]])-LEN(SUBSTITUTE(Tabela1[[#This Row],[13]],",",""))+1,1),"")</f>
        <v/>
      </c>
      <c r="AM603" t="str">
        <f>IF(Tabela1[[#This Row],[14]]&lt;&gt;"",IF(ISNUMBER(FIND(",",Tabela1[[#This Row],[14]])),LEN(Tabela1[[#This Row],[14]])-LEN(SUBSTITUTE(Tabela1[[#This Row],[14]],",",""))+1,1),"")</f>
        <v/>
      </c>
      <c r="AN603" t="str">
        <f>IF(Tabela1[[#This Row],[15]]&lt;&gt;"",IF(ISNUMBER(FIND(",",Tabela1[[#This Row],[15]])),LEN(Tabela1[[#This Row],[15]])-LEN(SUBSTITUTE(Tabela1[[#This Row],[15]],",",""))+1,1),"")</f>
        <v/>
      </c>
      <c r="AO603" t="str">
        <f>IF(Tabela1[[#This Row],[16]]&lt;&gt;"",IF(ISNUMBER(FIND(",",Tabela1[[#This Row],[16]])),LEN(Tabela1[[#This Row],[16]])-LEN(SUBSTITUTE(Tabela1[[#This Row],[16]],",",""))+1,1),"")</f>
        <v/>
      </c>
      <c r="AP603" t="str">
        <f>IF(Tabela1[[#This Row],[17]]&lt;&gt;"",IF(ISNUMBER(FIND(",",Tabela1[[#This Row],[17]])),LEN(Tabela1[[#This Row],[17]])-LEN(SUBSTITUTE(Tabela1[[#This Row],[17]],",",""))+1,1),"")</f>
        <v/>
      </c>
      <c r="AQ603" t="str">
        <f>IF(Tabela1[[#This Row],[18]]&lt;&gt;"",IF(ISNUMBER(FIND(",",Tabela1[[#This Row],[18]])),LEN(Tabela1[[#This Row],[18]])-LEN(SUBSTITUTE(Tabela1[[#This Row],[18]],",",""))+1,1),"")</f>
        <v/>
      </c>
      <c r="AR603" s="13" t="str">
        <f>IF(Tabela1[[#This Row],[19_LENGTH]]&lt;&gt;"",IF(ISNUMBER(FIND(",",Tabela1[[#This Row],[19_LENGTH]])),LEN(Tabela1[[#This Row],[19_LENGTH]])-LEN(SUBSTITUTE(Tabela1[[#This Row],[19_LENGTH]],",",""))+1,1),"")</f>
        <v/>
      </c>
      <c r="AS603" s="21">
        <f>SUM(Tabela1[[#This Row],[1_]:[19_]])</f>
        <v>1</v>
      </c>
    </row>
    <row r="604" spans="1:45" x14ac:dyDescent="0.25">
      <c r="A604" s="27" t="s">
        <v>1328</v>
      </c>
      <c r="B604" s="19" t="s">
        <v>895</v>
      </c>
      <c r="C604" s="19">
        <v>102</v>
      </c>
      <c r="D604" s="19" t="s">
        <v>1308</v>
      </c>
      <c r="E604" s="20">
        <v>43545</v>
      </c>
      <c r="F604" s="19"/>
      <c r="G604" s="19"/>
      <c r="H604" s="19"/>
      <c r="I604" s="19">
        <v>40</v>
      </c>
      <c r="J604" s="19"/>
      <c r="K604" s="19"/>
      <c r="L604" s="19"/>
      <c r="M604" s="19"/>
      <c r="N604" s="19"/>
      <c r="O604" s="19"/>
      <c r="P604" s="19"/>
      <c r="Q604" s="19"/>
      <c r="R604" s="19"/>
      <c r="S604" s="19"/>
      <c r="T604" s="19"/>
      <c r="U604" s="19"/>
      <c r="V604" s="19"/>
      <c r="W604" s="19"/>
      <c r="X604" s="19"/>
      <c r="Y604" s="19"/>
      <c r="Z604" t="str">
        <f>IF(Tabela1[[#This Row],[1]]&lt;&gt;"",IF(ISNUMBER(FIND(",",Tabela1[[#This Row],[1]])),LEN(Tabela1[[#This Row],[1]])-LEN(SUBSTITUTE(Tabela1[[#This Row],[1]],",",""))+1,1),"")</f>
        <v/>
      </c>
      <c r="AA604" t="str">
        <f>IF(Tabela1[[#This Row],[2]]&lt;&gt;"",IF(ISNUMBER(FIND(",",Tabela1[[#This Row],[2]])),LEN(Tabela1[[#This Row],[2]])-LEN(SUBSTITUTE(Tabela1[[#This Row],[2]],",",""))+1,1),"")</f>
        <v/>
      </c>
      <c r="AB604" t="str">
        <f>IF(Tabela1[[#This Row],[3]]&lt;&gt;"",IF(ISNUMBER(FIND(",",Tabela1[[#This Row],[3]])),LEN(Tabela1[[#This Row],[3]])-LEN(SUBSTITUTE(Tabela1[[#This Row],[3]],",",""))+1,1),"")</f>
        <v/>
      </c>
      <c r="AC604">
        <f>IF(Tabela1[[#This Row],[4]]&lt;&gt;"",IF(ISNUMBER(FIND(",",Tabela1[[#This Row],[4]])),LEN(Tabela1[[#This Row],[4]])-LEN(SUBSTITUTE(Tabela1[[#This Row],[4]],",",""))+1,1),"")</f>
        <v>1</v>
      </c>
      <c r="AD604" t="str">
        <f>IF(Tabela1[[#This Row],[5]]&lt;&gt;"",IF(ISNUMBER(FIND(",",Tabela1[[#This Row],[5]])),LEN(Tabela1[[#This Row],[5]])-LEN(SUBSTITUTE(Tabela1[[#This Row],[5]],",",""))+1,1),"")</f>
        <v/>
      </c>
      <c r="AE604" t="str">
        <f>IF(Tabela1[[#This Row],[6]]&lt;&gt;"",IF(ISNUMBER(FIND(",",Tabela1[[#This Row],[6]])),LEN(Tabela1[[#This Row],[6]])-LEN(SUBSTITUTE(Tabela1[[#This Row],[6]],",",""))+1,1),"")</f>
        <v/>
      </c>
      <c r="AF604" t="str">
        <f>IF(Tabela1[[#This Row],[7]]&lt;&gt;"",IF(ISNUMBER(FIND(",",Tabela1[[#This Row],[7]])),LEN(Tabela1[[#This Row],[7]])-LEN(SUBSTITUTE(Tabela1[[#This Row],[7]],",",""))+1,1),"")</f>
        <v/>
      </c>
      <c r="AG604" t="str">
        <f>IF(Tabela1[[#This Row],[8]]&lt;&gt;"",IF(ISNUMBER(FIND(",",Tabela1[[#This Row],[8]])),LEN(Tabela1[[#This Row],[8]])-LEN(SUBSTITUTE(Tabela1[[#This Row],[8]],",",""))+1,1),"")</f>
        <v/>
      </c>
      <c r="AH604" t="str">
        <f>IF(Tabela1[[#This Row],[9]]&lt;&gt;"",IF(ISNUMBER(FIND(",",Tabela1[[#This Row],[9]])),LEN(Tabela1[[#This Row],[9]])-LEN(SUBSTITUTE(Tabela1[[#This Row],[9]],",",""))+1,1),"")</f>
        <v/>
      </c>
      <c r="AI604" t="str">
        <f>IF(Tabela1[[#This Row],[10]]&lt;&gt;"",IF(ISNUMBER(FIND(",",Tabela1[[#This Row],[10]])),LEN(Tabela1[[#This Row],[10]])-LEN(SUBSTITUTE(Tabela1[[#This Row],[10]],",",""))+1,1),"")</f>
        <v/>
      </c>
      <c r="AJ604" t="str">
        <f>IF(Tabela1[[#This Row],[11]]&lt;&gt;"",IF(ISNUMBER(FIND(",",Tabela1[[#This Row],[11]])),LEN(Tabela1[[#This Row],[11]])-LEN(SUBSTITUTE(Tabela1[[#This Row],[11]],",",""))+1,1),"")</f>
        <v/>
      </c>
      <c r="AK604" t="str">
        <f>IF(Tabela1[[#This Row],[12]]&lt;&gt;"",IF(ISNUMBER(FIND(",",Tabela1[[#This Row],[12]])),LEN(Tabela1[[#This Row],[12]])-LEN(SUBSTITUTE(Tabela1[[#This Row],[12]],",",""))+1,1),"")</f>
        <v/>
      </c>
      <c r="AL604" t="str">
        <f>IF(Tabela1[[#This Row],[13]]&lt;&gt;"",IF(ISNUMBER(FIND(",",Tabela1[[#This Row],[13]])),LEN(Tabela1[[#This Row],[13]])-LEN(SUBSTITUTE(Tabela1[[#This Row],[13]],",",""))+1,1),"")</f>
        <v/>
      </c>
      <c r="AM604" t="str">
        <f>IF(Tabela1[[#This Row],[14]]&lt;&gt;"",IF(ISNUMBER(FIND(",",Tabela1[[#This Row],[14]])),LEN(Tabela1[[#This Row],[14]])-LEN(SUBSTITUTE(Tabela1[[#This Row],[14]],",",""))+1,1),"")</f>
        <v/>
      </c>
      <c r="AN604" t="str">
        <f>IF(Tabela1[[#This Row],[15]]&lt;&gt;"",IF(ISNUMBER(FIND(",",Tabela1[[#This Row],[15]])),LEN(Tabela1[[#This Row],[15]])-LEN(SUBSTITUTE(Tabela1[[#This Row],[15]],",",""))+1,1),"")</f>
        <v/>
      </c>
      <c r="AO604" t="str">
        <f>IF(Tabela1[[#This Row],[16]]&lt;&gt;"",IF(ISNUMBER(FIND(",",Tabela1[[#This Row],[16]])),LEN(Tabela1[[#This Row],[16]])-LEN(SUBSTITUTE(Tabela1[[#This Row],[16]],",",""))+1,1),"")</f>
        <v/>
      </c>
      <c r="AP604" t="str">
        <f>IF(Tabela1[[#This Row],[17]]&lt;&gt;"",IF(ISNUMBER(FIND(",",Tabela1[[#This Row],[17]])),LEN(Tabela1[[#This Row],[17]])-LEN(SUBSTITUTE(Tabela1[[#This Row],[17]],",",""))+1,1),"")</f>
        <v/>
      </c>
      <c r="AQ604" t="str">
        <f>IF(Tabela1[[#This Row],[18]]&lt;&gt;"",IF(ISNUMBER(FIND(",",Tabela1[[#This Row],[18]])),LEN(Tabela1[[#This Row],[18]])-LEN(SUBSTITUTE(Tabela1[[#This Row],[18]],",",""))+1,1),"")</f>
        <v/>
      </c>
      <c r="AR604" s="13" t="str">
        <f>IF(Tabela1[[#This Row],[19_LENGTH]]&lt;&gt;"",IF(ISNUMBER(FIND(",",Tabela1[[#This Row],[19_LENGTH]])),LEN(Tabela1[[#This Row],[19_LENGTH]])-LEN(SUBSTITUTE(Tabela1[[#This Row],[19_LENGTH]],",",""))+1,1),"")</f>
        <v/>
      </c>
      <c r="AS604" s="21">
        <f>SUM(Tabela1[[#This Row],[1_]:[19_]])</f>
        <v>1</v>
      </c>
    </row>
    <row r="605" spans="1:45" x14ac:dyDescent="0.25">
      <c r="A605" s="27" t="s">
        <v>1330</v>
      </c>
      <c r="B605" s="19" t="s">
        <v>630</v>
      </c>
      <c r="C605" s="19">
        <v>60</v>
      </c>
      <c r="D605" s="19" t="s">
        <v>1307</v>
      </c>
      <c r="E605" s="20">
        <v>43545</v>
      </c>
      <c r="F605" s="19"/>
      <c r="G605" s="19"/>
      <c r="H605" s="19"/>
      <c r="I605" s="19">
        <v>43</v>
      </c>
      <c r="J605" s="19"/>
      <c r="K605" s="19"/>
      <c r="L605" s="19"/>
      <c r="M605" s="19"/>
      <c r="N605" s="19"/>
      <c r="O605" s="19"/>
      <c r="P605" s="19"/>
      <c r="Q605" s="19"/>
      <c r="R605" s="19"/>
      <c r="S605" s="19"/>
      <c r="T605" s="19"/>
      <c r="U605" s="19"/>
      <c r="V605" s="19"/>
      <c r="W605" s="19"/>
      <c r="X605" s="19"/>
      <c r="Y605" s="19"/>
      <c r="Z605" t="str">
        <f>IF(Tabela1[[#This Row],[1]]&lt;&gt;"",IF(ISNUMBER(FIND(",",Tabela1[[#This Row],[1]])),LEN(Tabela1[[#This Row],[1]])-LEN(SUBSTITUTE(Tabela1[[#This Row],[1]],",",""))+1,1),"")</f>
        <v/>
      </c>
      <c r="AA605" t="str">
        <f>IF(Tabela1[[#This Row],[2]]&lt;&gt;"",IF(ISNUMBER(FIND(",",Tabela1[[#This Row],[2]])),LEN(Tabela1[[#This Row],[2]])-LEN(SUBSTITUTE(Tabela1[[#This Row],[2]],",",""))+1,1),"")</f>
        <v/>
      </c>
      <c r="AB605" t="str">
        <f>IF(Tabela1[[#This Row],[3]]&lt;&gt;"",IF(ISNUMBER(FIND(",",Tabela1[[#This Row],[3]])),LEN(Tabela1[[#This Row],[3]])-LEN(SUBSTITUTE(Tabela1[[#This Row],[3]],",",""))+1,1),"")</f>
        <v/>
      </c>
      <c r="AC605">
        <f>IF(Tabela1[[#This Row],[4]]&lt;&gt;"",IF(ISNUMBER(FIND(",",Tabela1[[#This Row],[4]])),LEN(Tabela1[[#This Row],[4]])-LEN(SUBSTITUTE(Tabela1[[#This Row],[4]],",",""))+1,1),"")</f>
        <v>1</v>
      </c>
      <c r="AD605" t="str">
        <f>IF(Tabela1[[#This Row],[5]]&lt;&gt;"",IF(ISNUMBER(FIND(",",Tabela1[[#This Row],[5]])),LEN(Tabela1[[#This Row],[5]])-LEN(SUBSTITUTE(Tabela1[[#This Row],[5]],",",""))+1,1),"")</f>
        <v/>
      </c>
      <c r="AE605" t="str">
        <f>IF(Tabela1[[#This Row],[6]]&lt;&gt;"",IF(ISNUMBER(FIND(",",Tabela1[[#This Row],[6]])),LEN(Tabela1[[#This Row],[6]])-LEN(SUBSTITUTE(Tabela1[[#This Row],[6]],",",""))+1,1),"")</f>
        <v/>
      </c>
      <c r="AF605" t="str">
        <f>IF(Tabela1[[#This Row],[7]]&lt;&gt;"",IF(ISNUMBER(FIND(",",Tabela1[[#This Row],[7]])),LEN(Tabela1[[#This Row],[7]])-LEN(SUBSTITUTE(Tabela1[[#This Row],[7]],",",""))+1,1),"")</f>
        <v/>
      </c>
      <c r="AG605" t="str">
        <f>IF(Tabela1[[#This Row],[8]]&lt;&gt;"",IF(ISNUMBER(FIND(",",Tabela1[[#This Row],[8]])),LEN(Tabela1[[#This Row],[8]])-LEN(SUBSTITUTE(Tabela1[[#This Row],[8]],",",""))+1,1),"")</f>
        <v/>
      </c>
      <c r="AH605" t="str">
        <f>IF(Tabela1[[#This Row],[9]]&lt;&gt;"",IF(ISNUMBER(FIND(",",Tabela1[[#This Row],[9]])),LEN(Tabela1[[#This Row],[9]])-LEN(SUBSTITUTE(Tabela1[[#This Row],[9]],",",""))+1,1),"")</f>
        <v/>
      </c>
      <c r="AI605" t="str">
        <f>IF(Tabela1[[#This Row],[10]]&lt;&gt;"",IF(ISNUMBER(FIND(",",Tabela1[[#This Row],[10]])),LEN(Tabela1[[#This Row],[10]])-LEN(SUBSTITUTE(Tabela1[[#This Row],[10]],",",""))+1,1),"")</f>
        <v/>
      </c>
      <c r="AJ605" t="str">
        <f>IF(Tabela1[[#This Row],[11]]&lt;&gt;"",IF(ISNUMBER(FIND(",",Tabela1[[#This Row],[11]])),LEN(Tabela1[[#This Row],[11]])-LEN(SUBSTITUTE(Tabela1[[#This Row],[11]],",",""))+1,1),"")</f>
        <v/>
      </c>
      <c r="AK605" t="str">
        <f>IF(Tabela1[[#This Row],[12]]&lt;&gt;"",IF(ISNUMBER(FIND(",",Tabela1[[#This Row],[12]])),LEN(Tabela1[[#This Row],[12]])-LEN(SUBSTITUTE(Tabela1[[#This Row],[12]],",",""))+1,1),"")</f>
        <v/>
      </c>
      <c r="AL605" t="str">
        <f>IF(Tabela1[[#This Row],[13]]&lt;&gt;"",IF(ISNUMBER(FIND(",",Tabela1[[#This Row],[13]])),LEN(Tabela1[[#This Row],[13]])-LEN(SUBSTITUTE(Tabela1[[#This Row],[13]],",",""))+1,1),"")</f>
        <v/>
      </c>
      <c r="AM605" t="str">
        <f>IF(Tabela1[[#This Row],[14]]&lt;&gt;"",IF(ISNUMBER(FIND(",",Tabela1[[#This Row],[14]])),LEN(Tabela1[[#This Row],[14]])-LEN(SUBSTITUTE(Tabela1[[#This Row],[14]],",",""))+1,1),"")</f>
        <v/>
      </c>
      <c r="AN605" t="str">
        <f>IF(Tabela1[[#This Row],[15]]&lt;&gt;"",IF(ISNUMBER(FIND(",",Tabela1[[#This Row],[15]])),LEN(Tabela1[[#This Row],[15]])-LEN(SUBSTITUTE(Tabela1[[#This Row],[15]],",",""))+1,1),"")</f>
        <v/>
      </c>
      <c r="AO605" t="str">
        <f>IF(Tabela1[[#This Row],[16]]&lt;&gt;"",IF(ISNUMBER(FIND(",",Tabela1[[#This Row],[16]])),LEN(Tabela1[[#This Row],[16]])-LEN(SUBSTITUTE(Tabela1[[#This Row],[16]],",",""))+1,1),"")</f>
        <v/>
      </c>
      <c r="AP605" t="str">
        <f>IF(Tabela1[[#This Row],[17]]&lt;&gt;"",IF(ISNUMBER(FIND(",",Tabela1[[#This Row],[17]])),LEN(Tabela1[[#This Row],[17]])-LEN(SUBSTITUTE(Tabela1[[#This Row],[17]],",",""))+1,1),"")</f>
        <v/>
      </c>
      <c r="AQ605" t="str">
        <f>IF(Tabela1[[#This Row],[18]]&lt;&gt;"",IF(ISNUMBER(FIND(",",Tabela1[[#This Row],[18]])),LEN(Tabela1[[#This Row],[18]])-LEN(SUBSTITUTE(Tabela1[[#This Row],[18]],",",""))+1,1),"")</f>
        <v/>
      </c>
      <c r="AR605" s="13" t="str">
        <f>IF(Tabela1[[#This Row],[19_LENGTH]]&lt;&gt;"",IF(ISNUMBER(FIND(",",Tabela1[[#This Row],[19_LENGTH]])),LEN(Tabela1[[#This Row],[19_LENGTH]])-LEN(SUBSTITUTE(Tabela1[[#This Row],[19_LENGTH]],",",""))+1,1),"")</f>
        <v/>
      </c>
      <c r="AS605" s="21">
        <f>SUM(Tabela1[[#This Row],[1_]:[19_]])</f>
        <v>1</v>
      </c>
    </row>
    <row r="606" spans="1:45" x14ac:dyDescent="0.25">
      <c r="A606" s="27" t="s">
        <v>1330</v>
      </c>
      <c r="B606" s="19" t="s">
        <v>631</v>
      </c>
      <c r="C606" s="19">
        <v>102</v>
      </c>
      <c r="D606" s="19" t="s">
        <v>1307</v>
      </c>
      <c r="E606" s="20">
        <v>43545</v>
      </c>
      <c r="F606" s="19"/>
      <c r="G606" s="19"/>
      <c r="H606" s="19"/>
      <c r="I606" s="19"/>
      <c r="J606" s="19"/>
      <c r="K606" s="19"/>
      <c r="L606" s="19"/>
      <c r="M606" s="19"/>
      <c r="N606" s="19"/>
      <c r="O606" s="19"/>
      <c r="P606" s="19"/>
      <c r="Q606" s="19"/>
      <c r="R606" s="19"/>
      <c r="S606" s="19"/>
      <c r="T606" s="19"/>
      <c r="U606" s="19">
        <v>50</v>
      </c>
      <c r="V606" s="19"/>
      <c r="W606" s="19"/>
      <c r="X606" s="19"/>
      <c r="Y606" s="19"/>
      <c r="Z606" t="str">
        <f>IF(Tabela1[[#This Row],[1]]&lt;&gt;"",IF(ISNUMBER(FIND(",",Tabela1[[#This Row],[1]])),LEN(Tabela1[[#This Row],[1]])-LEN(SUBSTITUTE(Tabela1[[#This Row],[1]],",",""))+1,1),"")</f>
        <v/>
      </c>
      <c r="AA606" t="str">
        <f>IF(Tabela1[[#This Row],[2]]&lt;&gt;"",IF(ISNUMBER(FIND(",",Tabela1[[#This Row],[2]])),LEN(Tabela1[[#This Row],[2]])-LEN(SUBSTITUTE(Tabela1[[#This Row],[2]],",",""))+1,1),"")</f>
        <v/>
      </c>
      <c r="AB606" t="str">
        <f>IF(Tabela1[[#This Row],[3]]&lt;&gt;"",IF(ISNUMBER(FIND(",",Tabela1[[#This Row],[3]])),LEN(Tabela1[[#This Row],[3]])-LEN(SUBSTITUTE(Tabela1[[#This Row],[3]],",",""))+1,1),"")</f>
        <v/>
      </c>
      <c r="AC606" t="str">
        <f>IF(Tabela1[[#This Row],[4]]&lt;&gt;"",IF(ISNUMBER(FIND(",",Tabela1[[#This Row],[4]])),LEN(Tabela1[[#This Row],[4]])-LEN(SUBSTITUTE(Tabela1[[#This Row],[4]],",",""))+1,1),"")</f>
        <v/>
      </c>
      <c r="AD606" t="str">
        <f>IF(Tabela1[[#This Row],[5]]&lt;&gt;"",IF(ISNUMBER(FIND(",",Tabela1[[#This Row],[5]])),LEN(Tabela1[[#This Row],[5]])-LEN(SUBSTITUTE(Tabela1[[#This Row],[5]],",",""))+1,1),"")</f>
        <v/>
      </c>
      <c r="AE606" t="str">
        <f>IF(Tabela1[[#This Row],[6]]&lt;&gt;"",IF(ISNUMBER(FIND(",",Tabela1[[#This Row],[6]])),LEN(Tabela1[[#This Row],[6]])-LEN(SUBSTITUTE(Tabela1[[#This Row],[6]],",",""))+1,1),"")</f>
        <v/>
      </c>
      <c r="AF606" t="str">
        <f>IF(Tabela1[[#This Row],[7]]&lt;&gt;"",IF(ISNUMBER(FIND(",",Tabela1[[#This Row],[7]])),LEN(Tabela1[[#This Row],[7]])-LEN(SUBSTITUTE(Tabela1[[#This Row],[7]],",",""))+1,1),"")</f>
        <v/>
      </c>
      <c r="AG606" t="str">
        <f>IF(Tabela1[[#This Row],[8]]&lt;&gt;"",IF(ISNUMBER(FIND(",",Tabela1[[#This Row],[8]])),LEN(Tabela1[[#This Row],[8]])-LEN(SUBSTITUTE(Tabela1[[#This Row],[8]],",",""))+1,1),"")</f>
        <v/>
      </c>
      <c r="AH606" t="str">
        <f>IF(Tabela1[[#This Row],[9]]&lt;&gt;"",IF(ISNUMBER(FIND(",",Tabela1[[#This Row],[9]])),LEN(Tabela1[[#This Row],[9]])-LEN(SUBSTITUTE(Tabela1[[#This Row],[9]],",",""))+1,1),"")</f>
        <v/>
      </c>
      <c r="AI606" t="str">
        <f>IF(Tabela1[[#This Row],[10]]&lt;&gt;"",IF(ISNUMBER(FIND(",",Tabela1[[#This Row],[10]])),LEN(Tabela1[[#This Row],[10]])-LEN(SUBSTITUTE(Tabela1[[#This Row],[10]],",",""))+1,1),"")</f>
        <v/>
      </c>
      <c r="AJ606" t="str">
        <f>IF(Tabela1[[#This Row],[11]]&lt;&gt;"",IF(ISNUMBER(FIND(",",Tabela1[[#This Row],[11]])),LEN(Tabela1[[#This Row],[11]])-LEN(SUBSTITUTE(Tabela1[[#This Row],[11]],",",""))+1,1),"")</f>
        <v/>
      </c>
      <c r="AK606" t="str">
        <f>IF(Tabela1[[#This Row],[12]]&lt;&gt;"",IF(ISNUMBER(FIND(",",Tabela1[[#This Row],[12]])),LEN(Tabela1[[#This Row],[12]])-LEN(SUBSTITUTE(Tabela1[[#This Row],[12]],",",""))+1,1),"")</f>
        <v/>
      </c>
      <c r="AL606" t="str">
        <f>IF(Tabela1[[#This Row],[13]]&lt;&gt;"",IF(ISNUMBER(FIND(",",Tabela1[[#This Row],[13]])),LEN(Tabela1[[#This Row],[13]])-LEN(SUBSTITUTE(Tabela1[[#This Row],[13]],",",""))+1,1),"")</f>
        <v/>
      </c>
      <c r="AM606" t="str">
        <f>IF(Tabela1[[#This Row],[14]]&lt;&gt;"",IF(ISNUMBER(FIND(",",Tabela1[[#This Row],[14]])),LEN(Tabela1[[#This Row],[14]])-LEN(SUBSTITUTE(Tabela1[[#This Row],[14]],",",""))+1,1),"")</f>
        <v/>
      </c>
      <c r="AN606" t="str">
        <f>IF(Tabela1[[#This Row],[15]]&lt;&gt;"",IF(ISNUMBER(FIND(",",Tabela1[[#This Row],[15]])),LEN(Tabela1[[#This Row],[15]])-LEN(SUBSTITUTE(Tabela1[[#This Row],[15]],",",""))+1,1),"")</f>
        <v/>
      </c>
      <c r="AO606">
        <f>IF(Tabela1[[#This Row],[16]]&lt;&gt;"",IF(ISNUMBER(FIND(",",Tabela1[[#This Row],[16]])),LEN(Tabela1[[#This Row],[16]])-LEN(SUBSTITUTE(Tabela1[[#This Row],[16]],",",""))+1,1),"")</f>
        <v>1</v>
      </c>
      <c r="AP606" t="str">
        <f>IF(Tabela1[[#This Row],[17]]&lt;&gt;"",IF(ISNUMBER(FIND(",",Tabela1[[#This Row],[17]])),LEN(Tabela1[[#This Row],[17]])-LEN(SUBSTITUTE(Tabela1[[#This Row],[17]],",",""))+1,1),"")</f>
        <v/>
      </c>
      <c r="AQ606" t="str">
        <f>IF(Tabela1[[#This Row],[18]]&lt;&gt;"",IF(ISNUMBER(FIND(",",Tabela1[[#This Row],[18]])),LEN(Tabela1[[#This Row],[18]])-LEN(SUBSTITUTE(Tabela1[[#This Row],[18]],",",""))+1,1),"")</f>
        <v/>
      </c>
      <c r="AR606" s="13" t="str">
        <f>IF(Tabela1[[#This Row],[19_LENGTH]]&lt;&gt;"",IF(ISNUMBER(FIND(",",Tabela1[[#This Row],[19_LENGTH]])),LEN(Tabela1[[#This Row],[19_LENGTH]])-LEN(SUBSTITUTE(Tabela1[[#This Row],[19_LENGTH]],",",""))+1,1),"")</f>
        <v/>
      </c>
      <c r="AS606" s="21">
        <f>SUM(Tabela1[[#This Row],[1_]:[19_]])</f>
        <v>1</v>
      </c>
    </row>
    <row r="607" spans="1:45" x14ac:dyDescent="0.25">
      <c r="A607" s="27" t="s">
        <v>1330</v>
      </c>
      <c r="B607" s="19" t="s">
        <v>632</v>
      </c>
      <c r="C607" s="19">
        <v>102</v>
      </c>
      <c r="D607" s="19" t="s">
        <v>1307</v>
      </c>
      <c r="E607" s="20">
        <v>43545</v>
      </c>
      <c r="F607" s="19"/>
      <c r="G607" s="19"/>
      <c r="H607" s="19"/>
      <c r="I607" s="19"/>
      <c r="J607" s="19">
        <v>33</v>
      </c>
      <c r="K607" s="19"/>
      <c r="L607" s="19"/>
      <c r="M607" s="19"/>
      <c r="N607" s="19"/>
      <c r="O607" s="19"/>
      <c r="P607" s="19"/>
      <c r="Q607" s="19"/>
      <c r="R607" s="19"/>
      <c r="S607" s="19"/>
      <c r="T607" s="19"/>
      <c r="U607" s="19"/>
      <c r="V607" s="19"/>
      <c r="W607" s="19"/>
      <c r="X607" s="19"/>
      <c r="Y607" s="19"/>
      <c r="Z607" t="str">
        <f>IF(Tabela1[[#This Row],[1]]&lt;&gt;"",IF(ISNUMBER(FIND(",",Tabela1[[#This Row],[1]])),LEN(Tabela1[[#This Row],[1]])-LEN(SUBSTITUTE(Tabela1[[#This Row],[1]],",",""))+1,1),"")</f>
        <v/>
      </c>
      <c r="AA607" t="str">
        <f>IF(Tabela1[[#This Row],[2]]&lt;&gt;"",IF(ISNUMBER(FIND(",",Tabela1[[#This Row],[2]])),LEN(Tabela1[[#This Row],[2]])-LEN(SUBSTITUTE(Tabela1[[#This Row],[2]],",",""))+1,1),"")</f>
        <v/>
      </c>
      <c r="AB607" t="str">
        <f>IF(Tabela1[[#This Row],[3]]&lt;&gt;"",IF(ISNUMBER(FIND(",",Tabela1[[#This Row],[3]])),LEN(Tabela1[[#This Row],[3]])-LEN(SUBSTITUTE(Tabela1[[#This Row],[3]],",",""))+1,1),"")</f>
        <v/>
      </c>
      <c r="AC607" t="str">
        <f>IF(Tabela1[[#This Row],[4]]&lt;&gt;"",IF(ISNUMBER(FIND(",",Tabela1[[#This Row],[4]])),LEN(Tabela1[[#This Row],[4]])-LEN(SUBSTITUTE(Tabela1[[#This Row],[4]],",",""))+1,1),"")</f>
        <v/>
      </c>
      <c r="AD607">
        <f>IF(Tabela1[[#This Row],[5]]&lt;&gt;"",IF(ISNUMBER(FIND(",",Tabela1[[#This Row],[5]])),LEN(Tabela1[[#This Row],[5]])-LEN(SUBSTITUTE(Tabela1[[#This Row],[5]],",",""))+1,1),"")</f>
        <v>1</v>
      </c>
      <c r="AE607" t="str">
        <f>IF(Tabela1[[#This Row],[6]]&lt;&gt;"",IF(ISNUMBER(FIND(",",Tabela1[[#This Row],[6]])),LEN(Tabela1[[#This Row],[6]])-LEN(SUBSTITUTE(Tabela1[[#This Row],[6]],",",""))+1,1),"")</f>
        <v/>
      </c>
      <c r="AF607" t="str">
        <f>IF(Tabela1[[#This Row],[7]]&lt;&gt;"",IF(ISNUMBER(FIND(",",Tabela1[[#This Row],[7]])),LEN(Tabela1[[#This Row],[7]])-LEN(SUBSTITUTE(Tabela1[[#This Row],[7]],",",""))+1,1),"")</f>
        <v/>
      </c>
      <c r="AG607" t="str">
        <f>IF(Tabela1[[#This Row],[8]]&lt;&gt;"",IF(ISNUMBER(FIND(",",Tabela1[[#This Row],[8]])),LEN(Tabela1[[#This Row],[8]])-LEN(SUBSTITUTE(Tabela1[[#This Row],[8]],",",""))+1,1),"")</f>
        <v/>
      </c>
      <c r="AH607" t="str">
        <f>IF(Tabela1[[#This Row],[9]]&lt;&gt;"",IF(ISNUMBER(FIND(",",Tabela1[[#This Row],[9]])),LEN(Tabela1[[#This Row],[9]])-LEN(SUBSTITUTE(Tabela1[[#This Row],[9]],",",""))+1,1),"")</f>
        <v/>
      </c>
      <c r="AI607" t="str">
        <f>IF(Tabela1[[#This Row],[10]]&lt;&gt;"",IF(ISNUMBER(FIND(",",Tabela1[[#This Row],[10]])),LEN(Tabela1[[#This Row],[10]])-LEN(SUBSTITUTE(Tabela1[[#This Row],[10]],",",""))+1,1),"")</f>
        <v/>
      </c>
      <c r="AJ607" t="str">
        <f>IF(Tabela1[[#This Row],[11]]&lt;&gt;"",IF(ISNUMBER(FIND(",",Tabela1[[#This Row],[11]])),LEN(Tabela1[[#This Row],[11]])-LEN(SUBSTITUTE(Tabela1[[#This Row],[11]],",",""))+1,1),"")</f>
        <v/>
      </c>
      <c r="AK607" t="str">
        <f>IF(Tabela1[[#This Row],[12]]&lt;&gt;"",IF(ISNUMBER(FIND(",",Tabela1[[#This Row],[12]])),LEN(Tabela1[[#This Row],[12]])-LEN(SUBSTITUTE(Tabela1[[#This Row],[12]],",",""))+1,1),"")</f>
        <v/>
      </c>
      <c r="AL607" t="str">
        <f>IF(Tabela1[[#This Row],[13]]&lt;&gt;"",IF(ISNUMBER(FIND(",",Tabela1[[#This Row],[13]])),LEN(Tabela1[[#This Row],[13]])-LEN(SUBSTITUTE(Tabela1[[#This Row],[13]],",",""))+1,1),"")</f>
        <v/>
      </c>
      <c r="AM607" t="str">
        <f>IF(Tabela1[[#This Row],[14]]&lt;&gt;"",IF(ISNUMBER(FIND(",",Tabela1[[#This Row],[14]])),LEN(Tabela1[[#This Row],[14]])-LEN(SUBSTITUTE(Tabela1[[#This Row],[14]],",",""))+1,1),"")</f>
        <v/>
      </c>
      <c r="AN607" t="str">
        <f>IF(Tabela1[[#This Row],[15]]&lt;&gt;"",IF(ISNUMBER(FIND(",",Tabela1[[#This Row],[15]])),LEN(Tabela1[[#This Row],[15]])-LEN(SUBSTITUTE(Tabela1[[#This Row],[15]],",",""))+1,1),"")</f>
        <v/>
      </c>
      <c r="AO607" t="str">
        <f>IF(Tabela1[[#This Row],[16]]&lt;&gt;"",IF(ISNUMBER(FIND(",",Tabela1[[#This Row],[16]])),LEN(Tabela1[[#This Row],[16]])-LEN(SUBSTITUTE(Tabela1[[#This Row],[16]],",",""))+1,1),"")</f>
        <v/>
      </c>
      <c r="AP607" t="str">
        <f>IF(Tabela1[[#This Row],[17]]&lt;&gt;"",IF(ISNUMBER(FIND(",",Tabela1[[#This Row],[17]])),LEN(Tabela1[[#This Row],[17]])-LEN(SUBSTITUTE(Tabela1[[#This Row],[17]],",",""))+1,1),"")</f>
        <v/>
      </c>
      <c r="AQ607" t="str">
        <f>IF(Tabela1[[#This Row],[18]]&lt;&gt;"",IF(ISNUMBER(FIND(",",Tabela1[[#This Row],[18]])),LEN(Tabela1[[#This Row],[18]])-LEN(SUBSTITUTE(Tabela1[[#This Row],[18]],",",""))+1,1),"")</f>
        <v/>
      </c>
      <c r="AR607" s="13" t="str">
        <f>IF(Tabela1[[#This Row],[19_LENGTH]]&lt;&gt;"",IF(ISNUMBER(FIND(",",Tabela1[[#This Row],[19_LENGTH]])),LEN(Tabela1[[#This Row],[19_LENGTH]])-LEN(SUBSTITUTE(Tabela1[[#This Row],[19_LENGTH]],",",""))+1,1),"")</f>
        <v/>
      </c>
      <c r="AS607" s="21">
        <f>SUM(Tabela1[[#This Row],[1_]:[19_]])</f>
        <v>1</v>
      </c>
    </row>
    <row r="608" spans="1:45" x14ac:dyDescent="0.25">
      <c r="A608" s="27" t="s">
        <v>1330</v>
      </c>
      <c r="B608" s="19" t="s">
        <v>633</v>
      </c>
      <c r="C608" s="19">
        <v>102</v>
      </c>
      <c r="D608" s="19" t="s">
        <v>1307</v>
      </c>
      <c r="E608" s="20">
        <v>43545</v>
      </c>
      <c r="F608" s="19"/>
      <c r="G608" s="19"/>
      <c r="H608" s="19"/>
      <c r="I608" s="19"/>
      <c r="J608" s="19"/>
      <c r="K608" s="19"/>
      <c r="L608" s="19"/>
      <c r="M608" s="19"/>
      <c r="N608" s="19"/>
      <c r="O608" s="19"/>
      <c r="P608" s="19"/>
      <c r="Q608" s="19"/>
      <c r="R608" s="19"/>
      <c r="S608" s="19"/>
      <c r="T608" s="19"/>
      <c r="U608" s="19"/>
      <c r="V608" s="19">
        <v>28</v>
      </c>
      <c r="W608" s="19"/>
      <c r="X608" s="19" t="s">
        <v>43</v>
      </c>
      <c r="Y608" s="19">
        <v>75</v>
      </c>
      <c r="Z608" t="str">
        <f>IF(Tabela1[[#This Row],[1]]&lt;&gt;"",IF(ISNUMBER(FIND(",",Tabela1[[#This Row],[1]])),LEN(Tabela1[[#This Row],[1]])-LEN(SUBSTITUTE(Tabela1[[#This Row],[1]],",",""))+1,1),"")</f>
        <v/>
      </c>
      <c r="AA608" t="str">
        <f>IF(Tabela1[[#This Row],[2]]&lt;&gt;"",IF(ISNUMBER(FIND(",",Tabela1[[#This Row],[2]])),LEN(Tabela1[[#This Row],[2]])-LEN(SUBSTITUTE(Tabela1[[#This Row],[2]],",",""))+1,1),"")</f>
        <v/>
      </c>
      <c r="AB608" t="str">
        <f>IF(Tabela1[[#This Row],[3]]&lt;&gt;"",IF(ISNUMBER(FIND(",",Tabela1[[#This Row],[3]])),LEN(Tabela1[[#This Row],[3]])-LEN(SUBSTITUTE(Tabela1[[#This Row],[3]],",",""))+1,1),"")</f>
        <v/>
      </c>
      <c r="AC608" t="str">
        <f>IF(Tabela1[[#This Row],[4]]&lt;&gt;"",IF(ISNUMBER(FIND(",",Tabela1[[#This Row],[4]])),LEN(Tabela1[[#This Row],[4]])-LEN(SUBSTITUTE(Tabela1[[#This Row],[4]],",",""))+1,1),"")</f>
        <v/>
      </c>
      <c r="AD608" t="str">
        <f>IF(Tabela1[[#This Row],[5]]&lt;&gt;"",IF(ISNUMBER(FIND(",",Tabela1[[#This Row],[5]])),LEN(Tabela1[[#This Row],[5]])-LEN(SUBSTITUTE(Tabela1[[#This Row],[5]],",",""))+1,1),"")</f>
        <v/>
      </c>
      <c r="AE608" t="str">
        <f>IF(Tabela1[[#This Row],[6]]&lt;&gt;"",IF(ISNUMBER(FIND(",",Tabela1[[#This Row],[6]])),LEN(Tabela1[[#This Row],[6]])-LEN(SUBSTITUTE(Tabela1[[#This Row],[6]],",",""))+1,1),"")</f>
        <v/>
      </c>
      <c r="AF608" t="str">
        <f>IF(Tabela1[[#This Row],[7]]&lt;&gt;"",IF(ISNUMBER(FIND(",",Tabela1[[#This Row],[7]])),LEN(Tabela1[[#This Row],[7]])-LEN(SUBSTITUTE(Tabela1[[#This Row],[7]],",",""))+1,1),"")</f>
        <v/>
      </c>
      <c r="AG608" t="str">
        <f>IF(Tabela1[[#This Row],[8]]&lt;&gt;"",IF(ISNUMBER(FIND(",",Tabela1[[#This Row],[8]])),LEN(Tabela1[[#This Row],[8]])-LEN(SUBSTITUTE(Tabela1[[#This Row],[8]],",",""))+1,1),"")</f>
        <v/>
      </c>
      <c r="AH608" t="str">
        <f>IF(Tabela1[[#This Row],[9]]&lt;&gt;"",IF(ISNUMBER(FIND(",",Tabela1[[#This Row],[9]])),LEN(Tabela1[[#This Row],[9]])-LEN(SUBSTITUTE(Tabela1[[#This Row],[9]],",",""))+1,1),"")</f>
        <v/>
      </c>
      <c r="AI608" t="str">
        <f>IF(Tabela1[[#This Row],[10]]&lt;&gt;"",IF(ISNUMBER(FIND(",",Tabela1[[#This Row],[10]])),LEN(Tabela1[[#This Row],[10]])-LEN(SUBSTITUTE(Tabela1[[#This Row],[10]],",",""))+1,1),"")</f>
        <v/>
      </c>
      <c r="AJ608" t="str">
        <f>IF(Tabela1[[#This Row],[11]]&lt;&gt;"",IF(ISNUMBER(FIND(",",Tabela1[[#This Row],[11]])),LEN(Tabela1[[#This Row],[11]])-LEN(SUBSTITUTE(Tabela1[[#This Row],[11]],",",""))+1,1),"")</f>
        <v/>
      </c>
      <c r="AK608" t="str">
        <f>IF(Tabela1[[#This Row],[12]]&lt;&gt;"",IF(ISNUMBER(FIND(",",Tabela1[[#This Row],[12]])),LEN(Tabela1[[#This Row],[12]])-LEN(SUBSTITUTE(Tabela1[[#This Row],[12]],",",""))+1,1),"")</f>
        <v/>
      </c>
      <c r="AL608" t="str">
        <f>IF(Tabela1[[#This Row],[13]]&lt;&gt;"",IF(ISNUMBER(FIND(",",Tabela1[[#This Row],[13]])),LEN(Tabela1[[#This Row],[13]])-LEN(SUBSTITUTE(Tabela1[[#This Row],[13]],",",""))+1,1),"")</f>
        <v/>
      </c>
      <c r="AM608" t="str">
        <f>IF(Tabela1[[#This Row],[14]]&lt;&gt;"",IF(ISNUMBER(FIND(",",Tabela1[[#This Row],[14]])),LEN(Tabela1[[#This Row],[14]])-LEN(SUBSTITUTE(Tabela1[[#This Row],[14]],",",""))+1,1),"")</f>
        <v/>
      </c>
      <c r="AN608" t="str">
        <f>IF(Tabela1[[#This Row],[15]]&lt;&gt;"",IF(ISNUMBER(FIND(",",Tabela1[[#This Row],[15]])),LEN(Tabela1[[#This Row],[15]])-LEN(SUBSTITUTE(Tabela1[[#This Row],[15]],",",""))+1,1),"")</f>
        <v/>
      </c>
      <c r="AO608" t="str">
        <f>IF(Tabela1[[#This Row],[16]]&lt;&gt;"",IF(ISNUMBER(FIND(",",Tabela1[[#This Row],[16]])),LEN(Tabela1[[#This Row],[16]])-LEN(SUBSTITUTE(Tabela1[[#This Row],[16]],",",""))+1,1),"")</f>
        <v/>
      </c>
      <c r="AP608">
        <f>IF(Tabela1[[#This Row],[17]]&lt;&gt;"",IF(ISNUMBER(FIND(",",Tabela1[[#This Row],[17]])),LEN(Tabela1[[#This Row],[17]])-LEN(SUBSTITUTE(Tabela1[[#This Row],[17]],",",""))+1,1),"")</f>
        <v>1</v>
      </c>
      <c r="AQ608" t="str">
        <f>IF(Tabela1[[#This Row],[18]]&lt;&gt;"",IF(ISNUMBER(FIND(",",Tabela1[[#This Row],[18]])),LEN(Tabela1[[#This Row],[18]])-LEN(SUBSTITUTE(Tabela1[[#This Row],[18]],",",""))+1,1),"")</f>
        <v/>
      </c>
      <c r="AR608" s="13">
        <f>IF(Tabela1[[#This Row],[19_LENGTH]]&lt;&gt;"",IF(ISNUMBER(FIND(",",Tabela1[[#This Row],[19_LENGTH]])),LEN(Tabela1[[#This Row],[19_LENGTH]])-LEN(SUBSTITUTE(Tabela1[[#This Row],[19_LENGTH]],",",""))+1,1),"")</f>
        <v>1</v>
      </c>
      <c r="AS608" s="21">
        <f>SUM(Tabela1[[#This Row],[1_]:[19_]])</f>
        <v>2</v>
      </c>
    </row>
    <row r="609" spans="1:45" x14ac:dyDescent="0.25">
      <c r="A609" s="27" t="s">
        <v>1330</v>
      </c>
      <c r="B609" s="19" t="s">
        <v>634</v>
      </c>
      <c r="C609" s="19">
        <v>102</v>
      </c>
      <c r="D609" s="19" t="s">
        <v>1307</v>
      </c>
      <c r="E609" s="20">
        <v>43545</v>
      </c>
      <c r="F609" s="19"/>
      <c r="G609" s="19"/>
      <c r="H609" s="19">
        <v>60</v>
      </c>
      <c r="I609" s="19"/>
      <c r="J609" s="19">
        <v>87</v>
      </c>
      <c r="K609" s="19"/>
      <c r="L609" s="19"/>
      <c r="M609" s="19"/>
      <c r="N609" s="19"/>
      <c r="O609" s="19"/>
      <c r="P609" s="19"/>
      <c r="Q609" s="19"/>
      <c r="R609" s="19"/>
      <c r="S609" s="19"/>
      <c r="T609" s="19"/>
      <c r="U609" s="19"/>
      <c r="V609" s="19"/>
      <c r="W609" s="19"/>
      <c r="X609" s="19"/>
      <c r="Y609" s="19"/>
      <c r="Z609" t="str">
        <f>IF(Tabela1[[#This Row],[1]]&lt;&gt;"",IF(ISNUMBER(FIND(",",Tabela1[[#This Row],[1]])),LEN(Tabela1[[#This Row],[1]])-LEN(SUBSTITUTE(Tabela1[[#This Row],[1]],",",""))+1,1),"")</f>
        <v/>
      </c>
      <c r="AA609" t="str">
        <f>IF(Tabela1[[#This Row],[2]]&lt;&gt;"",IF(ISNUMBER(FIND(",",Tabela1[[#This Row],[2]])),LEN(Tabela1[[#This Row],[2]])-LEN(SUBSTITUTE(Tabela1[[#This Row],[2]],",",""))+1,1),"")</f>
        <v/>
      </c>
      <c r="AB609">
        <f>IF(Tabela1[[#This Row],[3]]&lt;&gt;"",IF(ISNUMBER(FIND(",",Tabela1[[#This Row],[3]])),LEN(Tabela1[[#This Row],[3]])-LEN(SUBSTITUTE(Tabela1[[#This Row],[3]],",",""))+1,1),"")</f>
        <v>1</v>
      </c>
      <c r="AC609" t="str">
        <f>IF(Tabela1[[#This Row],[4]]&lt;&gt;"",IF(ISNUMBER(FIND(",",Tabela1[[#This Row],[4]])),LEN(Tabela1[[#This Row],[4]])-LEN(SUBSTITUTE(Tabela1[[#This Row],[4]],",",""))+1,1),"")</f>
        <v/>
      </c>
      <c r="AD609">
        <f>IF(Tabela1[[#This Row],[5]]&lt;&gt;"",IF(ISNUMBER(FIND(",",Tabela1[[#This Row],[5]])),LEN(Tabela1[[#This Row],[5]])-LEN(SUBSTITUTE(Tabela1[[#This Row],[5]],",",""))+1,1),"")</f>
        <v>1</v>
      </c>
      <c r="AE609" t="str">
        <f>IF(Tabela1[[#This Row],[6]]&lt;&gt;"",IF(ISNUMBER(FIND(",",Tabela1[[#This Row],[6]])),LEN(Tabela1[[#This Row],[6]])-LEN(SUBSTITUTE(Tabela1[[#This Row],[6]],",",""))+1,1),"")</f>
        <v/>
      </c>
      <c r="AF609" t="str">
        <f>IF(Tabela1[[#This Row],[7]]&lt;&gt;"",IF(ISNUMBER(FIND(",",Tabela1[[#This Row],[7]])),LEN(Tabela1[[#This Row],[7]])-LEN(SUBSTITUTE(Tabela1[[#This Row],[7]],",",""))+1,1),"")</f>
        <v/>
      </c>
      <c r="AG609" t="str">
        <f>IF(Tabela1[[#This Row],[8]]&lt;&gt;"",IF(ISNUMBER(FIND(",",Tabela1[[#This Row],[8]])),LEN(Tabela1[[#This Row],[8]])-LEN(SUBSTITUTE(Tabela1[[#This Row],[8]],",",""))+1,1),"")</f>
        <v/>
      </c>
      <c r="AH609" t="str">
        <f>IF(Tabela1[[#This Row],[9]]&lt;&gt;"",IF(ISNUMBER(FIND(",",Tabela1[[#This Row],[9]])),LEN(Tabela1[[#This Row],[9]])-LEN(SUBSTITUTE(Tabela1[[#This Row],[9]],",",""))+1,1),"")</f>
        <v/>
      </c>
      <c r="AI609" t="str">
        <f>IF(Tabela1[[#This Row],[10]]&lt;&gt;"",IF(ISNUMBER(FIND(",",Tabela1[[#This Row],[10]])),LEN(Tabela1[[#This Row],[10]])-LEN(SUBSTITUTE(Tabela1[[#This Row],[10]],",",""))+1,1),"")</f>
        <v/>
      </c>
      <c r="AJ609" t="str">
        <f>IF(Tabela1[[#This Row],[11]]&lt;&gt;"",IF(ISNUMBER(FIND(",",Tabela1[[#This Row],[11]])),LEN(Tabela1[[#This Row],[11]])-LEN(SUBSTITUTE(Tabela1[[#This Row],[11]],",",""))+1,1),"")</f>
        <v/>
      </c>
      <c r="AK609" t="str">
        <f>IF(Tabela1[[#This Row],[12]]&lt;&gt;"",IF(ISNUMBER(FIND(",",Tabela1[[#This Row],[12]])),LEN(Tabela1[[#This Row],[12]])-LEN(SUBSTITUTE(Tabela1[[#This Row],[12]],",",""))+1,1),"")</f>
        <v/>
      </c>
      <c r="AL609" t="str">
        <f>IF(Tabela1[[#This Row],[13]]&lt;&gt;"",IF(ISNUMBER(FIND(",",Tabela1[[#This Row],[13]])),LEN(Tabela1[[#This Row],[13]])-LEN(SUBSTITUTE(Tabela1[[#This Row],[13]],",",""))+1,1),"")</f>
        <v/>
      </c>
      <c r="AM609" t="str">
        <f>IF(Tabela1[[#This Row],[14]]&lt;&gt;"",IF(ISNUMBER(FIND(",",Tabela1[[#This Row],[14]])),LEN(Tabela1[[#This Row],[14]])-LEN(SUBSTITUTE(Tabela1[[#This Row],[14]],",",""))+1,1),"")</f>
        <v/>
      </c>
      <c r="AN609" t="str">
        <f>IF(Tabela1[[#This Row],[15]]&lt;&gt;"",IF(ISNUMBER(FIND(",",Tabela1[[#This Row],[15]])),LEN(Tabela1[[#This Row],[15]])-LEN(SUBSTITUTE(Tabela1[[#This Row],[15]],",",""))+1,1),"")</f>
        <v/>
      </c>
      <c r="AO609" t="str">
        <f>IF(Tabela1[[#This Row],[16]]&lt;&gt;"",IF(ISNUMBER(FIND(",",Tabela1[[#This Row],[16]])),LEN(Tabela1[[#This Row],[16]])-LEN(SUBSTITUTE(Tabela1[[#This Row],[16]],",",""))+1,1),"")</f>
        <v/>
      </c>
      <c r="AP609" t="str">
        <f>IF(Tabela1[[#This Row],[17]]&lt;&gt;"",IF(ISNUMBER(FIND(",",Tabela1[[#This Row],[17]])),LEN(Tabela1[[#This Row],[17]])-LEN(SUBSTITUTE(Tabela1[[#This Row],[17]],",",""))+1,1),"")</f>
        <v/>
      </c>
      <c r="AQ609" t="str">
        <f>IF(Tabela1[[#This Row],[18]]&lt;&gt;"",IF(ISNUMBER(FIND(",",Tabela1[[#This Row],[18]])),LEN(Tabela1[[#This Row],[18]])-LEN(SUBSTITUTE(Tabela1[[#This Row],[18]],",",""))+1,1),"")</f>
        <v/>
      </c>
      <c r="AR609" s="13" t="str">
        <f>IF(Tabela1[[#This Row],[19_LENGTH]]&lt;&gt;"",IF(ISNUMBER(FIND(",",Tabela1[[#This Row],[19_LENGTH]])),LEN(Tabela1[[#This Row],[19_LENGTH]])-LEN(SUBSTITUTE(Tabela1[[#This Row],[19_LENGTH]],",",""))+1,1),"")</f>
        <v/>
      </c>
      <c r="AS609" s="21">
        <f>SUM(Tabela1[[#This Row],[1_]:[19_]])</f>
        <v>2</v>
      </c>
    </row>
    <row r="610" spans="1:45" x14ac:dyDescent="0.25">
      <c r="A610" s="27" t="s">
        <v>1330</v>
      </c>
      <c r="B610" s="19" t="s">
        <v>635</v>
      </c>
      <c r="C610" s="19">
        <v>102</v>
      </c>
      <c r="D610" s="19" t="s">
        <v>1299</v>
      </c>
      <c r="E610" s="20">
        <v>43545</v>
      </c>
      <c r="F610" s="19"/>
      <c r="G610" s="19"/>
      <c r="H610" s="19"/>
      <c r="I610" s="19"/>
      <c r="J610" s="19"/>
      <c r="K610" s="19"/>
      <c r="L610" s="19"/>
      <c r="M610" s="19"/>
      <c r="N610" s="19"/>
      <c r="O610" s="19"/>
      <c r="P610" s="19"/>
      <c r="Q610" s="19"/>
      <c r="R610" s="19"/>
      <c r="S610" s="19"/>
      <c r="T610" s="19"/>
      <c r="U610" s="19">
        <v>33</v>
      </c>
      <c r="V610" s="19"/>
      <c r="W610" s="19"/>
      <c r="X610" s="19"/>
      <c r="Y610" s="19"/>
      <c r="Z610" t="str">
        <f>IF(Tabela1[[#This Row],[1]]&lt;&gt;"",IF(ISNUMBER(FIND(",",Tabela1[[#This Row],[1]])),LEN(Tabela1[[#This Row],[1]])-LEN(SUBSTITUTE(Tabela1[[#This Row],[1]],",",""))+1,1),"")</f>
        <v/>
      </c>
      <c r="AA610" t="str">
        <f>IF(Tabela1[[#This Row],[2]]&lt;&gt;"",IF(ISNUMBER(FIND(",",Tabela1[[#This Row],[2]])),LEN(Tabela1[[#This Row],[2]])-LEN(SUBSTITUTE(Tabela1[[#This Row],[2]],",",""))+1,1),"")</f>
        <v/>
      </c>
      <c r="AB610" t="str">
        <f>IF(Tabela1[[#This Row],[3]]&lt;&gt;"",IF(ISNUMBER(FIND(",",Tabela1[[#This Row],[3]])),LEN(Tabela1[[#This Row],[3]])-LEN(SUBSTITUTE(Tabela1[[#This Row],[3]],",",""))+1,1),"")</f>
        <v/>
      </c>
      <c r="AC610" t="str">
        <f>IF(Tabela1[[#This Row],[4]]&lt;&gt;"",IF(ISNUMBER(FIND(",",Tabela1[[#This Row],[4]])),LEN(Tabela1[[#This Row],[4]])-LEN(SUBSTITUTE(Tabela1[[#This Row],[4]],",",""))+1,1),"")</f>
        <v/>
      </c>
      <c r="AD610" t="str">
        <f>IF(Tabela1[[#This Row],[5]]&lt;&gt;"",IF(ISNUMBER(FIND(",",Tabela1[[#This Row],[5]])),LEN(Tabela1[[#This Row],[5]])-LEN(SUBSTITUTE(Tabela1[[#This Row],[5]],",",""))+1,1),"")</f>
        <v/>
      </c>
      <c r="AE610" t="str">
        <f>IF(Tabela1[[#This Row],[6]]&lt;&gt;"",IF(ISNUMBER(FIND(",",Tabela1[[#This Row],[6]])),LEN(Tabela1[[#This Row],[6]])-LEN(SUBSTITUTE(Tabela1[[#This Row],[6]],",",""))+1,1),"")</f>
        <v/>
      </c>
      <c r="AF610" t="str">
        <f>IF(Tabela1[[#This Row],[7]]&lt;&gt;"",IF(ISNUMBER(FIND(",",Tabela1[[#This Row],[7]])),LEN(Tabela1[[#This Row],[7]])-LEN(SUBSTITUTE(Tabela1[[#This Row],[7]],",",""))+1,1),"")</f>
        <v/>
      </c>
      <c r="AG610" t="str">
        <f>IF(Tabela1[[#This Row],[8]]&lt;&gt;"",IF(ISNUMBER(FIND(",",Tabela1[[#This Row],[8]])),LEN(Tabela1[[#This Row],[8]])-LEN(SUBSTITUTE(Tabela1[[#This Row],[8]],",",""))+1,1),"")</f>
        <v/>
      </c>
      <c r="AH610" t="str">
        <f>IF(Tabela1[[#This Row],[9]]&lt;&gt;"",IF(ISNUMBER(FIND(",",Tabela1[[#This Row],[9]])),LEN(Tabela1[[#This Row],[9]])-LEN(SUBSTITUTE(Tabela1[[#This Row],[9]],",",""))+1,1),"")</f>
        <v/>
      </c>
      <c r="AI610" t="str">
        <f>IF(Tabela1[[#This Row],[10]]&lt;&gt;"",IF(ISNUMBER(FIND(",",Tabela1[[#This Row],[10]])),LEN(Tabela1[[#This Row],[10]])-LEN(SUBSTITUTE(Tabela1[[#This Row],[10]],",",""))+1,1),"")</f>
        <v/>
      </c>
      <c r="AJ610" t="str">
        <f>IF(Tabela1[[#This Row],[11]]&lt;&gt;"",IF(ISNUMBER(FIND(",",Tabela1[[#This Row],[11]])),LEN(Tabela1[[#This Row],[11]])-LEN(SUBSTITUTE(Tabela1[[#This Row],[11]],",",""))+1,1),"")</f>
        <v/>
      </c>
      <c r="AK610" t="str">
        <f>IF(Tabela1[[#This Row],[12]]&lt;&gt;"",IF(ISNUMBER(FIND(",",Tabela1[[#This Row],[12]])),LEN(Tabela1[[#This Row],[12]])-LEN(SUBSTITUTE(Tabela1[[#This Row],[12]],",",""))+1,1),"")</f>
        <v/>
      </c>
      <c r="AL610" t="str">
        <f>IF(Tabela1[[#This Row],[13]]&lt;&gt;"",IF(ISNUMBER(FIND(",",Tabela1[[#This Row],[13]])),LEN(Tabela1[[#This Row],[13]])-LEN(SUBSTITUTE(Tabela1[[#This Row],[13]],",",""))+1,1),"")</f>
        <v/>
      </c>
      <c r="AM610" t="str">
        <f>IF(Tabela1[[#This Row],[14]]&lt;&gt;"",IF(ISNUMBER(FIND(",",Tabela1[[#This Row],[14]])),LEN(Tabela1[[#This Row],[14]])-LEN(SUBSTITUTE(Tabela1[[#This Row],[14]],",",""))+1,1),"")</f>
        <v/>
      </c>
      <c r="AN610" t="str">
        <f>IF(Tabela1[[#This Row],[15]]&lt;&gt;"",IF(ISNUMBER(FIND(",",Tabela1[[#This Row],[15]])),LEN(Tabela1[[#This Row],[15]])-LEN(SUBSTITUTE(Tabela1[[#This Row],[15]],",",""))+1,1),"")</f>
        <v/>
      </c>
      <c r="AO610">
        <f>IF(Tabela1[[#This Row],[16]]&lt;&gt;"",IF(ISNUMBER(FIND(",",Tabela1[[#This Row],[16]])),LEN(Tabela1[[#This Row],[16]])-LEN(SUBSTITUTE(Tabela1[[#This Row],[16]],",",""))+1,1),"")</f>
        <v>1</v>
      </c>
      <c r="AP610" t="str">
        <f>IF(Tabela1[[#This Row],[17]]&lt;&gt;"",IF(ISNUMBER(FIND(",",Tabela1[[#This Row],[17]])),LEN(Tabela1[[#This Row],[17]])-LEN(SUBSTITUTE(Tabela1[[#This Row],[17]],",",""))+1,1),"")</f>
        <v/>
      </c>
      <c r="AQ610" t="str">
        <f>IF(Tabela1[[#This Row],[18]]&lt;&gt;"",IF(ISNUMBER(FIND(",",Tabela1[[#This Row],[18]])),LEN(Tabela1[[#This Row],[18]])-LEN(SUBSTITUTE(Tabela1[[#This Row],[18]],",",""))+1,1),"")</f>
        <v/>
      </c>
      <c r="AR610" s="13" t="str">
        <f>IF(Tabela1[[#This Row],[19_LENGTH]]&lt;&gt;"",IF(ISNUMBER(FIND(",",Tabela1[[#This Row],[19_LENGTH]])),LEN(Tabela1[[#This Row],[19_LENGTH]])-LEN(SUBSTITUTE(Tabela1[[#This Row],[19_LENGTH]],",",""))+1,1),"")</f>
        <v/>
      </c>
      <c r="AS610" s="21">
        <f>SUM(Tabela1[[#This Row],[1_]:[19_]])</f>
        <v>1</v>
      </c>
    </row>
    <row r="611" spans="1:45" x14ac:dyDescent="0.25">
      <c r="A611" s="27" t="s">
        <v>1330</v>
      </c>
      <c r="B611" s="19" t="s">
        <v>636</v>
      </c>
      <c r="C611" s="19">
        <v>102</v>
      </c>
      <c r="D611" s="19" t="s">
        <v>1299</v>
      </c>
      <c r="E611" s="20">
        <v>43545</v>
      </c>
      <c r="F611" s="19"/>
      <c r="G611" s="19"/>
      <c r="H611" s="19"/>
      <c r="I611" s="19"/>
      <c r="J611" s="19"/>
      <c r="K611" s="19"/>
      <c r="L611" s="19"/>
      <c r="M611" s="19"/>
      <c r="N611" s="19"/>
      <c r="O611" s="19"/>
      <c r="P611" s="19"/>
      <c r="Q611" s="19"/>
      <c r="R611" s="19"/>
      <c r="S611" s="19"/>
      <c r="T611" s="19"/>
      <c r="U611" s="19">
        <v>20</v>
      </c>
      <c r="V611" s="19"/>
      <c r="W611" s="19"/>
      <c r="X611" s="19"/>
      <c r="Y611" s="19"/>
      <c r="Z611" t="str">
        <f>IF(Tabela1[[#This Row],[1]]&lt;&gt;"",IF(ISNUMBER(FIND(",",Tabela1[[#This Row],[1]])),LEN(Tabela1[[#This Row],[1]])-LEN(SUBSTITUTE(Tabela1[[#This Row],[1]],",",""))+1,1),"")</f>
        <v/>
      </c>
      <c r="AA611" t="str">
        <f>IF(Tabela1[[#This Row],[2]]&lt;&gt;"",IF(ISNUMBER(FIND(",",Tabela1[[#This Row],[2]])),LEN(Tabela1[[#This Row],[2]])-LEN(SUBSTITUTE(Tabela1[[#This Row],[2]],",",""))+1,1),"")</f>
        <v/>
      </c>
      <c r="AB611" t="str">
        <f>IF(Tabela1[[#This Row],[3]]&lt;&gt;"",IF(ISNUMBER(FIND(",",Tabela1[[#This Row],[3]])),LEN(Tabela1[[#This Row],[3]])-LEN(SUBSTITUTE(Tabela1[[#This Row],[3]],",",""))+1,1),"")</f>
        <v/>
      </c>
      <c r="AC611" t="str">
        <f>IF(Tabela1[[#This Row],[4]]&lt;&gt;"",IF(ISNUMBER(FIND(",",Tabela1[[#This Row],[4]])),LEN(Tabela1[[#This Row],[4]])-LEN(SUBSTITUTE(Tabela1[[#This Row],[4]],",",""))+1,1),"")</f>
        <v/>
      </c>
      <c r="AD611" t="str">
        <f>IF(Tabela1[[#This Row],[5]]&lt;&gt;"",IF(ISNUMBER(FIND(",",Tabela1[[#This Row],[5]])),LEN(Tabela1[[#This Row],[5]])-LEN(SUBSTITUTE(Tabela1[[#This Row],[5]],",",""))+1,1),"")</f>
        <v/>
      </c>
      <c r="AE611" t="str">
        <f>IF(Tabela1[[#This Row],[6]]&lt;&gt;"",IF(ISNUMBER(FIND(",",Tabela1[[#This Row],[6]])),LEN(Tabela1[[#This Row],[6]])-LEN(SUBSTITUTE(Tabela1[[#This Row],[6]],",",""))+1,1),"")</f>
        <v/>
      </c>
      <c r="AF611" t="str">
        <f>IF(Tabela1[[#This Row],[7]]&lt;&gt;"",IF(ISNUMBER(FIND(",",Tabela1[[#This Row],[7]])),LEN(Tabela1[[#This Row],[7]])-LEN(SUBSTITUTE(Tabela1[[#This Row],[7]],",",""))+1,1),"")</f>
        <v/>
      </c>
      <c r="AG611" t="str">
        <f>IF(Tabela1[[#This Row],[8]]&lt;&gt;"",IF(ISNUMBER(FIND(",",Tabela1[[#This Row],[8]])),LEN(Tabela1[[#This Row],[8]])-LEN(SUBSTITUTE(Tabela1[[#This Row],[8]],",",""))+1,1),"")</f>
        <v/>
      </c>
      <c r="AH611" t="str">
        <f>IF(Tabela1[[#This Row],[9]]&lt;&gt;"",IF(ISNUMBER(FIND(",",Tabela1[[#This Row],[9]])),LEN(Tabela1[[#This Row],[9]])-LEN(SUBSTITUTE(Tabela1[[#This Row],[9]],",",""))+1,1),"")</f>
        <v/>
      </c>
      <c r="AI611" t="str">
        <f>IF(Tabela1[[#This Row],[10]]&lt;&gt;"",IF(ISNUMBER(FIND(",",Tabela1[[#This Row],[10]])),LEN(Tabela1[[#This Row],[10]])-LEN(SUBSTITUTE(Tabela1[[#This Row],[10]],",",""))+1,1),"")</f>
        <v/>
      </c>
      <c r="AJ611" t="str">
        <f>IF(Tabela1[[#This Row],[11]]&lt;&gt;"",IF(ISNUMBER(FIND(",",Tabela1[[#This Row],[11]])),LEN(Tabela1[[#This Row],[11]])-LEN(SUBSTITUTE(Tabela1[[#This Row],[11]],",",""))+1,1),"")</f>
        <v/>
      </c>
      <c r="AK611" t="str">
        <f>IF(Tabela1[[#This Row],[12]]&lt;&gt;"",IF(ISNUMBER(FIND(",",Tabela1[[#This Row],[12]])),LEN(Tabela1[[#This Row],[12]])-LEN(SUBSTITUTE(Tabela1[[#This Row],[12]],",",""))+1,1),"")</f>
        <v/>
      </c>
      <c r="AL611" t="str">
        <f>IF(Tabela1[[#This Row],[13]]&lt;&gt;"",IF(ISNUMBER(FIND(",",Tabela1[[#This Row],[13]])),LEN(Tabela1[[#This Row],[13]])-LEN(SUBSTITUTE(Tabela1[[#This Row],[13]],",",""))+1,1),"")</f>
        <v/>
      </c>
      <c r="AM611" t="str">
        <f>IF(Tabela1[[#This Row],[14]]&lt;&gt;"",IF(ISNUMBER(FIND(",",Tabela1[[#This Row],[14]])),LEN(Tabela1[[#This Row],[14]])-LEN(SUBSTITUTE(Tabela1[[#This Row],[14]],",",""))+1,1),"")</f>
        <v/>
      </c>
      <c r="AN611" t="str">
        <f>IF(Tabela1[[#This Row],[15]]&lt;&gt;"",IF(ISNUMBER(FIND(",",Tabela1[[#This Row],[15]])),LEN(Tabela1[[#This Row],[15]])-LEN(SUBSTITUTE(Tabela1[[#This Row],[15]],",",""))+1,1),"")</f>
        <v/>
      </c>
      <c r="AO611">
        <f>IF(Tabela1[[#This Row],[16]]&lt;&gt;"",IF(ISNUMBER(FIND(",",Tabela1[[#This Row],[16]])),LEN(Tabela1[[#This Row],[16]])-LEN(SUBSTITUTE(Tabela1[[#This Row],[16]],",",""))+1,1),"")</f>
        <v>1</v>
      </c>
      <c r="AP611" t="str">
        <f>IF(Tabela1[[#This Row],[17]]&lt;&gt;"",IF(ISNUMBER(FIND(",",Tabela1[[#This Row],[17]])),LEN(Tabela1[[#This Row],[17]])-LEN(SUBSTITUTE(Tabela1[[#This Row],[17]],",",""))+1,1),"")</f>
        <v/>
      </c>
      <c r="AQ611" t="str">
        <f>IF(Tabela1[[#This Row],[18]]&lt;&gt;"",IF(ISNUMBER(FIND(",",Tabela1[[#This Row],[18]])),LEN(Tabela1[[#This Row],[18]])-LEN(SUBSTITUTE(Tabela1[[#This Row],[18]],",",""))+1,1),"")</f>
        <v/>
      </c>
      <c r="AR611" s="13" t="str">
        <f>IF(Tabela1[[#This Row],[19_LENGTH]]&lt;&gt;"",IF(ISNUMBER(FIND(",",Tabela1[[#This Row],[19_LENGTH]])),LEN(Tabela1[[#This Row],[19_LENGTH]])-LEN(SUBSTITUTE(Tabela1[[#This Row],[19_LENGTH]],",",""))+1,1),"")</f>
        <v/>
      </c>
      <c r="AS611" s="21">
        <f>SUM(Tabela1[[#This Row],[1_]:[19_]])</f>
        <v>1</v>
      </c>
    </row>
    <row r="612" spans="1:45" x14ac:dyDescent="0.25">
      <c r="A612" s="27" t="s">
        <v>1327</v>
      </c>
      <c r="B612" s="19" t="s">
        <v>896</v>
      </c>
      <c r="C612" s="19">
        <v>202</v>
      </c>
      <c r="D612" s="19" t="s">
        <v>1298</v>
      </c>
      <c r="E612" s="20">
        <v>43545</v>
      </c>
      <c r="F612" s="19"/>
      <c r="G612" s="19"/>
      <c r="H612" s="19"/>
      <c r="I612" s="19"/>
      <c r="J612" s="19"/>
      <c r="K612" s="19"/>
      <c r="L612" s="19"/>
      <c r="M612" s="19"/>
      <c r="N612" s="19"/>
      <c r="O612" s="19"/>
      <c r="P612" s="19"/>
      <c r="Q612" s="19"/>
      <c r="R612" s="19"/>
      <c r="S612" s="19"/>
      <c r="T612" s="19"/>
      <c r="U612" s="19">
        <v>136</v>
      </c>
      <c r="V612" s="19"/>
      <c r="W612" s="19"/>
      <c r="X612" s="19"/>
      <c r="Y612" s="19"/>
      <c r="Z612" t="str">
        <f>IF(Tabela1[[#This Row],[1]]&lt;&gt;"",IF(ISNUMBER(FIND(",",Tabela1[[#This Row],[1]])),LEN(Tabela1[[#This Row],[1]])-LEN(SUBSTITUTE(Tabela1[[#This Row],[1]],",",""))+1,1),"")</f>
        <v/>
      </c>
      <c r="AA612" t="str">
        <f>IF(Tabela1[[#This Row],[2]]&lt;&gt;"",IF(ISNUMBER(FIND(",",Tabela1[[#This Row],[2]])),LEN(Tabela1[[#This Row],[2]])-LEN(SUBSTITUTE(Tabela1[[#This Row],[2]],",",""))+1,1),"")</f>
        <v/>
      </c>
      <c r="AB612" t="str">
        <f>IF(Tabela1[[#This Row],[3]]&lt;&gt;"",IF(ISNUMBER(FIND(",",Tabela1[[#This Row],[3]])),LEN(Tabela1[[#This Row],[3]])-LEN(SUBSTITUTE(Tabela1[[#This Row],[3]],",",""))+1,1),"")</f>
        <v/>
      </c>
      <c r="AC612" t="str">
        <f>IF(Tabela1[[#This Row],[4]]&lt;&gt;"",IF(ISNUMBER(FIND(",",Tabela1[[#This Row],[4]])),LEN(Tabela1[[#This Row],[4]])-LEN(SUBSTITUTE(Tabela1[[#This Row],[4]],",",""))+1,1),"")</f>
        <v/>
      </c>
      <c r="AD612" t="str">
        <f>IF(Tabela1[[#This Row],[5]]&lt;&gt;"",IF(ISNUMBER(FIND(",",Tabela1[[#This Row],[5]])),LEN(Tabela1[[#This Row],[5]])-LEN(SUBSTITUTE(Tabela1[[#This Row],[5]],",",""))+1,1),"")</f>
        <v/>
      </c>
      <c r="AE612" t="str">
        <f>IF(Tabela1[[#This Row],[6]]&lt;&gt;"",IF(ISNUMBER(FIND(",",Tabela1[[#This Row],[6]])),LEN(Tabela1[[#This Row],[6]])-LEN(SUBSTITUTE(Tabela1[[#This Row],[6]],",",""))+1,1),"")</f>
        <v/>
      </c>
      <c r="AF612" t="str">
        <f>IF(Tabela1[[#This Row],[7]]&lt;&gt;"",IF(ISNUMBER(FIND(",",Tabela1[[#This Row],[7]])),LEN(Tabela1[[#This Row],[7]])-LEN(SUBSTITUTE(Tabela1[[#This Row],[7]],",",""))+1,1),"")</f>
        <v/>
      </c>
      <c r="AG612" t="str">
        <f>IF(Tabela1[[#This Row],[8]]&lt;&gt;"",IF(ISNUMBER(FIND(",",Tabela1[[#This Row],[8]])),LEN(Tabela1[[#This Row],[8]])-LEN(SUBSTITUTE(Tabela1[[#This Row],[8]],",",""))+1,1),"")</f>
        <v/>
      </c>
      <c r="AH612" t="str">
        <f>IF(Tabela1[[#This Row],[9]]&lt;&gt;"",IF(ISNUMBER(FIND(",",Tabela1[[#This Row],[9]])),LEN(Tabela1[[#This Row],[9]])-LEN(SUBSTITUTE(Tabela1[[#This Row],[9]],",",""))+1,1),"")</f>
        <v/>
      </c>
      <c r="AI612" t="str">
        <f>IF(Tabela1[[#This Row],[10]]&lt;&gt;"",IF(ISNUMBER(FIND(",",Tabela1[[#This Row],[10]])),LEN(Tabela1[[#This Row],[10]])-LEN(SUBSTITUTE(Tabela1[[#This Row],[10]],",",""))+1,1),"")</f>
        <v/>
      </c>
      <c r="AJ612" t="str">
        <f>IF(Tabela1[[#This Row],[11]]&lt;&gt;"",IF(ISNUMBER(FIND(",",Tabela1[[#This Row],[11]])),LEN(Tabela1[[#This Row],[11]])-LEN(SUBSTITUTE(Tabela1[[#This Row],[11]],",",""))+1,1),"")</f>
        <v/>
      </c>
      <c r="AK612" t="str">
        <f>IF(Tabela1[[#This Row],[12]]&lt;&gt;"",IF(ISNUMBER(FIND(",",Tabela1[[#This Row],[12]])),LEN(Tabela1[[#This Row],[12]])-LEN(SUBSTITUTE(Tabela1[[#This Row],[12]],",",""))+1,1),"")</f>
        <v/>
      </c>
      <c r="AL612" t="str">
        <f>IF(Tabela1[[#This Row],[13]]&lt;&gt;"",IF(ISNUMBER(FIND(",",Tabela1[[#This Row],[13]])),LEN(Tabela1[[#This Row],[13]])-LEN(SUBSTITUTE(Tabela1[[#This Row],[13]],",",""))+1,1),"")</f>
        <v/>
      </c>
      <c r="AM612" t="str">
        <f>IF(Tabela1[[#This Row],[14]]&lt;&gt;"",IF(ISNUMBER(FIND(",",Tabela1[[#This Row],[14]])),LEN(Tabela1[[#This Row],[14]])-LEN(SUBSTITUTE(Tabela1[[#This Row],[14]],",",""))+1,1),"")</f>
        <v/>
      </c>
      <c r="AN612" t="str">
        <f>IF(Tabela1[[#This Row],[15]]&lt;&gt;"",IF(ISNUMBER(FIND(",",Tabela1[[#This Row],[15]])),LEN(Tabela1[[#This Row],[15]])-LEN(SUBSTITUTE(Tabela1[[#This Row],[15]],",",""))+1,1),"")</f>
        <v/>
      </c>
      <c r="AO612">
        <f>IF(Tabela1[[#This Row],[16]]&lt;&gt;"",IF(ISNUMBER(FIND(",",Tabela1[[#This Row],[16]])),LEN(Tabela1[[#This Row],[16]])-LEN(SUBSTITUTE(Tabela1[[#This Row],[16]],",",""))+1,1),"")</f>
        <v>1</v>
      </c>
      <c r="AP612" t="str">
        <f>IF(Tabela1[[#This Row],[17]]&lt;&gt;"",IF(ISNUMBER(FIND(",",Tabela1[[#This Row],[17]])),LEN(Tabela1[[#This Row],[17]])-LEN(SUBSTITUTE(Tabela1[[#This Row],[17]],",",""))+1,1),"")</f>
        <v/>
      </c>
      <c r="AQ612" t="str">
        <f>IF(Tabela1[[#This Row],[18]]&lt;&gt;"",IF(ISNUMBER(FIND(",",Tabela1[[#This Row],[18]])),LEN(Tabela1[[#This Row],[18]])-LEN(SUBSTITUTE(Tabela1[[#This Row],[18]],",",""))+1,1),"")</f>
        <v/>
      </c>
      <c r="AR612" s="13" t="str">
        <f>IF(Tabela1[[#This Row],[19_LENGTH]]&lt;&gt;"",IF(ISNUMBER(FIND(",",Tabela1[[#This Row],[19_LENGTH]])),LEN(Tabela1[[#This Row],[19_LENGTH]])-LEN(SUBSTITUTE(Tabela1[[#This Row],[19_LENGTH]],",",""))+1,1),"")</f>
        <v/>
      </c>
      <c r="AS612" s="21">
        <f>SUM(Tabela1[[#This Row],[1_]:[19_]])</f>
        <v>1</v>
      </c>
    </row>
    <row r="613" spans="1:45" x14ac:dyDescent="0.25">
      <c r="A613" s="27" t="s">
        <v>1327</v>
      </c>
      <c r="B613" s="19" t="s">
        <v>897</v>
      </c>
      <c r="C613" s="19">
        <v>202</v>
      </c>
      <c r="D613" s="19" t="s">
        <v>1298</v>
      </c>
      <c r="E613" s="20">
        <v>43545</v>
      </c>
      <c r="F613" s="19"/>
      <c r="G613" s="19"/>
      <c r="H613" s="19"/>
      <c r="I613" s="19" t="s">
        <v>230</v>
      </c>
      <c r="J613" s="19"/>
      <c r="K613" s="19"/>
      <c r="L613" s="19"/>
      <c r="M613" s="19"/>
      <c r="N613" s="19"/>
      <c r="O613" s="19"/>
      <c r="P613" s="19"/>
      <c r="Q613" s="19"/>
      <c r="R613" s="19"/>
      <c r="S613" s="19"/>
      <c r="T613" s="19"/>
      <c r="U613" s="19">
        <v>60</v>
      </c>
      <c r="V613" s="19"/>
      <c r="W613" s="19"/>
      <c r="X613" s="19"/>
      <c r="Y613" s="19"/>
      <c r="Z613" t="str">
        <f>IF(Tabela1[[#This Row],[1]]&lt;&gt;"",IF(ISNUMBER(FIND(",",Tabela1[[#This Row],[1]])),LEN(Tabela1[[#This Row],[1]])-LEN(SUBSTITUTE(Tabela1[[#This Row],[1]],",",""))+1,1),"")</f>
        <v/>
      </c>
      <c r="AA613" t="str">
        <f>IF(Tabela1[[#This Row],[2]]&lt;&gt;"",IF(ISNUMBER(FIND(",",Tabela1[[#This Row],[2]])),LEN(Tabela1[[#This Row],[2]])-LEN(SUBSTITUTE(Tabela1[[#This Row],[2]],",",""))+1,1),"")</f>
        <v/>
      </c>
      <c r="AB613" t="str">
        <f>IF(Tabela1[[#This Row],[3]]&lt;&gt;"",IF(ISNUMBER(FIND(",",Tabela1[[#This Row],[3]])),LEN(Tabela1[[#This Row],[3]])-LEN(SUBSTITUTE(Tabela1[[#This Row],[3]],",",""))+1,1),"")</f>
        <v/>
      </c>
      <c r="AC613">
        <f>IF(Tabela1[[#This Row],[4]]&lt;&gt;"",IF(ISNUMBER(FIND(",",Tabela1[[#This Row],[4]])),LEN(Tabela1[[#This Row],[4]])-LEN(SUBSTITUTE(Tabela1[[#This Row],[4]],",",""))+1,1),"")</f>
        <v>1</v>
      </c>
      <c r="AD613" t="str">
        <f>IF(Tabela1[[#This Row],[5]]&lt;&gt;"",IF(ISNUMBER(FIND(",",Tabela1[[#This Row],[5]])),LEN(Tabela1[[#This Row],[5]])-LEN(SUBSTITUTE(Tabela1[[#This Row],[5]],",",""))+1,1),"")</f>
        <v/>
      </c>
      <c r="AE613" t="str">
        <f>IF(Tabela1[[#This Row],[6]]&lt;&gt;"",IF(ISNUMBER(FIND(",",Tabela1[[#This Row],[6]])),LEN(Tabela1[[#This Row],[6]])-LEN(SUBSTITUTE(Tabela1[[#This Row],[6]],",",""))+1,1),"")</f>
        <v/>
      </c>
      <c r="AF613" t="str">
        <f>IF(Tabela1[[#This Row],[7]]&lt;&gt;"",IF(ISNUMBER(FIND(",",Tabela1[[#This Row],[7]])),LEN(Tabela1[[#This Row],[7]])-LEN(SUBSTITUTE(Tabela1[[#This Row],[7]],",",""))+1,1),"")</f>
        <v/>
      </c>
      <c r="AG613" t="str">
        <f>IF(Tabela1[[#This Row],[8]]&lt;&gt;"",IF(ISNUMBER(FIND(",",Tabela1[[#This Row],[8]])),LEN(Tabela1[[#This Row],[8]])-LEN(SUBSTITUTE(Tabela1[[#This Row],[8]],",",""))+1,1),"")</f>
        <v/>
      </c>
      <c r="AH613" t="str">
        <f>IF(Tabela1[[#This Row],[9]]&lt;&gt;"",IF(ISNUMBER(FIND(",",Tabela1[[#This Row],[9]])),LEN(Tabela1[[#This Row],[9]])-LEN(SUBSTITUTE(Tabela1[[#This Row],[9]],",",""))+1,1),"")</f>
        <v/>
      </c>
      <c r="AI613" t="str">
        <f>IF(Tabela1[[#This Row],[10]]&lt;&gt;"",IF(ISNUMBER(FIND(",",Tabela1[[#This Row],[10]])),LEN(Tabela1[[#This Row],[10]])-LEN(SUBSTITUTE(Tabela1[[#This Row],[10]],",",""))+1,1),"")</f>
        <v/>
      </c>
      <c r="AJ613" t="str">
        <f>IF(Tabela1[[#This Row],[11]]&lt;&gt;"",IF(ISNUMBER(FIND(",",Tabela1[[#This Row],[11]])),LEN(Tabela1[[#This Row],[11]])-LEN(SUBSTITUTE(Tabela1[[#This Row],[11]],",",""))+1,1),"")</f>
        <v/>
      </c>
      <c r="AK613" t="str">
        <f>IF(Tabela1[[#This Row],[12]]&lt;&gt;"",IF(ISNUMBER(FIND(",",Tabela1[[#This Row],[12]])),LEN(Tabela1[[#This Row],[12]])-LEN(SUBSTITUTE(Tabela1[[#This Row],[12]],",",""))+1,1),"")</f>
        <v/>
      </c>
      <c r="AL613" t="str">
        <f>IF(Tabela1[[#This Row],[13]]&lt;&gt;"",IF(ISNUMBER(FIND(",",Tabela1[[#This Row],[13]])),LEN(Tabela1[[#This Row],[13]])-LEN(SUBSTITUTE(Tabela1[[#This Row],[13]],",",""))+1,1),"")</f>
        <v/>
      </c>
      <c r="AM613" t="str">
        <f>IF(Tabela1[[#This Row],[14]]&lt;&gt;"",IF(ISNUMBER(FIND(",",Tabela1[[#This Row],[14]])),LEN(Tabela1[[#This Row],[14]])-LEN(SUBSTITUTE(Tabela1[[#This Row],[14]],",",""))+1,1),"")</f>
        <v/>
      </c>
      <c r="AN613" t="str">
        <f>IF(Tabela1[[#This Row],[15]]&lt;&gt;"",IF(ISNUMBER(FIND(",",Tabela1[[#This Row],[15]])),LEN(Tabela1[[#This Row],[15]])-LEN(SUBSTITUTE(Tabela1[[#This Row],[15]],",",""))+1,1),"")</f>
        <v/>
      </c>
      <c r="AO613">
        <f>IF(Tabela1[[#This Row],[16]]&lt;&gt;"",IF(ISNUMBER(FIND(",",Tabela1[[#This Row],[16]])),LEN(Tabela1[[#This Row],[16]])-LEN(SUBSTITUTE(Tabela1[[#This Row],[16]],",",""))+1,1),"")</f>
        <v>1</v>
      </c>
      <c r="AP613" t="str">
        <f>IF(Tabela1[[#This Row],[17]]&lt;&gt;"",IF(ISNUMBER(FIND(",",Tabela1[[#This Row],[17]])),LEN(Tabela1[[#This Row],[17]])-LEN(SUBSTITUTE(Tabela1[[#This Row],[17]],",",""))+1,1),"")</f>
        <v/>
      </c>
      <c r="AQ613" t="str">
        <f>IF(Tabela1[[#This Row],[18]]&lt;&gt;"",IF(ISNUMBER(FIND(",",Tabela1[[#This Row],[18]])),LEN(Tabela1[[#This Row],[18]])-LEN(SUBSTITUTE(Tabela1[[#This Row],[18]],",",""))+1,1),"")</f>
        <v/>
      </c>
      <c r="AR613" s="13" t="str">
        <f>IF(Tabela1[[#This Row],[19_LENGTH]]&lt;&gt;"",IF(ISNUMBER(FIND(",",Tabela1[[#This Row],[19_LENGTH]])),LEN(Tabela1[[#This Row],[19_LENGTH]])-LEN(SUBSTITUTE(Tabela1[[#This Row],[19_LENGTH]],",",""))+1,1),"")</f>
        <v/>
      </c>
      <c r="AS613" s="21">
        <f>SUM(Tabela1[[#This Row],[1_]:[19_]])</f>
        <v>2</v>
      </c>
    </row>
    <row r="614" spans="1:45" x14ac:dyDescent="0.25">
      <c r="A614" s="27" t="s">
        <v>1330</v>
      </c>
      <c r="B614" s="19" t="s">
        <v>637</v>
      </c>
      <c r="C614" s="19">
        <v>106</v>
      </c>
      <c r="D614" s="19" t="s">
        <v>1311</v>
      </c>
      <c r="E614" s="20">
        <v>43549</v>
      </c>
      <c r="F614" s="19"/>
      <c r="G614" s="19">
        <v>99</v>
      </c>
      <c r="H614" s="19"/>
      <c r="I614" s="19"/>
      <c r="J614" s="19"/>
      <c r="K614" s="19"/>
      <c r="L614" s="19"/>
      <c r="M614" s="19">
        <v>14</v>
      </c>
      <c r="N614" s="19"/>
      <c r="O614" s="19"/>
      <c r="P614" s="19"/>
      <c r="Q614" s="19"/>
      <c r="R614" s="19"/>
      <c r="S614" s="19"/>
      <c r="T614" s="19"/>
      <c r="U614" s="19"/>
      <c r="V614" s="19"/>
      <c r="W614" s="19"/>
      <c r="X614" s="19"/>
      <c r="Y614" s="19"/>
      <c r="Z614" t="str">
        <f>IF(Tabela1[[#This Row],[1]]&lt;&gt;"",IF(ISNUMBER(FIND(",",Tabela1[[#This Row],[1]])),LEN(Tabela1[[#This Row],[1]])-LEN(SUBSTITUTE(Tabela1[[#This Row],[1]],",",""))+1,1),"")</f>
        <v/>
      </c>
      <c r="AA614">
        <f>IF(Tabela1[[#This Row],[2]]&lt;&gt;"",IF(ISNUMBER(FIND(",",Tabela1[[#This Row],[2]])),LEN(Tabela1[[#This Row],[2]])-LEN(SUBSTITUTE(Tabela1[[#This Row],[2]],",",""))+1,1),"")</f>
        <v>1</v>
      </c>
      <c r="AB614" t="str">
        <f>IF(Tabela1[[#This Row],[3]]&lt;&gt;"",IF(ISNUMBER(FIND(",",Tabela1[[#This Row],[3]])),LEN(Tabela1[[#This Row],[3]])-LEN(SUBSTITUTE(Tabela1[[#This Row],[3]],",",""))+1,1),"")</f>
        <v/>
      </c>
      <c r="AC614" t="str">
        <f>IF(Tabela1[[#This Row],[4]]&lt;&gt;"",IF(ISNUMBER(FIND(",",Tabela1[[#This Row],[4]])),LEN(Tabela1[[#This Row],[4]])-LEN(SUBSTITUTE(Tabela1[[#This Row],[4]],",",""))+1,1),"")</f>
        <v/>
      </c>
      <c r="AD614" t="str">
        <f>IF(Tabela1[[#This Row],[5]]&lt;&gt;"",IF(ISNUMBER(FIND(",",Tabela1[[#This Row],[5]])),LEN(Tabela1[[#This Row],[5]])-LEN(SUBSTITUTE(Tabela1[[#This Row],[5]],",",""))+1,1),"")</f>
        <v/>
      </c>
      <c r="AE614" t="str">
        <f>IF(Tabela1[[#This Row],[6]]&lt;&gt;"",IF(ISNUMBER(FIND(",",Tabela1[[#This Row],[6]])),LEN(Tabela1[[#This Row],[6]])-LEN(SUBSTITUTE(Tabela1[[#This Row],[6]],",",""))+1,1),"")</f>
        <v/>
      </c>
      <c r="AF614" t="str">
        <f>IF(Tabela1[[#This Row],[7]]&lt;&gt;"",IF(ISNUMBER(FIND(",",Tabela1[[#This Row],[7]])),LEN(Tabela1[[#This Row],[7]])-LEN(SUBSTITUTE(Tabela1[[#This Row],[7]],",",""))+1,1),"")</f>
        <v/>
      </c>
      <c r="AG614">
        <f>IF(Tabela1[[#This Row],[8]]&lt;&gt;"",IF(ISNUMBER(FIND(",",Tabela1[[#This Row],[8]])),LEN(Tabela1[[#This Row],[8]])-LEN(SUBSTITUTE(Tabela1[[#This Row],[8]],",",""))+1,1),"")</f>
        <v>1</v>
      </c>
      <c r="AH614" t="str">
        <f>IF(Tabela1[[#This Row],[9]]&lt;&gt;"",IF(ISNUMBER(FIND(",",Tabela1[[#This Row],[9]])),LEN(Tabela1[[#This Row],[9]])-LEN(SUBSTITUTE(Tabela1[[#This Row],[9]],",",""))+1,1),"")</f>
        <v/>
      </c>
      <c r="AI614" t="str">
        <f>IF(Tabela1[[#This Row],[10]]&lt;&gt;"",IF(ISNUMBER(FIND(",",Tabela1[[#This Row],[10]])),LEN(Tabela1[[#This Row],[10]])-LEN(SUBSTITUTE(Tabela1[[#This Row],[10]],",",""))+1,1),"")</f>
        <v/>
      </c>
      <c r="AJ614" t="str">
        <f>IF(Tabela1[[#This Row],[11]]&lt;&gt;"",IF(ISNUMBER(FIND(",",Tabela1[[#This Row],[11]])),LEN(Tabela1[[#This Row],[11]])-LEN(SUBSTITUTE(Tabela1[[#This Row],[11]],",",""))+1,1),"")</f>
        <v/>
      </c>
      <c r="AK614" t="str">
        <f>IF(Tabela1[[#This Row],[12]]&lt;&gt;"",IF(ISNUMBER(FIND(",",Tabela1[[#This Row],[12]])),LEN(Tabela1[[#This Row],[12]])-LEN(SUBSTITUTE(Tabela1[[#This Row],[12]],",",""))+1,1),"")</f>
        <v/>
      </c>
      <c r="AL614" t="str">
        <f>IF(Tabela1[[#This Row],[13]]&lt;&gt;"",IF(ISNUMBER(FIND(",",Tabela1[[#This Row],[13]])),LEN(Tabela1[[#This Row],[13]])-LEN(SUBSTITUTE(Tabela1[[#This Row],[13]],",",""))+1,1),"")</f>
        <v/>
      </c>
      <c r="AM614" t="str">
        <f>IF(Tabela1[[#This Row],[14]]&lt;&gt;"",IF(ISNUMBER(FIND(",",Tabela1[[#This Row],[14]])),LEN(Tabela1[[#This Row],[14]])-LEN(SUBSTITUTE(Tabela1[[#This Row],[14]],",",""))+1,1),"")</f>
        <v/>
      </c>
      <c r="AN614" t="str">
        <f>IF(Tabela1[[#This Row],[15]]&lt;&gt;"",IF(ISNUMBER(FIND(",",Tabela1[[#This Row],[15]])),LEN(Tabela1[[#This Row],[15]])-LEN(SUBSTITUTE(Tabela1[[#This Row],[15]],",",""))+1,1),"")</f>
        <v/>
      </c>
      <c r="AO614" t="str">
        <f>IF(Tabela1[[#This Row],[16]]&lt;&gt;"",IF(ISNUMBER(FIND(",",Tabela1[[#This Row],[16]])),LEN(Tabela1[[#This Row],[16]])-LEN(SUBSTITUTE(Tabela1[[#This Row],[16]],",",""))+1,1),"")</f>
        <v/>
      </c>
      <c r="AP614" t="str">
        <f>IF(Tabela1[[#This Row],[17]]&lt;&gt;"",IF(ISNUMBER(FIND(",",Tabela1[[#This Row],[17]])),LEN(Tabela1[[#This Row],[17]])-LEN(SUBSTITUTE(Tabela1[[#This Row],[17]],",",""))+1,1),"")</f>
        <v/>
      </c>
      <c r="AQ614" t="str">
        <f>IF(Tabela1[[#This Row],[18]]&lt;&gt;"",IF(ISNUMBER(FIND(",",Tabela1[[#This Row],[18]])),LEN(Tabela1[[#This Row],[18]])-LEN(SUBSTITUTE(Tabela1[[#This Row],[18]],",",""))+1,1),"")</f>
        <v/>
      </c>
      <c r="AR614" s="13" t="str">
        <f>IF(Tabela1[[#This Row],[19_LENGTH]]&lt;&gt;"",IF(ISNUMBER(FIND(",",Tabela1[[#This Row],[19_LENGTH]])),LEN(Tabela1[[#This Row],[19_LENGTH]])-LEN(SUBSTITUTE(Tabela1[[#This Row],[19_LENGTH]],",",""))+1,1),"")</f>
        <v/>
      </c>
      <c r="AS614" s="21">
        <f>SUM(Tabela1[[#This Row],[1_]:[19_]])</f>
        <v>2</v>
      </c>
    </row>
    <row r="615" spans="1:45" x14ac:dyDescent="0.25">
      <c r="A615" s="27" t="s">
        <v>1330</v>
      </c>
      <c r="B615" s="19" t="s">
        <v>898</v>
      </c>
      <c r="C615" s="19">
        <v>102</v>
      </c>
      <c r="D615" s="19" t="s">
        <v>1299</v>
      </c>
      <c r="E615" s="20">
        <v>43549</v>
      </c>
      <c r="F615" s="19"/>
      <c r="G615" s="19">
        <v>39</v>
      </c>
      <c r="H615" s="19"/>
      <c r="I615" s="19"/>
      <c r="J615" s="19"/>
      <c r="K615" s="19"/>
      <c r="L615" s="19"/>
      <c r="M615" s="19"/>
      <c r="N615" s="19"/>
      <c r="O615" s="19"/>
      <c r="P615" s="19"/>
      <c r="Q615" s="19"/>
      <c r="R615" s="19"/>
      <c r="S615" s="19"/>
      <c r="T615" s="19"/>
      <c r="U615" s="19"/>
      <c r="V615" s="19"/>
      <c r="W615" s="19"/>
      <c r="X615" s="19"/>
      <c r="Y615" s="19"/>
      <c r="Z615" t="str">
        <f>IF(Tabela1[[#This Row],[1]]&lt;&gt;"",IF(ISNUMBER(FIND(",",Tabela1[[#This Row],[1]])),LEN(Tabela1[[#This Row],[1]])-LEN(SUBSTITUTE(Tabela1[[#This Row],[1]],",",""))+1,1),"")</f>
        <v/>
      </c>
      <c r="AA615">
        <f>IF(Tabela1[[#This Row],[2]]&lt;&gt;"",IF(ISNUMBER(FIND(",",Tabela1[[#This Row],[2]])),LEN(Tabela1[[#This Row],[2]])-LEN(SUBSTITUTE(Tabela1[[#This Row],[2]],",",""))+1,1),"")</f>
        <v>1</v>
      </c>
      <c r="AB615" t="str">
        <f>IF(Tabela1[[#This Row],[3]]&lt;&gt;"",IF(ISNUMBER(FIND(",",Tabela1[[#This Row],[3]])),LEN(Tabela1[[#This Row],[3]])-LEN(SUBSTITUTE(Tabela1[[#This Row],[3]],",",""))+1,1),"")</f>
        <v/>
      </c>
      <c r="AC615" t="str">
        <f>IF(Tabela1[[#This Row],[4]]&lt;&gt;"",IF(ISNUMBER(FIND(",",Tabela1[[#This Row],[4]])),LEN(Tabela1[[#This Row],[4]])-LEN(SUBSTITUTE(Tabela1[[#This Row],[4]],",",""))+1,1),"")</f>
        <v/>
      </c>
      <c r="AD615" t="str">
        <f>IF(Tabela1[[#This Row],[5]]&lt;&gt;"",IF(ISNUMBER(FIND(",",Tabela1[[#This Row],[5]])),LEN(Tabela1[[#This Row],[5]])-LEN(SUBSTITUTE(Tabela1[[#This Row],[5]],",",""))+1,1),"")</f>
        <v/>
      </c>
      <c r="AE615" t="str">
        <f>IF(Tabela1[[#This Row],[6]]&lt;&gt;"",IF(ISNUMBER(FIND(",",Tabela1[[#This Row],[6]])),LEN(Tabela1[[#This Row],[6]])-LEN(SUBSTITUTE(Tabela1[[#This Row],[6]],",",""))+1,1),"")</f>
        <v/>
      </c>
      <c r="AF615" t="str">
        <f>IF(Tabela1[[#This Row],[7]]&lt;&gt;"",IF(ISNUMBER(FIND(",",Tabela1[[#This Row],[7]])),LEN(Tabela1[[#This Row],[7]])-LEN(SUBSTITUTE(Tabela1[[#This Row],[7]],",",""))+1,1),"")</f>
        <v/>
      </c>
      <c r="AG615" t="str">
        <f>IF(Tabela1[[#This Row],[8]]&lt;&gt;"",IF(ISNUMBER(FIND(",",Tabela1[[#This Row],[8]])),LEN(Tabela1[[#This Row],[8]])-LEN(SUBSTITUTE(Tabela1[[#This Row],[8]],",",""))+1,1),"")</f>
        <v/>
      </c>
      <c r="AH615" t="str">
        <f>IF(Tabela1[[#This Row],[9]]&lt;&gt;"",IF(ISNUMBER(FIND(",",Tabela1[[#This Row],[9]])),LEN(Tabela1[[#This Row],[9]])-LEN(SUBSTITUTE(Tabela1[[#This Row],[9]],",",""))+1,1),"")</f>
        <v/>
      </c>
      <c r="AI615" t="str">
        <f>IF(Tabela1[[#This Row],[10]]&lt;&gt;"",IF(ISNUMBER(FIND(",",Tabela1[[#This Row],[10]])),LEN(Tabela1[[#This Row],[10]])-LEN(SUBSTITUTE(Tabela1[[#This Row],[10]],",",""))+1,1),"")</f>
        <v/>
      </c>
      <c r="AJ615" t="str">
        <f>IF(Tabela1[[#This Row],[11]]&lt;&gt;"",IF(ISNUMBER(FIND(",",Tabela1[[#This Row],[11]])),LEN(Tabela1[[#This Row],[11]])-LEN(SUBSTITUTE(Tabela1[[#This Row],[11]],",",""))+1,1),"")</f>
        <v/>
      </c>
      <c r="AK615" t="str">
        <f>IF(Tabela1[[#This Row],[12]]&lt;&gt;"",IF(ISNUMBER(FIND(",",Tabela1[[#This Row],[12]])),LEN(Tabela1[[#This Row],[12]])-LEN(SUBSTITUTE(Tabela1[[#This Row],[12]],",",""))+1,1),"")</f>
        <v/>
      </c>
      <c r="AL615" t="str">
        <f>IF(Tabela1[[#This Row],[13]]&lt;&gt;"",IF(ISNUMBER(FIND(",",Tabela1[[#This Row],[13]])),LEN(Tabela1[[#This Row],[13]])-LEN(SUBSTITUTE(Tabela1[[#This Row],[13]],",",""))+1,1),"")</f>
        <v/>
      </c>
      <c r="AM615" t="str">
        <f>IF(Tabela1[[#This Row],[14]]&lt;&gt;"",IF(ISNUMBER(FIND(",",Tabela1[[#This Row],[14]])),LEN(Tabela1[[#This Row],[14]])-LEN(SUBSTITUTE(Tabela1[[#This Row],[14]],",",""))+1,1),"")</f>
        <v/>
      </c>
      <c r="AN615" t="str">
        <f>IF(Tabela1[[#This Row],[15]]&lt;&gt;"",IF(ISNUMBER(FIND(",",Tabela1[[#This Row],[15]])),LEN(Tabela1[[#This Row],[15]])-LEN(SUBSTITUTE(Tabela1[[#This Row],[15]],",",""))+1,1),"")</f>
        <v/>
      </c>
      <c r="AO615" t="str">
        <f>IF(Tabela1[[#This Row],[16]]&lt;&gt;"",IF(ISNUMBER(FIND(",",Tabela1[[#This Row],[16]])),LEN(Tabela1[[#This Row],[16]])-LEN(SUBSTITUTE(Tabela1[[#This Row],[16]],",",""))+1,1),"")</f>
        <v/>
      </c>
      <c r="AP615" t="str">
        <f>IF(Tabela1[[#This Row],[17]]&lt;&gt;"",IF(ISNUMBER(FIND(",",Tabela1[[#This Row],[17]])),LEN(Tabela1[[#This Row],[17]])-LEN(SUBSTITUTE(Tabela1[[#This Row],[17]],",",""))+1,1),"")</f>
        <v/>
      </c>
      <c r="AQ615" t="str">
        <f>IF(Tabela1[[#This Row],[18]]&lt;&gt;"",IF(ISNUMBER(FIND(",",Tabela1[[#This Row],[18]])),LEN(Tabela1[[#This Row],[18]])-LEN(SUBSTITUTE(Tabela1[[#This Row],[18]],",",""))+1,1),"")</f>
        <v/>
      </c>
      <c r="AR615" s="13" t="str">
        <f>IF(Tabela1[[#This Row],[19_LENGTH]]&lt;&gt;"",IF(ISNUMBER(FIND(",",Tabela1[[#This Row],[19_LENGTH]])),LEN(Tabela1[[#This Row],[19_LENGTH]])-LEN(SUBSTITUTE(Tabela1[[#This Row],[19_LENGTH]],",",""))+1,1),"")</f>
        <v/>
      </c>
      <c r="AS615" s="21">
        <f>SUM(Tabela1[[#This Row],[1_]:[19_]])</f>
        <v>1</v>
      </c>
    </row>
    <row r="616" spans="1:45" x14ac:dyDescent="0.25">
      <c r="A616" s="27" t="s">
        <v>1328</v>
      </c>
      <c r="B616" s="19" t="s">
        <v>899</v>
      </c>
      <c r="C616" s="19">
        <v>102</v>
      </c>
      <c r="D616" s="19" t="s">
        <v>1302</v>
      </c>
      <c r="E616" s="20">
        <v>43547</v>
      </c>
      <c r="F616" s="19"/>
      <c r="G616" s="19"/>
      <c r="H616" s="19"/>
      <c r="I616" s="19"/>
      <c r="J616" s="19"/>
      <c r="K616" s="19"/>
      <c r="L616" s="19"/>
      <c r="M616" s="19"/>
      <c r="N616" s="19"/>
      <c r="O616" s="19"/>
      <c r="P616" s="19"/>
      <c r="Q616" s="19"/>
      <c r="R616" s="19" t="s">
        <v>231</v>
      </c>
      <c r="S616" s="19"/>
      <c r="T616" s="19"/>
      <c r="U616" s="19"/>
      <c r="V616" s="19"/>
      <c r="W616" s="19"/>
      <c r="X616" s="19"/>
      <c r="Y616" s="19"/>
      <c r="Z616" t="str">
        <f>IF(Tabela1[[#This Row],[1]]&lt;&gt;"",IF(ISNUMBER(FIND(",",Tabela1[[#This Row],[1]])),LEN(Tabela1[[#This Row],[1]])-LEN(SUBSTITUTE(Tabela1[[#This Row],[1]],",",""))+1,1),"")</f>
        <v/>
      </c>
      <c r="AA616" t="str">
        <f>IF(Tabela1[[#This Row],[2]]&lt;&gt;"",IF(ISNUMBER(FIND(",",Tabela1[[#This Row],[2]])),LEN(Tabela1[[#This Row],[2]])-LEN(SUBSTITUTE(Tabela1[[#This Row],[2]],",",""))+1,1),"")</f>
        <v/>
      </c>
      <c r="AB616" t="str">
        <f>IF(Tabela1[[#This Row],[3]]&lt;&gt;"",IF(ISNUMBER(FIND(",",Tabela1[[#This Row],[3]])),LEN(Tabela1[[#This Row],[3]])-LEN(SUBSTITUTE(Tabela1[[#This Row],[3]],",",""))+1,1),"")</f>
        <v/>
      </c>
      <c r="AC616" t="str">
        <f>IF(Tabela1[[#This Row],[4]]&lt;&gt;"",IF(ISNUMBER(FIND(",",Tabela1[[#This Row],[4]])),LEN(Tabela1[[#This Row],[4]])-LEN(SUBSTITUTE(Tabela1[[#This Row],[4]],",",""))+1,1),"")</f>
        <v/>
      </c>
      <c r="AD616" t="str">
        <f>IF(Tabela1[[#This Row],[5]]&lt;&gt;"",IF(ISNUMBER(FIND(",",Tabela1[[#This Row],[5]])),LEN(Tabela1[[#This Row],[5]])-LEN(SUBSTITUTE(Tabela1[[#This Row],[5]],",",""))+1,1),"")</f>
        <v/>
      </c>
      <c r="AE616" t="str">
        <f>IF(Tabela1[[#This Row],[6]]&lt;&gt;"",IF(ISNUMBER(FIND(",",Tabela1[[#This Row],[6]])),LEN(Tabela1[[#This Row],[6]])-LEN(SUBSTITUTE(Tabela1[[#This Row],[6]],",",""))+1,1),"")</f>
        <v/>
      </c>
      <c r="AF616" t="str">
        <f>IF(Tabela1[[#This Row],[7]]&lt;&gt;"",IF(ISNUMBER(FIND(",",Tabela1[[#This Row],[7]])),LEN(Tabela1[[#This Row],[7]])-LEN(SUBSTITUTE(Tabela1[[#This Row],[7]],",",""))+1,1),"")</f>
        <v/>
      </c>
      <c r="AG616" t="str">
        <f>IF(Tabela1[[#This Row],[8]]&lt;&gt;"",IF(ISNUMBER(FIND(",",Tabela1[[#This Row],[8]])),LEN(Tabela1[[#This Row],[8]])-LEN(SUBSTITUTE(Tabela1[[#This Row],[8]],",",""))+1,1),"")</f>
        <v/>
      </c>
      <c r="AH616" t="str">
        <f>IF(Tabela1[[#This Row],[9]]&lt;&gt;"",IF(ISNUMBER(FIND(",",Tabela1[[#This Row],[9]])),LEN(Tabela1[[#This Row],[9]])-LEN(SUBSTITUTE(Tabela1[[#This Row],[9]],",",""))+1,1),"")</f>
        <v/>
      </c>
      <c r="AI616" t="str">
        <f>IF(Tabela1[[#This Row],[10]]&lt;&gt;"",IF(ISNUMBER(FIND(",",Tabela1[[#This Row],[10]])),LEN(Tabela1[[#This Row],[10]])-LEN(SUBSTITUTE(Tabela1[[#This Row],[10]],",",""))+1,1),"")</f>
        <v/>
      </c>
      <c r="AJ616" t="str">
        <f>IF(Tabela1[[#This Row],[11]]&lt;&gt;"",IF(ISNUMBER(FIND(",",Tabela1[[#This Row],[11]])),LEN(Tabela1[[#This Row],[11]])-LEN(SUBSTITUTE(Tabela1[[#This Row],[11]],",",""))+1,1),"")</f>
        <v/>
      </c>
      <c r="AK616" t="str">
        <f>IF(Tabela1[[#This Row],[12]]&lt;&gt;"",IF(ISNUMBER(FIND(",",Tabela1[[#This Row],[12]])),LEN(Tabela1[[#This Row],[12]])-LEN(SUBSTITUTE(Tabela1[[#This Row],[12]],",",""))+1,1),"")</f>
        <v/>
      </c>
      <c r="AL616">
        <f>IF(Tabela1[[#This Row],[13]]&lt;&gt;"",IF(ISNUMBER(FIND(",",Tabela1[[#This Row],[13]])),LEN(Tabela1[[#This Row],[13]])-LEN(SUBSTITUTE(Tabela1[[#This Row],[13]],",",""))+1,1),"")</f>
        <v>2</v>
      </c>
      <c r="AM616" t="str">
        <f>IF(Tabela1[[#This Row],[14]]&lt;&gt;"",IF(ISNUMBER(FIND(",",Tabela1[[#This Row],[14]])),LEN(Tabela1[[#This Row],[14]])-LEN(SUBSTITUTE(Tabela1[[#This Row],[14]],",",""))+1,1),"")</f>
        <v/>
      </c>
      <c r="AN616" t="str">
        <f>IF(Tabela1[[#This Row],[15]]&lt;&gt;"",IF(ISNUMBER(FIND(",",Tabela1[[#This Row],[15]])),LEN(Tabela1[[#This Row],[15]])-LEN(SUBSTITUTE(Tabela1[[#This Row],[15]],",",""))+1,1),"")</f>
        <v/>
      </c>
      <c r="AO616" t="str">
        <f>IF(Tabela1[[#This Row],[16]]&lt;&gt;"",IF(ISNUMBER(FIND(",",Tabela1[[#This Row],[16]])),LEN(Tabela1[[#This Row],[16]])-LEN(SUBSTITUTE(Tabela1[[#This Row],[16]],",",""))+1,1),"")</f>
        <v/>
      </c>
      <c r="AP616" t="str">
        <f>IF(Tabela1[[#This Row],[17]]&lt;&gt;"",IF(ISNUMBER(FIND(",",Tabela1[[#This Row],[17]])),LEN(Tabela1[[#This Row],[17]])-LEN(SUBSTITUTE(Tabela1[[#This Row],[17]],",",""))+1,1),"")</f>
        <v/>
      </c>
      <c r="AQ616" t="str">
        <f>IF(Tabela1[[#This Row],[18]]&lt;&gt;"",IF(ISNUMBER(FIND(",",Tabela1[[#This Row],[18]])),LEN(Tabela1[[#This Row],[18]])-LEN(SUBSTITUTE(Tabela1[[#This Row],[18]],",",""))+1,1),"")</f>
        <v/>
      </c>
      <c r="AR616" s="13" t="str">
        <f>IF(Tabela1[[#This Row],[19_LENGTH]]&lt;&gt;"",IF(ISNUMBER(FIND(",",Tabela1[[#This Row],[19_LENGTH]])),LEN(Tabela1[[#This Row],[19_LENGTH]])-LEN(SUBSTITUTE(Tabela1[[#This Row],[19_LENGTH]],",",""))+1,1),"")</f>
        <v/>
      </c>
      <c r="AS616" s="21">
        <f>SUM(Tabela1[[#This Row],[1_]:[19_]])</f>
        <v>2</v>
      </c>
    </row>
    <row r="617" spans="1:45" x14ac:dyDescent="0.25">
      <c r="A617" s="27" t="s">
        <v>1325</v>
      </c>
      <c r="B617" s="19" t="s">
        <v>594</v>
      </c>
      <c r="C617" s="19">
        <v>200</v>
      </c>
      <c r="D617" s="19" t="s">
        <v>1298</v>
      </c>
      <c r="E617" s="20">
        <v>43547</v>
      </c>
      <c r="F617" s="19"/>
      <c r="G617" s="19"/>
      <c r="H617" s="19"/>
      <c r="I617" s="19"/>
      <c r="J617" s="19"/>
      <c r="K617" s="19"/>
      <c r="L617" s="19"/>
      <c r="M617" s="19"/>
      <c r="N617" s="19"/>
      <c r="O617" s="19"/>
      <c r="P617" s="19"/>
      <c r="Q617" s="19"/>
      <c r="R617" s="19"/>
      <c r="S617" s="19"/>
      <c r="T617" s="19"/>
      <c r="U617" s="19" t="s">
        <v>232</v>
      </c>
      <c r="V617" s="19"/>
      <c r="W617" s="19"/>
      <c r="X617" s="19"/>
      <c r="Y617" s="19"/>
      <c r="Z617" t="str">
        <f>IF(Tabela1[[#This Row],[1]]&lt;&gt;"",IF(ISNUMBER(FIND(",",Tabela1[[#This Row],[1]])),LEN(Tabela1[[#This Row],[1]])-LEN(SUBSTITUTE(Tabela1[[#This Row],[1]],",",""))+1,1),"")</f>
        <v/>
      </c>
      <c r="AA617" t="str">
        <f>IF(Tabela1[[#This Row],[2]]&lt;&gt;"",IF(ISNUMBER(FIND(",",Tabela1[[#This Row],[2]])),LEN(Tabela1[[#This Row],[2]])-LEN(SUBSTITUTE(Tabela1[[#This Row],[2]],",",""))+1,1),"")</f>
        <v/>
      </c>
      <c r="AB617" t="str">
        <f>IF(Tabela1[[#This Row],[3]]&lt;&gt;"",IF(ISNUMBER(FIND(",",Tabela1[[#This Row],[3]])),LEN(Tabela1[[#This Row],[3]])-LEN(SUBSTITUTE(Tabela1[[#This Row],[3]],",",""))+1,1),"")</f>
        <v/>
      </c>
      <c r="AC617" t="str">
        <f>IF(Tabela1[[#This Row],[4]]&lt;&gt;"",IF(ISNUMBER(FIND(",",Tabela1[[#This Row],[4]])),LEN(Tabela1[[#This Row],[4]])-LEN(SUBSTITUTE(Tabela1[[#This Row],[4]],",",""))+1,1),"")</f>
        <v/>
      </c>
      <c r="AD617" t="str">
        <f>IF(Tabela1[[#This Row],[5]]&lt;&gt;"",IF(ISNUMBER(FIND(",",Tabela1[[#This Row],[5]])),LEN(Tabela1[[#This Row],[5]])-LEN(SUBSTITUTE(Tabela1[[#This Row],[5]],",",""))+1,1),"")</f>
        <v/>
      </c>
      <c r="AE617" t="str">
        <f>IF(Tabela1[[#This Row],[6]]&lt;&gt;"",IF(ISNUMBER(FIND(",",Tabela1[[#This Row],[6]])),LEN(Tabela1[[#This Row],[6]])-LEN(SUBSTITUTE(Tabela1[[#This Row],[6]],",",""))+1,1),"")</f>
        <v/>
      </c>
      <c r="AF617" t="str">
        <f>IF(Tabela1[[#This Row],[7]]&lt;&gt;"",IF(ISNUMBER(FIND(",",Tabela1[[#This Row],[7]])),LEN(Tabela1[[#This Row],[7]])-LEN(SUBSTITUTE(Tabela1[[#This Row],[7]],",",""))+1,1),"")</f>
        <v/>
      </c>
      <c r="AG617" t="str">
        <f>IF(Tabela1[[#This Row],[8]]&lt;&gt;"",IF(ISNUMBER(FIND(",",Tabela1[[#This Row],[8]])),LEN(Tabela1[[#This Row],[8]])-LEN(SUBSTITUTE(Tabela1[[#This Row],[8]],",",""))+1,1),"")</f>
        <v/>
      </c>
      <c r="AH617" t="str">
        <f>IF(Tabela1[[#This Row],[9]]&lt;&gt;"",IF(ISNUMBER(FIND(",",Tabela1[[#This Row],[9]])),LEN(Tabela1[[#This Row],[9]])-LEN(SUBSTITUTE(Tabela1[[#This Row],[9]],",",""))+1,1),"")</f>
        <v/>
      </c>
      <c r="AI617" t="str">
        <f>IF(Tabela1[[#This Row],[10]]&lt;&gt;"",IF(ISNUMBER(FIND(",",Tabela1[[#This Row],[10]])),LEN(Tabela1[[#This Row],[10]])-LEN(SUBSTITUTE(Tabela1[[#This Row],[10]],",",""))+1,1),"")</f>
        <v/>
      </c>
      <c r="AJ617" t="str">
        <f>IF(Tabela1[[#This Row],[11]]&lt;&gt;"",IF(ISNUMBER(FIND(",",Tabela1[[#This Row],[11]])),LEN(Tabela1[[#This Row],[11]])-LEN(SUBSTITUTE(Tabela1[[#This Row],[11]],",",""))+1,1),"")</f>
        <v/>
      </c>
      <c r="AK617" t="str">
        <f>IF(Tabela1[[#This Row],[12]]&lt;&gt;"",IF(ISNUMBER(FIND(",",Tabela1[[#This Row],[12]])),LEN(Tabela1[[#This Row],[12]])-LEN(SUBSTITUTE(Tabela1[[#This Row],[12]],",",""))+1,1),"")</f>
        <v/>
      </c>
      <c r="AL617" t="str">
        <f>IF(Tabela1[[#This Row],[13]]&lt;&gt;"",IF(ISNUMBER(FIND(",",Tabela1[[#This Row],[13]])),LEN(Tabela1[[#This Row],[13]])-LEN(SUBSTITUTE(Tabela1[[#This Row],[13]],",",""))+1,1),"")</f>
        <v/>
      </c>
      <c r="AM617" t="str">
        <f>IF(Tabela1[[#This Row],[14]]&lt;&gt;"",IF(ISNUMBER(FIND(",",Tabela1[[#This Row],[14]])),LEN(Tabela1[[#This Row],[14]])-LEN(SUBSTITUTE(Tabela1[[#This Row],[14]],",",""))+1,1),"")</f>
        <v/>
      </c>
      <c r="AN617" t="str">
        <f>IF(Tabela1[[#This Row],[15]]&lt;&gt;"",IF(ISNUMBER(FIND(",",Tabela1[[#This Row],[15]])),LEN(Tabela1[[#This Row],[15]])-LEN(SUBSTITUTE(Tabela1[[#This Row],[15]],",",""))+1,1),"")</f>
        <v/>
      </c>
      <c r="AO617">
        <f>IF(Tabela1[[#This Row],[16]]&lt;&gt;"",IF(ISNUMBER(FIND(",",Tabela1[[#This Row],[16]])),LEN(Tabela1[[#This Row],[16]])-LEN(SUBSTITUTE(Tabela1[[#This Row],[16]],",",""))+1,1),"")</f>
        <v>2</v>
      </c>
      <c r="AP617" t="str">
        <f>IF(Tabela1[[#This Row],[17]]&lt;&gt;"",IF(ISNUMBER(FIND(",",Tabela1[[#This Row],[17]])),LEN(Tabela1[[#This Row],[17]])-LEN(SUBSTITUTE(Tabela1[[#This Row],[17]],",",""))+1,1),"")</f>
        <v/>
      </c>
      <c r="AQ617" t="str">
        <f>IF(Tabela1[[#This Row],[18]]&lt;&gt;"",IF(ISNUMBER(FIND(",",Tabela1[[#This Row],[18]])),LEN(Tabela1[[#This Row],[18]])-LEN(SUBSTITUTE(Tabela1[[#This Row],[18]],",",""))+1,1),"")</f>
        <v/>
      </c>
      <c r="AR617" s="13" t="str">
        <f>IF(Tabela1[[#This Row],[19_LENGTH]]&lt;&gt;"",IF(ISNUMBER(FIND(",",Tabela1[[#This Row],[19_LENGTH]])),LEN(Tabela1[[#This Row],[19_LENGTH]])-LEN(SUBSTITUTE(Tabela1[[#This Row],[19_LENGTH]],",",""))+1,1),"")</f>
        <v/>
      </c>
      <c r="AS617" s="21">
        <f>SUM(Tabela1[[#This Row],[1_]:[19_]])</f>
        <v>2</v>
      </c>
    </row>
    <row r="618" spans="1:45" x14ac:dyDescent="0.25">
      <c r="A618" s="27" t="s">
        <v>1327</v>
      </c>
      <c r="B618" s="19" t="s">
        <v>638</v>
      </c>
      <c r="C618" s="19">
        <v>202</v>
      </c>
      <c r="D618" s="19" t="s">
        <v>1298</v>
      </c>
      <c r="E618" s="20">
        <v>43547</v>
      </c>
      <c r="F618" s="19"/>
      <c r="G618" s="19"/>
      <c r="H618" s="19"/>
      <c r="I618" s="19"/>
      <c r="J618" s="19"/>
      <c r="K618" s="19"/>
      <c r="L618" s="19"/>
      <c r="M618" s="19"/>
      <c r="N618" s="19"/>
      <c r="O618" s="19"/>
      <c r="P618" s="19"/>
      <c r="Q618" s="19"/>
      <c r="R618" s="19"/>
      <c r="S618" s="19"/>
      <c r="T618" s="19"/>
      <c r="U618" s="19"/>
      <c r="V618" s="19"/>
      <c r="W618" s="19">
        <v>64</v>
      </c>
      <c r="X618" s="19"/>
      <c r="Y618" s="19"/>
      <c r="Z618" t="str">
        <f>IF(Tabela1[[#This Row],[1]]&lt;&gt;"",IF(ISNUMBER(FIND(",",Tabela1[[#This Row],[1]])),LEN(Tabela1[[#This Row],[1]])-LEN(SUBSTITUTE(Tabela1[[#This Row],[1]],",",""))+1,1),"")</f>
        <v/>
      </c>
      <c r="AA618" t="str">
        <f>IF(Tabela1[[#This Row],[2]]&lt;&gt;"",IF(ISNUMBER(FIND(",",Tabela1[[#This Row],[2]])),LEN(Tabela1[[#This Row],[2]])-LEN(SUBSTITUTE(Tabela1[[#This Row],[2]],",",""))+1,1),"")</f>
        <v/>
      </c>
      <c r="AB618" t="str">
        <f>IF(Tabela1[[#This Row],[3]]&lt;&gt;"",IF(ISNUMBER(FIND(",",Tabela1[[#This Row],[3]])),LEN(Tabela1[[#This Row],[3]])-LEN(SUBSTITUTE(Tabela1[[#This Row],[3]],",",""))+1,1),"")</f>
        <v/>
      </c>
      <c r="AC618" t="str">
        <f>IF(Tabela1[[#This Row],[4]]&lt;&gt;"",IF(ISNUMBER(FIND(",",Tabela1[[#This Row],[4]])),LEN(Tabela1[[#This Row],[4]])-LEN(SUBSTITUTE(Tabela1[[#This Row],[4]],",",""))+1,1),"")</f>
        <v/>
      </c>
      <c r="AD618" t="str">
        <f>IF(Tabela1[[#This Row],[5]]&lt;&gt;"",IF(ISNUMBER(FIND(",",Tabela1[[#This Row],[5]])),LEN(Tabela1[[#This Row],[5]])-LEN(SUBSTITUTE(Tabela1[[#This Row],[5]],",",""))+1,1),"")</f>
        <v/>
      </c>
      <c r="AE618" t="str">
        <f>IF(Tabela1[[#This Row],[6]]&lt;&gt;"",IF(ISNUMBER(FIND(",",Tabela1[[#This Row],[6]])),LEN(Tabela1[[#This Row],[6]])-LEN(SUBSTITUTE(Tabela1[[#This Row],[6]],",",""))+1,1),"")</f>
        <v/>
      </c>
      <c r="AF618" t="str">
        <f>IF(Tabela1[[#This Row],[7]]&lt;&gt;"",IF(ISNUMBER(FIND(",",Tabela1[[#This Row],[7]])),LEN(Tabela1[[#This Row],[7]])-LEN(SUBSTITUTE(Tabela1[[#This Row],[7]],",",""))+1,1),"")</f>
        <v/>
      </c>
      <c r="AG618" t="str">
        <f>IF(Tabela1[[#This Row],[8]]&lt;&gt;"",IF(ISNUMBER(FIND(",",Tabela1[[#This Row],[8]])),LEN(Tabela1[[#This Row],[8]])-LEN(SUBSTITUTE(Tabela1[[#This Row],[8]],",",""))+1,1),"")</f>
        <v/>
      </c>
      <c r="AH618" t="str">
        <f>IF(Tabela1[[#This Row],[9]]&lt;&gt;"",IF(ISNUMBER(FIND(",",Tabela1[[#This Row],[9]])),LEN(Tabela1[[#This Row],[9]])-LEN(SUBSTITUTE(Tabela1[[#This Row],[9]],",",""))+1,1),"")</f>
        <v/>
      </c>
      <c r="AI618" t="str">
        <f>IF(Tabela1[[#This Row],[10]]&lt;&gt;"",IF(ISNUMBER(FIND(",",Tabela1[[#This Row],[10]])),LEN(Tabela1[[#This Row],[10]])-LEN(SUBSTITUTE(Tabela1[[#This Row],[10]],",",""))+1,1),"")</f>
        <v/>
      </c>
      <c r="AJ618" t="str">
        <f>IF(Tabela1[[#This Row],[11]]&lt;&gt;"",IF(ISNUMBER(FIND(",",Tabela1[[#This Row],[11]])),LEN(Tabela1[[#This Row],[11]])-LEN(SUBSTITUTE(Tabela1[[#This Row],[11]],",",""))+1,1),"")</f>
        <v/>
      </c>
      <c r="AK618" t="str">
        <f>IF(Tabela1[[#This Row],[12]]&lt;&gt;"",IF(ISNUMBER(FIND(",",Tabela1[[#This Row],[12]])),LEN(Tabela1[[#This Row],[12]])-LEN(SUBSTITUTE(Tabela1[[#This Row],[12]],",",""))+1,1),"")</f>
        <v/>
      </c>
      <c r="AL618" t="str">
        <f>IF(Tabela1[[#This Row],[13]]&lt;&gt;"",IF(ISNUMBER(FIND(",",Tabela1[[#This Row],[13]])),LEN(Tabela1[[#This Row],[13]])-LEN(SUBSTITUTE(Tabela1[[#This Row],[13]],",",""))+1,1),"")</f>
        <v/>
      </c>
      <c r="AM618" t="str">
        <f>IF(Tabela1[[#This Row],[14]]&lt;&gt;"",IF(ISNUMBER(FIND(",",Tabela1[[#This Row],[14]])),LEN(Tabela1[[#This Row],[14]])-LEN(SUBSTITUTE(Tabela1[[#This Row],[14]],",",""))+1,1),"")</f>
        <v/>
      </c>
      <c r="AN618" t="str">
        <f>IF(Tabela1[[#This Row],[15]]&lt;&gt;"",IF(ISNUMBER(FIND(",",Tabela1[[#This Row],[15]])),LEN(Tabela1[[#This Row],[15]])-LEN(SUBSTITUTE(Tabela1[[#This Row],[15]],",",""))+1,1),"")</f>
        <v/>
      </c>
      <c r="AO618" t="str">
        <f>IF(Tabela1[[#This Row],[16]]&lt;&gt;"",IF(ISNUMBER(FIND(",",Tabela1[[#This Row],[16]])),LEN(Tabela1[[#This Row],[16]])-LEN(SUBSTITUTE(Tabela1[[#This Row],[16]],",",""))+1,1),"")</f>
        <v/>
      </c>
      <c r="AP618" t="str">
        <f>IF(Tabela1[[#This Row],[17]]&lt;&gt;"",IF(ISNUMBER(FIND(",",Tabela1[[#This Row],[17]])),LEN(Tabela1[[#This Row],[17]])-LEN(SUBSTITUTE(Tabela1[[#This Row],[17]],",",""))+1,1),"")</f>
        <v/>
      </c>
      <c r="AQ618">
        <f>IF(Tabela1[[#This Row],[18]]&lt;&gt;"",IF(ISNUMBER(FIND(",",Tabela1[[#This Row],[18]])),LEN(Tabela1[[#This Row],[18]])-LEN(SUBSTITUTE(Tabela1[[#This Row],[18]],",",""))+1,1),"")</f>
        <v>1</v>
      </c>
      <c r="AR618" s="13" t="str">
        <f>IF(Tabela1[[#This Row],[19_LENGTH]]&lt;&gt;"",IF(ISNUMBER(FIND(",",Tabela1[[#This Row],[19_LENGTH]])),LEN(Tabela1[[#This Row],[19_LENGTH]])-LEN(SUBSTITUTE(Tabela1[[#This Row],[19_LENGTH]],",",""))+1,1),"")</f>
        <v/>
      </c>
      <c r="AS618" s="21">
        <f>SUM(Tabela1[[#This Row],[1_]:[19_]])</f>
        <v>1</v>
      </c>
    </row>
    <row r="619" spans="1:45" x14ac:dyDescent="0.25">
      <c r="A619" s="27" t="s">
        <v>1327</v>
      </c>
      <c r="B619" s="19" t="s">
        <v>639</v>
      </c>
      <c r="C619" s="19">
        <v>202</v>
      </c>
      <c r="D619" s="19" t="s">
        <v>1298</v>
      </c>
      <c r="E619" s="20">
        <v>43547</v>
      </c>
      <c r="F619" s="19"/>
      <c r="G619" s="19"/>
      <c r="H619" s="19"/>
      <c r="I619" s="19"/>
      <c r="J619" s="19"/>
      <c r="K619" s="19"/>
      <c r="L619" s="19"/>
      <c r="M619" s="19">
        <v>26</v>
      </c>
      <c r="N619" s="19"/>
      <c r="O619" s="19"/>
      <c r="P619" s="19"/>
      <c r="Q619" s="19"/>
      <c r="R619" s="19"/>
      <c r="S619" s="19"/>
      <c r="T619" s="19"/>
      <c r="U619" s="19"/>
      <c r="V619" s="19"/>
      <c r="W619" s="19"/>
      <c r="X619" s="19"/>
      <c r="Y619" s="19"/>
      <c r="Z619" t="str">
        <f>IF(Tabela1[[#This Row],[1]]&lt;&gt;"",IF(ISNUMBER(FIND(",",Tabela1[[#This Row],[1]])),LEN(Tabela1[[#This Row],[1]])-LEN(SUBSTITUTE(Tabela1[[#This Row],[1]],",",""))+1,1),"")</f>
        <v/>
      </c>
      <c r="AA619" t="str">
        <f>IF(Tabela1[[#This Row],[2]]&lt;&gt;"",IF(ISNUMBER(FIND(",",Tabela1[[#This Row],[2]])),LEN(Tabela1[[#This Row],[2]])-LEN(SUBSTITUTE(Tabela1[[#This Row],[2]],",",""))+1,1),"")</f>
        <v/>
      </c>
      <c r="AB619" t="str">
        <f>IF(Tabela1[[#This Row],[3]]&lt;&gt;"",IF(ISNUMBER(FIND(",",Tabela1[[#This Row],[3]])),LEN(Tabela1[[#This Row],[3]])-LEN(SUBSTITUTE(Tabela1[[#This Row],[3]],",",""))+1,1),"")</f>
        <v/>
      </c>
      <c r="AC619" t="str">
        <f>IF(Tabela1[[#This Row],[4]]&lt;&gt;"",IF(ISNUMBER(FIND(",",Tabela1[[#This Row],[4]])),LEN(Tabela1[[#This Row],[4]])-LEN(SUBSTITUTE(Tabela1[[#This Row],[4]],",",""))+1,1),"")</f>
        <v/>
      </c>
      <c r="AD619" t="str">
        <f>IF(Tabela1[[#This Row],[5]]&lt;&gt;"",IF(ISNUMBER(FIND(",",Tabela1[[#This Row],[5]])),LEN(Tabela1[[#This Row],[5]])-LEN(SUBSTITUTE(Tabela1[[#This Row],[5]],",",""))+1,1),"")</f>
        <v/>
      </c>
      <c r="AE619" t="str">
        <f>IF(Tabela1[[#This Row],[6]]&lt;&gt;"",IF(ISNUMBER(FIND(",",Tabela1[[#This Row],[6]])),LEN(Tabela1[[#This Row],[6]])-LEN(SUBSTITUTE(Tabela1[[#This Row],[6]],",",""))+1,1),"")</f>
        <v/>
      </c>
      <c r="AF619" t="str">
        <f>IF(Tabela1[[#This Row],[7]]&lt;&gt;"",IF(ISNUMBER(FIND(",",Tabela1[[#This Row],[7]])),LEN(Tabela1[[#This Row],[7]])-LEN(SUBSTITUTE(Tabela1[[#This Row],[7]],",",""))+1,1),"")</f>
        <v/>
      </c>
      <c r="AG619">
        <f>IF(Tabela1[[#This Row],[8]]&lt;&gt;"",IF(ISNUMBER(FIND(",",Tabela1[[#This Row],[8]])),LEN(Tabela1[[#This Row],[8]])-LEN(SUBSTITUTE(Tabela1[[#This Row],[8]],",",""))+1,1),"")</f>
        <v>1</v>
      </c>
      <c r="AH619" t="str">
        <f>IF(Tabela1[[#This Row],[9]]&lt;&gt;"",IF(ISNUMBER(FIND(",",Tabela1[[#This Row],[9]])),LEN(Tabela1[[#This Row],[9]])-LEN(SUBSTITUTE(Tabela1[[#This Row],[9]],",",""))+1,1),"")</f>
        <v/>
      </c>
      <c r="AI619" t="str">
        <f>IF(Tabela1[[#This Row],[10]]&lt;&gt;"",IF(ISNUMBER(FIND(",",Tabela1[[#This Row],[10]])),LEN(Tabela1[[#This Row],[10]])-LEN(SUBSTITUTE(Tabela1[[#This Row],[10]],",",""))+1,1),"")</f>
        <v/>
      </c>
      <c r="AJ619" t="str">
        <f>IF(Tabela1[[#This Row],[11]]&lt;&gt;"",IF(ISNUMBER(FIND(",",Tabela1[[#This Row],[11]])),LEN(Tabela1[[#This Row],[11]])-LEN(SUBSTITUTE(Tabela1[[#This Row],[11]],",",""))+1,1),"")</f>
        <v/>
      </c>
      <c r="AK619" t="str">
        <f>IF(Tabela1[[#This Row],[12]]&lt;&gt;"",IF(ISNUMBER(FIND(",",Tabela1[[#This Row],[12]])),LEN(Tabela1[[#This Row],[12]])-LEN(SUBSTITUTE(Tabela1[[#This Row],[12]],",",""))+1,1),"")</f>
        <v/>
      </c>
      <c r="AL619" t="str">
        <f>IF(Tabela1[[#This Row],[13]]&lt;&gt;"",IF(ISNUMBER(FIND(",",Tabela1[[#This Row],[13]])),LEN(Tabela1[[#This Row],[13]])-LEN(SUBSTITUTE(Tabela1[[#This Row],[13]],",",""))+1,1),"")</f>
        <v/>
      </c>
      <c r="AM619" t="str">
        <f>IF(Tabela1[[#This Row],[14]]&lt;&gt;"",IF(ISNUMBER(FIND(",",Tabela1[[#This Row],[14]])),LEN(Tabela1[[#This Row],[14]])-LEN(SUBSTITUTE(Tabela1[[#This Row],[14]],",",""))+1,1),"")</f>
        <v/>
      </c>
      <c r="AN619" t="str">
        <f>IF(Tabela1[[#This Row],[15]]&lt;&gt;"",IF(ISNUMBER(FIND(",",Tabela1[[#This Row],[15]])),LEN(Tabela1[[#This Row],[15]])-LEN(SUBSTITUTE(Tabela1[[#This Row],[15]],",",""))+1,1),"")</f>
        <v/>
      </c>
      <c r="AO619" t="str">
        <f>IF(Tabela1[[#This Row],[16]]&lt;&gt;"",IF(ISNUMBER(FIND(",",Tabela1[[#This Row],[16]])),LEN(Tabela1[[#This Row],[16]])-LEN(SUBSTITUTE(Tabela1[[#This Row],[16]],",",""))+1,1),"")</f>
        <v/>
      </c>
      <c r="AP619" t="str">
        <f>IF(Tabela1[[#This Row],[17]]&lt;&gt;"",IF(ISNUMBER(FIND(",",Tabela1[[#This Row],[17]])),LEN(Tabela1[[#This Row],[17]])-LEN(SUBSTITUTE(Tabela1[[#This Row],[17]],",",""))+1,1),"")</f>
        <v/>
      </c>
      <c r="AQ619" t="str">
        <f>IF(Tabela1[[#This Row],[18]]&lt;&gt;"",IF(ISNUMBER(FIND(",",Tabela1[[#This Row],[18]])),LEN(Tabela1[[#This Row],[18]])-LEN(SUBSTITUTE(Tabela1[[#This Row],[18]],",",""))+1,1),"")</f>
        <v/>
      </c>
      <c r="AR619" s="13" t="str">
        <f>IF(Tabela1[[#This Row],[19_LENGTH]]&lt;&gt;"",IF(ISNUMBER(FIND(",",Tabela1[[#This Row],[19_LENGTH]])),LEN(Tabela1[[#This Row],[19_LENGTH]])-LEN(SUBSTITUTE(Tabela1[[#This Row],[19_LENGTH]],",",""))+1,1),"")</f>
        <v/>
      </c>
      <c r="AS619" s="21">
        <f>SUM(Tabela1[[#This Row],[1_]:[19_]])</f>
        <v>1</v>
      </c>
    </row>
    <row r="620" spans="1:45" x14ac:dyDescent="0.25">
      <c r="A620" s="27" t="s">
        <v>1328</v>
      </c>
      <c r="B620" s="19" t="s">
        <v>900</v>
      </c>
      <c r="C620" s="19">
        <v>102</v>
      </c>
      <c r="D620" s="19" t="s">
        <v>1309</v>
      </c>
      <c r="E620" s="20">
        <v>43547</v>
      </c>
      <c r="F620" s="19"/>
      <c r="G620" s="19"/>
      <c r="H620" s="19"/>
      <c r="I620" s="19"/>
      <c r="J620" s="19"/>
      <c r="K620" s="19"/>
      <c r="L620" s="19"/>
      <c r="M620" s="19"/>
      <c r="N620" s="19"/>
      <c r="O620" s="19"/>
      <c r="P620" s="19"/>
      <c r="Q620" s="19"/>
      <c r="R620" s="19"/>
      <c r="S620" s="19"/>
      <c r="T620" s="19"/>
      <c r="U620" s="19"/>
      <c r="V620" s="19">
        <v>80</v>
      </c>
      <c r="W620" s="19"/>
      <c r="X620" s="19"/>
      <c r="Y620" s="19"/>
      <c r="Z620" t="str">
        <f>IF(Tabela1[[#This Row],[1]]&lt;&gt;"",IF(ISNUMBER(FIND(",",Tabela1[[#This Row],[1]])),LEN(Tabela1[[#This Row],[1]])-LEN(SUBSTITUTE(Tabela1[[#This Row],[1]],",",""))+1,1),"")</f>
        <v/>
      </c>
      <c r="AA620" t="str">
        <f>IF(Tabela1[[#This Row],[2]]&lt;&gt;"",IF(ISNUMBER(FIND(",",Tabela1[[#This Row],[2]])),LEN(Tabela1[[#This Row],[2]])-LEN(SUBSTITUTE(Tabela1[[#This Row],[2]],",",""))+1,1),"")</f>
        <v/>
      </c>
      <c r="AB620" t="str">
        <f>IF(Tabela1[[#This Row],[3]]&lt;&gt;"",IF(ISNUMBER(FIND(",",Tabela1[[#This Row],[3]])),LEN(Tabela1[[#This Row],[3]])-LEN(SUBSTITUTE(Tabela1[[#This Row],[3]],",",""))+1,1),"")</f>
        <v/>
      </c>
      <c r="AC620" t="str">
        <f>IF(Tabela1[[#This Row],[4]]&lt;&gt;"",IF(ISNUMBER(FIND(",",Tabela1[[#This Row],[4]])),LEN(Tabela1[[#This Row],[4]])-LEN(SUBSTITUTE(Tabela1[[#This Row],[4]],",",""))+1,1),"")</f>
        <v/>
      </c>
      <c r="AD620" t="str">
        <f>IF(Tabela1[[#This Row],[5]]&lt;&gt;"",IF(ISNUMBER(FIND(",",Tabela1[[#This Row],[5]])),LEN(Tabela1[[#This Row],[5]])-LEN(SUBSTITUTE(Tabela1[[#This Row],[5]],",",""))+1,1),"")</f>
        <v/>
      </c>
      <c r="AE620" t="str">
        <f>IF(Tabela1[[#This Row],[6]]&lt;&gt;"",IF(ISNUMBER(FIND(",",Tabela1[[#This Row],[6]])),LEN(Tabela1[[#This Row],[6]])-LEN(SUBSTITUTE(Tabela1[[#This Row],[6]],",",""))+1,1),"")</f>
        <v/>
      </c>
      <c r="AF620" t="str">
        <f>IF(Tabela1[[#This Row],[7]]&lt;&gt;"",IF(ISNUMBER(FIND(",",Tabela1[[#This Row],[7]])),LEN(Tabela1[[#This Row],[7]])-LEN(SUBSTITUTE(Tabela1[[#This Row],[7]],",",""))+1,1),"")</f>
        <v/>
      </c>
      <c r="AG620" t="str">
        <f>IF(Tabela1[[#This Row],[8]]&lt;&gt;"",IF(ISNUMBER(FIND(",",Tabela1[[#This Row],[8]])),LEN(Tabela1[[#This Row],[8]])-LEN(SUBSTITUTE(Tabela1[[#This Row],[8]],",",""))+1,1),"")</f>
        <v/>
      </c>
      <c r="AH620" t="str">
        <f>IF(Tabela1[[#This Row],[9]]&lt;&gt;"",IF(ISNUMBER(FIND(",",Tabela1[[#This Row],[9]])),LEN(Tabela1[[#This Row],[9]])-LEN(SUBSTITUTE(Tabela1[[#This Row],[9]],",",""))+1,1),"")</f>
        <v/>
      </c>
      <c r="AI620" t="str">
        <f>IF(Tabela1[[#This Row],[10]]&lt;&gt;"",IF(ISNUMBER(FIND(",",Tabela1[[#This Row],[10]])),LEN(Tabela1[[#This Row],[10]])-LEN(SUBSTITUTE(Tabela1[[#This Row],[10]],",",""))+1,1),"")</f>
        <v/>
      </c>
      <c r="AJ620" t="str">
        <f>IF(Tabela1[[#This Row],[11]]&lt;&gt;"",IF(ISNUMBER(FIND(",",Tabela1[[#This Row],[11]])),LEN(Tabela1[[#This Row],[11]])-LEN(SUBSTITUTE(Tabela1[[#This Row],[11]],",",""))+1,1),"")</f>
        <v/>
      </c>
      <c r="AK620" t="str">
        <f>IF(Tabela1[[#This Row],[12]]&lt;&gt;"",IF(ISNUMBER(FIND(",",Tabela1[[#This Row],[12]])),LEN(Tabela1[[#This Row],[12]])-LEN(SUBSTITUTE(Tabela1[[#This Row],[12]],",",""))+1,1),"")</f>
        <v/>
      </c>
      <c r="AL620" t="str">
        <f>IF(Tabela1[[#This Row],[13]]&lt;&gt;"",IF(ISNUMBER(FIND(",",Tabela1[[#This Row],[13]])),LEN(Tabela1[[#This Row],[13]])-LEN(SUBSTITUTE(Tabela1[[#This Row],[13]],",",""))+1,1),"")</f>
        <v/>
      </c>
      <c r="AM620" t="str">
        <f>IF(Tabela1[[#This Row],[14]]&lt;&gt;"",IF(ISNUMBER(FIND(",",Tabela1[[#This Row],[14]])),LEN(Tabela1[[#This Row],[14]])-LEN(SUBSTITUTE(Tabela1[[#This Row],[14]],",",""))+1,1),"")</f>
        <v/>
      </c>
      <c r="AN620" t="str">
        <f>IF(Tabela1[[#This Row],[15]]&lt;&gt;"",IF(ISNUMBER(FIND(",",Tabela1[[#This Row],[15]])),LEN(Tabela1[[#This Row],[15]])-LEN(SUBSTITUTE(Tabela1[[#This Row],[15]],",",""))+1,1),"")</f>
        <v/>
      </c>
      <c r="AO620" t="str">
        <f>IF(Tabela1[[#This Row],[16]]&lt;&gt;"",IF(ISNUMBER(FIND(",",Tabela1[[#This Row],[16]])),LEN(Tabela1[[#This Row],[16]])-LEN(SUBSTITUTE(Tabela1[[#This Row],[16]],",",""))+1,1),"")</f>
        <v/>
      </c>
      <c r="AP620">
        <f>IF(Tabela1[[#This Row],[17]]&lt;&gt;"",IF(ISNUMBER(FIND(",",Tabela1[[#This Row],[17]])),LEN(Tabela1[[#This Row],[17]])-LEN(SUBSTITUTE(Tabela1[[#This Row],[17]],",",""))+1,1),"")</f>
        <v>1</v>
      </c>
      <c r="AQ620" t="str">
        <f>IF(Tabela1[[#This Row],[18]]&lt;&gt;"",IF(ISNUMBER(FIND(",",Tabela1[[#This Row],[18]])),LEN(Tabela1[[#This Row],[18]])-LEN(SUBSTITUTE(Tabela1[[#This Row],[18]],",",""))+1,1),"")</f>
        <v/>
      </c>
      <c r="AR620" s="13" t="str">
        <f>IF(Tabela1[[#This Row],[19_LENGTH]]&lt;&gt;"",IF(ISNUMBER(FIND(",",Tabela1[[#This Row],[19_LENGTH]])),LEN(Tabela1[[#This Row],[19_LENGTH]])-LEN(SUBSTITUTE(Tabela1[[#This Row],[19_LENGTH]],",",""))+1,1),"")</f>
        <v/>
      </c>
      <c r="AS620" s="21">
        <f>SUM(Tabela1[[#This Row],[1_]:[19_]])</f>
        <v>1</v>
      </c>
    </row>
    <row r="621" spans="1:45" x14ac:dyDescent="0.25">
      <c r="A621" s="27" t="s">
        <v>1328</v>
      </c>
      <c r="B621" s="19" t="s">
        <v>901</v>
      </c>
      <c r="C621" s="19">
        <v>102</v>
      </c>
      <c r="D621" s="19" t="s">
        <v>1309</v>
      </c>
      <c r="E621" s="20">
        <v>43547</v>
      </c>
      <c r="F621" s="19"/>
      <c r="G621" s="19"/>
      <c r="H621" s="19"/>
      <c r="I621" s="19"/>
      <c r="J621" s="19">
        <v>46</v>
      </c>
      <c r="K621" s="19"/>
      <c r="L621" s="19"/>
      <c r="M621" s="19"/>
      <c r="N621" s="19"/>
      <c r="O621" s="19"/>
      <c r="P621" s="19"/>
      <c r="Q621" s="19"/>
      <c r="R621" s="19"/>
      <c r="S621" s="19"/>
      <c r="T621" s="19"/>
      <c r="U621" s="19"/>
      <c r="V621" s="19"/>
      <c r="W621" s="19"/>
      <c r="X621" s="19"/>
      <c r="Y621" s="19"/>
      <c r="Z621" t="str">
        <f>IF(Tabela1[[#This Row],[1]]&lt;&gt;"",IF(ISNUMBER(FIND(",",Tabela1[[#This Row],[1]])),LEN(Tabela1[[#This Row],[1]])-LEN(SUBSTITUTE(Tabela1[[#This Row],[1]],",",""))+1,1),"")</f>
        <v/>
      </c>
      <c r="AA621" t="str">
        <f>IF(Tabela1[[#This Row],[2]]&lt;&gt;"",IF(ISNUMBER(FIND(",",Tabela1[[#This Row],[2]])),LEN(Tabela1[[#This Row],[2]])-LEN(SUBSTITUTE(Tabela1[[#This Row],[2]],",",""))+1,1),"")</f>
        <v/>
      </c>
      <c r="AB621" t="str">
        <f>IF(Tabela1[[#This Row],[3]]&lt;&gt;"",IF(ISNUMBER(FIND(",",Tabela1[[#This Row],[3]])),LEN(Tabela1[[#This Row],[3]])-LEN(SUBSTITUTE(Tabela1[[#This Row],[3]],",",""))+1,1),"")</f>
        <v/>
      </c>
      <c r="AC621" t="str">
        <f>IF(Tabela1[[#This Row],[4]]&lt;&gt;"",IF(ISNUMBER(FIND(",",Tabela1[[#This Row],[4]])),LEN(Tabela1[[#This Row],[4]])-LEN(SUBSTITUTE(Tabela1[[#This Row],[4]],",",""))+1,1),"")</f>
        <v/>
      </c>
      <c r="AD621">
        <f>IF(Tabela1[[#This Row],[5]]&lt;&gt;"",IF(ISNUMBER(FIND(",",Tabela1[[#This Row],[5]])),LEN(Tabela1[[#This Row],[5]])-LEN(SUBSTITUTE(Tabela1[[#This Row],[5]],",",""))+1,1),"")</f>
        <v>1</v>
      </c>
      <c r="AE621" t="str">
        <f>IF(Tabela1[[#This Row],[6]]&lt;&gt;"",IF(ISNUMBER(FIND(",",Tabela1[[#This Row],[6]])),LEN(Tabela1[[#This Row],[6]])-LEN(SUBSTITUTE(Tabela1[[#This Row],[6]],",",""))+1,1),"")</f>
        <v/>
      </c>
      <c r="AF621" t="str">
        <f>IF(Tabela1[[#This Row],[7]]&lt;&gt;"",IF(ISNUMBER(FIND(",",Tabela1[[#This Row],[7]])),LEN(Tabela1[[#This Row],[7]])-LEN(SUBSTITUTE(Tabela1[[#This Row],[7]],",",""))+1,1),"")</f>
        <v/>
      </c>
      <c r="AG621" t="str">
        <f>IF(Tabela1[[#This Row],[8]]&lt;&gt;"",IF(ISNUMBER(FIND(",",Tabela1[[#This Row],[8]])),LEN(Tabela1[[#This Row],[8]])-LEN(SUBSTITUTE(Tabela1[[#This Row],[8]],",",""))+1,1),"")</f>
        <v/>
      </c>
      <c r="AH621" t="str">
        <f>IF(Tabela1[[#This Row],[9]]&lt;&gt;"",IF(ISNUMBER(FIND(",",Tabela1[[#This Row],[9]])),LEN(Tabela1[[#This Row],[9]])-LEN(SUBSTITUTE(Tabela1[[#This Row],[9]],",",""))+1,1),"")</f>
        <v/>
      </c>
      <c r="AI621" t="str">
        <f>IF(Tabela1[[#This Row],[10]]&lt;&gt;"",IF(ISNUMBER(FIND(",",Tabela1[[#This Row],[10]])),LEN(Tabela1[[#This Row],[10]])-LEN(SUBSTITUTE(Tabela1[[#This Row],[10]],",",""))+1,1),"")</f>
        <v/>
      </c>
      <c r="AJ621" t="str">
        <f>IF(Tabela1[[#This Row],[11]]&lt;&gt;"",IF(ISNUMBER(FIND(",",Tabela1[[#This Row],[11]])),LEN(Tabela1[[#This Row],[11]])-LEN(SUBSTITUTE(Tabela1[[#This Row],[11]],",",""))+1,1),"")</f>
        <v/>
      </c>
      <c r="AK621" t="str">
        <f>IF(Tabela1[[#This Row],[12]]&lt;&gt;"",IF(ISNUMBER(FIND(",",Tabela1[[#This Row],[12]])),LEN(Tabela1[[#This Row],[12]])-LEN(SUBSTITUTE(Tabela1[[#This Row],[12]],",",""))+1,1),"")</f>
        <v/>
      </c>
      <c r="AL621" t="str">
        <f>IF(Tabela1[[#This Row],[13]]&lt;&gt;"",IF(ISNUMBER(FIND(",",Tabela1[[#This Row],[13]])),LEN(Tabela1[[#This Row],[13]])-LEN(SUBSTITUTE(Tabela1[[#This Row],[13]],",",""))+1,1),"")</f>
        <v/>
      </c>
      <c r="AM621" t="str">
        <f>IF(Tabela1[[#This Row],[14]]&lt;&gt;"",IF(ISNUMBER(FIND(",",Tabela1[[#This Row],[14]])),LEN(Tabela1[[#This Row],[14]])-LEN(SUBSTITUTE(Tabela1[[#This Row],[14]],",",""))+1,1),"")</f>
        <v/>
      </c>
      <c r="AN621" t="str">
        <f>IF(Tabela1[[#This Row],[15]]&lt;&gt;"",IF(ISNUMBER(FIND(",",Tabela1[[#This Row],[15]])),LEN(Tabela1[[#This Row],[15]])-LEN(SUBSTITUTE(Tabela1[[#This Row],[15]],",",""))+1,1),"")</f>
        <v/>
      </c>
      <c r="AO621" t="str">
        <f>IF(Tabela1[[#This Row],[16]]&lt;&gt;"",IF(ISNUMBER(FIND(",",Tabela1[[#This Row],[16]])),LEN(Tabela1[[#This Row],[16]])-LEN(SUBSTITUTE(Tabela1[[#This Row],[16]],",",""))+1,1),"")</f>
        <v/>
      </c>
      <c r="AP621" t="str">
        <f>IF(Tabela1[[#This Row],[17]]&lt;&gt;"",IF(ISNUMBER(FIND(",",Tabela1[[#This Row],[17]])),LEN(Tabela1[[#This Row],[17]])-LEN(SUBSTITUTE(Tabela1[[#This Row],[17]],",",""))+1,1),"")</f>
        <v/>
      </c>
      <c r="AQ621" t="str">
        <f>IF(Tabela1[[#This Row],[18]]&lt;&gt;"",IF(ISNUMBER(FIND(",",Tabela1[[#This Row],[18]])),LEN(Tabela1[[#This Row],[18]])-LEN(SUBSTITUTE(Tabela1[[#This Row],[18]],",",""))+1,1),"")</f>
        <v/>
      </c>
      <c r="AR621" s="13" t="str">
        <f>IF(Tabela1[[#This Row],[19_LENGTH]]&lt;&gt;"",IF(ISNUMBER(FIND(",",Tabela1[[#This Row],[19_LENGTH]])),LEN(Tabela1[[#This Row],[19_LENGTH]])-LEN(SUBSTITUTE(Tabela1[[#This Row],[19_LENGTH]],",",""))+1,1),"")</f>
        <v/>
      </c>
      <c r="AS621" s="21">
        <f>SUM(Tabela1[[#This Row],[1_]:[19_]])</f>
        <v>1</v>
      </c>
    </row>
    <row r="622" spans="1:45" x14ac:dyDescent="0.25">
      <c r="A622" s="27" t="s">
        <v>1328</v>
      </c>
      <c r="B622" s="19" t="s">
        <v>902</v>
      </c>
      <c r="C622" s="19">
        <v>102</v>
      </c>
      <c r="D622" s="19" t="s">
        <v>1309</v>
      </c>
      <c r="E622" s="20">
        <v>43547</v>
      </c>
      <c r="F622" s="19"/>
      <c r="G622" s="19"/>
      <c r="H622" s="19">
        <v>5</v>
      </c>
      <c r="I622" s="19"/>
      <c r="J622" s="19"/>
      <c r="K622" s="19"/>
      <c r="L622" s="19"/>
      <c r="M622" s="19"/>
      <c r="N622" s="19"/>
      <c r="O622" s="19"/>
      <c r="P622" s="19"/>
      <c r="Q622" s="19"/>
      <c r="R622" s="19"/>
      <c r="S622" s="19"/>
      <c r="T622" s="19"/>
      <c r="U622" s="19"/>
      <c r="V622" s="19"/>
      <c r="W622" s="19"/>
      <c r="X622" s="19"/>
      <c r="Y622" s="19"/>
      <c r="Z622" t="str">
        <f>IF(Tabela1[[#This Row],[1]]&lt;&gt;"",IF(ISNUMBER(FIND(",",Tabela1[[#This Row],[1]])),LEN(Tabela1[[#This Row],[1]])-LEN(SUBSTITUTE(Tabela1[[#This Row],[1]],",",""))+1,1),"")</f>
        <v/>
      </c>
      <c r="AA622" t="str">
        <f>IF(Tabela1[[#This Row],[2]]&lt;&gt;"",IF(ISNUMBER(FIND(",",Tabela1[[#This Row],[2]])),LEN(Tabela1[[#This Row],[2]])-LEN(SUBSTITUTE(Tabela1[[#This Row],[2]],",",""))+1,1),"")</f>
        <v/>
      </c>
      <c r="AB622">
        <f>IF(Tabela1[[#This Row],[3]]&lt;&gt;"",IF(ISNUMBER(FIND(",",Tabela1[[#This Row],[3]])),LEN(Tabela1[[#This Row],[3]])-LEN(SUBSTITUTE(Tabela1[[#This Row],[3]],",",""))+1,1),"")</f>
        <v>1</v>
      </c>
      <c r="AC622" t="str">
        <f>IF(Tabela1[[#This Row],[4]]&lt;&gt;"",IF(ISNUMBER(FIND(",",Tabela1[[#This Row],[4]])),LEN(Tabela1[[#This Row],[4]])-LEN(SUBSTITUTE(Tabela1[[#This Row],[4]],",",""))+1,1),"")</f>
        <v/>
      </c>
      <c r="AD622" t="str">
        <f>IF(Tabela1[[#This Row],[5]]&lt;&gt;"",IF(ISNUMBER(FIND(",",Tabela1[[#This Row],[5]])),LEN(Tabela1[[#This Row],[5]])-LEN(SUBSTITUTE(Tabela1[[#This Row],[5]],",",""))+1,1),"")</f>
        <v/>
      </c>
      <c r="AE622" t="str">
        <f>IF(Tabela1[[#This Row],[6]]&lt;&gt;"",IF(ISNUMBER(FIND(",",Tabela1[[#This Row],[6]])),LEN(Tabela1[[#This Row],[6]])-LEN(SUBSTITUTE(Tabela1[[#This Row],[6]],",",""))+1,1),"")</f>
        <v/>
      </c>
      <c r="AF622" t="str">
        <f>IF(Tabela1[[#This Row],[7]]&lt;&gt;"",IF(ISNUMBER(FIND(",",Tabela1[[#This Row],[7]])),LEN(Tabela1[[#This Row],[7]])-LEN(SUBSTITUTE(Tabela1[[#This Row],[7]],",",""))+1,1),"")</f>
        <v/>
      </c>
      <c r="AG622" t="str">
        <f>IF(Tabela1[[#This Row],[8]]&lt;&gt;"",IF(ISNUMBER(FIND(",",Tabela1[[#This Row],[8]])),LEN(Tabela1[[#This Row],[8]])-LEN(SUBSTITUTE(Tabela1[[#This Row],[8]],",",""))+1,1),"")</f>
        <v/>
      </c>
      <c r="AH622" t="str">
        <f>IF(Tabela1[[#This Row],[9]]&lt;&gt;"",IF(ISNUMBER(FIND(",",Tabela1[[#This Row],[9]])),LEN(Tabela1[[#This Row],[9]])-LEN(SUBSTITUTE(Tabela1[[#This Row],[9]],",",""))+1,1),"")</f>
        <v/>
      </c>
      <c r="AI622" t="str">
        <f>IF(Tabela1[[#This Row],[10]]&lt;&gt;"",IF(ISNUMBER(FIND(",",Tabela1[[#This Row],[10]])),LEN(Tabela1[[#This Row],[10]])-LEN(SUBSTITUTE(Tabela1[[#This Row],[10]],",",""))+1,1),"")</f>
        <v/>
      </c>
      <c r="AJ622" t="str">
        <f>IF(Tabela1[[#This Row],[11]]&lt;&gt;"",IF(ISNUMBER(FIND(",",Tabela1[[#This Row],[11]])),LEN(Tabela1[[#This Row],[11]])-LEN(SUBSTITUTE(Tabela1[[#This Row],[11]],",",""))+1,1),"")</f>
        <v/>
      </c>
      <c r="AK622" t="str">
        <f>IF(Tabela1[[#This Row],[12]]&lt;&gt;"",IF(ISNUMBER(FIND(",",Tabela1[[#This Row],[12]])),LEN(Tabela1[[#This Row],[12]])-LEN(SUBSTITUTE(Tabela1[[#This Row],[12]],",",""))+1,1),"")</f>
        <v/>
      </c>
      <c r="AL622" t="str">
        <f>IF(Tabela1[[#This Row],[13]]&lt;&gt;"",IF(ISNUMBER(FIND(",",Tabela1[[#This Row],[13]])),LEN(Tabela1[[#This Row],[13]])-LEN(SUBSTITUTE(Tabela1[[#This Row],[13]],",",""))+1,1),"")</f>
        <v/>
      </c>
      <c r="AM622" t="str">
        <f>IF(Tabela1[[#This Row],[14]]&lt;&gt;"",IF(ISNUMBER(FIND(",",Tabela1[[#This Row],[14]])),LEN(Tabela1[[#This Row],[14]])-LEN(SUBSTITUTE(Tabela1[[#This Row],[14]],",",""))+1,1),"")</f>
        <v/>
      </c>
      <c r="AN622" t="str">
        <f>IF(Tabela1[[#This Row],[15]]&lt;&gt;"",IF(ISNUMBER(FIND(",",Tabela1[[#This Row],[15]])),LEN(Tabela1[[#This Row],[15]])-LEN(SUBSTITUTE(Tabela1[[#This Row],[15]],",",""))+1,1),"")</f>
        <v/>
      </c>
      <c r="AO622" t="str">
        <f>IF(Tabela1[[#This Row],[16]]&lt;&gt;"",IF(ISNUMBER(FIND(",",Tabela1[[#This Row],[16]])),LEN(Tabela1[[#This Row],[16]])-LEN(SUBSTITUTE(Tabela1[[#This Row],[16]],",",""))+1,1),"")</f>
        <v/>
      </c>
      <c r="AP622" t="str">
        <f>IF(Tabela1[[#This Row],[17]]&lt;&gt;"",IF(ISNUMBER(FIND(",",Tabela1[[#This Row],[17]])),LEN(Tabela1[[#This Row],[17]])-LEN(SUBSTITUTE(Tabela1[[#This Row],[17]],",",""))+1,1),"")</f>
        <v/>
      </c>
      <c r="AQ622" t="str">
        <f>IF(Tabela1[[#This Row],[18]]&lt;&gt;"",IF(ISNUMBER(FIND(",",Tabela1[[#This Row],[18]])),LEN(Tabela1[[#This Row],[18]])-LEN(SUBSTITUTE(Tabela1[[#This Row],[18]],",",""))+1,1),"")</f>
        <v/>
      </c>
      <c r="AR622" s="13" t="str">
        <f>IF(Tabela1[[#This Row],[19_LENGTH]]&lt;&gt;"",IF(ISNUMBER(FIND(",",Tabela1[[#This Row],[19_LENGTH]])),LEN(Tabela1[[#This Row],[19_LENGTH]])-LEN(SUBSTITUTE(Tabela1[[#This Row],[19_LENGTH]],",",""))+1,1),"")</f>
        <v/>
      </c>
      <c r="AS622" s="21">
        <f>SUM(Tabela1[[#This Row],[1_]:[19_]])</f>
        <v>1</v>
      </c>
    </row>
    <row r="623" spans="1:45" x14ac:dyDescent="0.25">
      <c r="A623" s="27" t="s">
        <v>1325</v>
      </c>
      <c r="B623" s="19" t="s">
        <v>640</v>
      </c>
      <c r="C623" s="19">
        <v>228</v>
      </c>
      <c r="D623" s="19" t="s">
        <v>1315</v>
      </c>
      <c r="E623" s="20">
        <v>43547</v>
      </c>
      <c r="F623" s="19"/>
      <c r="G623" s="19"/>
      <c r="H623" s="19"/>
      <c r="I623" s="19"/>
      <c r="J623" s="19">
        <v>183</v>
      </c>
      <c r="K623" s="19"/>
      <c r="L623" s="19"/>
      <c r="M623" s="19"/>
      <c r="N623" s="19"/>
      <c r="O623" s="19"/>
      <c r="P623" s="19"/>
      <c r="Q623" s="19"/>
      <c r="R623" s="19"/>
      <c r="S623" s="19"/>
      <c r="T623" s="19"/>
      <c r="U623" s="19"/>
      <c r="V623" s="19"/>
      <c r="W623" s="19"/>
      <c r="X623" s="19"/>
      <c r="Y623" s="19"/>
      <c r="Z623" t="str">
        <f>IF(Tabela1[[#This Row],[1]]&lt;&gt;"",IF(ISNUMBER(FIND(",",Tabela1[[#This Row],[1]])),LEN(Tabela1[[#This Row],[1]])-LEN(SUBSTITUTE(Tabela1[[#This Row],[1]],",",""))+1,1),"")</f>
        <v/>
      </c>
      <c r="AA623" t="str">
        <f>IF(Tabela1[[#This Row],[2]]&lt;&gt;"",IF(ISNUMBER(FIND(",",Tabela1[[#This Row],[2]])),LEN(Tabela1[[#This Row],[2]])-LEN(SUBSTITUTE(Tabela1[[#This Row],[2]],",",""))+1,1),"")</f>
        <v/>
      </c>
      <c r="AB623" t="str">
        <f>IF(Tabela1[[#This Row],[3]]&lt;&gt;"",IF(ISNUMBER(FIND(",",Tabela1[[#This Row],[3]])),LEN(Tabela1[[#This Row],[3]])-LEN(SUBSTITUTE(Tabela1[[#This Row],[3]],",",""))+1,1),"")</f>
        <v/>
      </c>
      <c r="AC623" t="str">
        <f>IF(Tabela1[[#This Row],[4]]&lt;&gt;"",IF(ISNUMBER(FIND(",",Tabela1[[#This Row],[4]])),LEN(Tabela1[[#This Row],[4]])-LEN(SUBSTITUTE(Tabela1[[#This Row],[4]],",",""))+1,1),"")</f>
        <v/>
      </c>
      <c r="AD623">
        <f>IF(Tabela1[[#This Row],[5]]&lt;&gt;"",IF(ISNUMBER(FIND(",",Tabela1[[#This Row],[5]])),LEN(Tabela1[[#This Row],[5]])-LEN(SUBSTITUTE(Tabela1[[#This Row],[5]],",",""))+1,1),"")</f>
        <v>1</v>
      </c>
      <c r="AE623" t="str">
        <f>IF(Tabela1[[#This Row],[6]]&lt;&gt;"",IF(ISNUMBER(FIND(",",Tabela1[[#This Row],[6]])),LEN(Tabela1[[#This Row],[6]])-LEN(SUBSTITUTE(Tabela1[[#This Row],[6]],",",""))+1,1),"")</f>
        <v/>
      </c>
      <c r="AF623" t="str">
        <f>IF(Tabela1[[#This Row],[7]]&lt;&gt;"",IF(ISNUMBER(FIND(",",Tabela1[[#This Row],[7]])),LEN(Tabela1[[#This Row],[7]])-LEN(SUBSTITUTE(Tabela1[[#This Row],[7]],",",""))+1,1),"")</f>
        <v/>
      </c>
      <c r="AG623" t="str">
        <f>IF(Tabela1[[#This Row],[8]]&lt;&gt;"",IF(ISNUMBER(FIND(",",Tabela1[[#This Row],[8]])),LEN(Tabela1[[#This Row],[8]])-LEN(SUBSTITUTE(Tabela1[[#This Row],[8]],",",""))+1,1),"")</f>
        <v/>
      </c>
      <c r="AH623" t="str">
        <f>IF(Tabela1[[#This Row],[9]]&lt;&gt;"",IF(ISNUMBER(FIND(",",Tabela1[[#This Row],[9]])),LEN(Tabela1[[#This Row],[9]])-LEN(SUBSTITUTE(Tabela1[[#This Row],[9]],",",""))+1,1),"")</f>
        <v/>
      </c>
      <c r="AI623" t="str">
        <f>IF(Tabela1[[#This Row],[10]]&lt;&gt;"",IF(ISNUMBER(FIND(",",Tabela1[[#This Row],[10]])),LEN(Tabela1[[#This Row],[10]])-LEN(SUBSTITUTE(Tabela1[[#This Row],[10]],",",""))+1,1),"")</f>
        <v/>
      </c>
      <c r="AJ623" t="str">
        <f>IF(Tabela1[[#This Row],[11]]&lt;&gt;"",IF(ISNUMBER(FIND(",",Tabela1[[#This Row],[11]])),LEN(Tabela1[[#This Row],[11]])-LEN(SUBSTITUTE(Tabela1[[#This Row],[11]],",",""))+1,1),"")</f>
        <v/>
      </c>
      <c r="AK623" t="str">
        <f>IF(Tabela1[[#This Row],[12]]&lt;&gt;"",IF(ISNUMBER(FIND(",",Tabela1[[#This Row],[12]])),LEN(Tabela1[[#This Row],[12]])-LEN(SUBSTITUTE(Tabela1[[#This Row],[12]],",",""))+1,1),"")</f>
        <v/>
      </c>
      <c r="AL623" t="str">
        <f>IF(Tabela1[[#This Row],[13]]&lt;&gt;"",IF(ISNUMBER(FIND(",",Tabela1[[#This Row],[13]])),LEN(Tabela1[[#This Row],[13]])-LEN(SUBSTITUTE(Tabela1[[#This Row],[13]],",",""))+1,1),"")</f>
        <v/>
      </c>
      <c r="AM623" t="str">
        <f>IF(Tabela1[[#This Row],[14]]&lt;&gt;"",IF(ISNUMBER(FIND(",",Tabela1[[#This Row],[14]])),LEN(Tabela1[[#This Row],[14]])-LEN(SUBSTITUTE(Tabela1[[#This Row],[14]],",",""))+1,1),"")</f>
        <v/>
      </c>
      <c r="AN623" t="str">
        <f>IF(Tabela1[[#This Row],[15]]&lt;&gt;"",IF(ISNUMBER(FIND(",",Tabela1[[#This Row],[15]])),LEN(Tabela1[[#This Row],[15]])-LEN(SUBSTITUTE(Tabela1[[#This Row],[15]],",",""))+1,1),"")</f>
        <v/>
      </c>
      <c r="AO623" t="str">
        <f>IF(Tabela1[[#This Row],[16]]&lt;&gt;"",IF(ISNUMBER(FIND(",",Tabela1[[#This Row],[16]])),LEN(Tabela1[[#This Row],[16]])-LEN(SUBSTITUTE(Tabela1[[#This Row],[16]],",",""))+1,1),"")</f>
        <v/>
      </c>
      <c r="AP623" t="str">
        <f>IF(Tabela1[[#This Row],[17]]&lt;&gt;"",IF(ISNUMBER(FIND(",",Tabela1[[#This Row],[17]])),LEN(Tabela1[[#This Row],[17]])-LEN(SUBSTITUTE(Tabela1[[#This Row],[17]],",",""))+1,1),"")</f>
        <v/>
      </c>
      <c r="AQ623" t="str">
        <f>IF(Tabela1[[#This Row],[18]]&lt;&gt;"",IF(ISNUMBER(FIND(",",Tabela1[[#This Row],[18]])),LEN(Tabela1[[#This Row],[18]])-LEN(SUBSTITUTE(Tabela1[[#This Row],[18]],",",""))+1,1),"")</f>
        <v/>
      </c>
      <c r="AR623" s="13" t="str">
        <f>IF(Tabela1[[#This Row],[19_LENGTH]]&lt;&gt;"",IF(ISNUMBER(FIND(",",Tabela1[[#This Row],[19_LENGTH]])),LEN(Tabela1[[#This Row],[19_LENGTH]])-LEN(SUBSTITUTE(Tabela1[[#This Row],[19_LENGTH]],",",""))+1,1),"")</f>
        <v/>
      </c>
      <c r="AS623" s="21">
        <f>SUM(Tabela1[[#This Row],[1_]:[19_]])</f>
        <v>1</v>
      </c>
    </row>
    <row r="624" spans="1:45" x14ac:dyDescent="0.25">
      <c r="A624" s="27" t="s">
        <v>1325</v>
      </c>
      <c r="B624" s="19" t="s">
        <v>641</v>
      </c>
      <c r="C624" s="19">
        <v>202</v>
      </c>
      <c r="D624" s="19" t="s">
        <v>1315</v>
      </c>
      <c r="E624" s="20">
        <v>43547</v>
      </c>
      <c r="F624" s="19"/>
      <c r="G624" s="19">
        <v>45</v>
      </c>
      <c r="H624" s="19"/>
      <c r="I624" s="19"/>
      <c r="J624" s="19"/>
      <c r="K624" s="19"/>
      <c r="L624" s="19"/>
      <c r="M624" s="19"/>
      <c r="N624" s="19"/>
      <c r="O624" s="19"/>
      <c r="P624" s="19"/>
      <c r="Q624" s="19"/>
      <c r="R624" s="19"/>
      <c r="S624" s="19"/>
      <c r="T624" s="19"/>
      <c r="U624" s="19"/>
      <c r="V624" s="19"/>
      <c r="W624" s="19"/>
      <c r="X624" s="19"/>
      <c r="Y624" s="19"/>
      <c r="Z624" t="str">
        <f>IF(Tabela1[[#This Row],[1]]&lt;&gt;"",IF(ISNUMBER(FIND(",",Tabela1[[#This Row],[1]])),LEN(Tabela1[[#This Row],[1]])-LEN(SUBSTITUTE(Tabela1[[#This Row],[1]],",",""))+1,1),"")</f>
        <v/>
      </c>
      <c r="AA624">
        <f>IF(Tabela1[[#This Row],[2]]&lt;&gt;"",IF(ISNUMBER(FIND(",",Tabela1[[#This Row],[2]])),LEN(Tabela1[[#This Row],[2]])-LEN(SUBSTITUTE(Tabela1[[#This Row],[2]],",",""))+1,1),"")</f>
        <v>1</v>
      </c>
      <c r="AB624" t="str">
        <f>IF(Tabela1[[#This Row],[3]]&lt;&gt;"",IF(ISNUMBER(FIND(",",Tabela1[[#This Row],[3]])),LEN(Tabela1[[#This Row],[3]])-LEN(SUBSTITUTE(Tabela1[[#This Row],[3]],",",""))+1,1),"")</f>
        <v/>
      </c>
      <c r="AC624" t="str">
        <f>IF(Tabela1[[#This Row],[4]]&lt;&gt;"",IF(ISNUMBER(FIND(",",Tabela1[[#This Row],[4]])),LEN(Tabela1[[#This Row],[4]])-LEN(SUBSTITUTE(Tabela1[[#This Row],[4]],",",""))+1,1),"")</f>
        <v/>
      </c>
      <c r="AD624" t="str">
        <f>IF(Tabela1[[#This Row],[5]]&lt;&gt;"",IF(ISNUMBER(FIND(",",Tabela1[[#This Row],[5]])),LEN(Tabela1[[#This Row],[5]])-LEN(SUBSTITUTE(Tabela1[[#This Row],[5]],",",""))+1,1),"")</f>
        <v/>
      </c>
      <c r="AE624" t="str">
        <f>IF(Tabela1[[#This Row],[6]]&lt;&gt;"",IF(ISNUMBER(FIND(",",Tabela1[[#This Row],[6]])),LEN(Tabela1[[#This Row],[6]])-LEN(SUBSTITUTE(Tabela1[[#This Row],[6]],",",""))+1,1),"")</f>
        <v/>
      </c>
      <c r="AF624" t="str">
        <f>IF(Tabela1[[#This Row],[7]]&lt;&gt;"",IF(ISNUMBER(FIND(",",Tabela1[[#This Row],[7]])),LEN(Tabela1[[#This Row],[7]])-LEN(SUBSTITUTE(Tabela1[[#This Row],[7]],",",""))+1,1),"")</f>
        <v/>
      </c>
      <c r="AG624" t="str">
        <f>IF(Tabela1[[#This Row],[8]]&lt;&gt;"",IF(ISNUMBER(FIND(",",Tabela1[[#This Row],[8]])),LEN(Tabela1[[#This Row],[8]])-LEN(SUBSTITUTE(Tabela1[[#This Row],[8]],",",""))+1,1),"")</f>
        <v/>
      </c>
      <c r="AH624" t="str">
        <f>IF(Tabela1[[#This Row],[9]]&lt;&gt;"",IF(ISNUMBER(FIND(",",Tabela1[[#This Row],[9]])),LEN(Tabela1[[#This Row],[9]])-LEN(SUBSTITUTE(Tabela1[[#This Row],[9]],",",""))+1,1),"")</f>
        <v/>
      </c>
      <c r="AI624" t="str">
        <f>IF(Tabela1[[#This Row],[10]]&lt;&gt;"",IF(ISNUMBER(FIND(",",Tabela1[[#This Row],[10]])),LEN(Tabela1[[#This Row],[10]])-LEN(SUBSTITUTE(Tabela1[[#This Row],[10]],",",""))+1,1),"")</f>
        <v/>
      </c>
      <c r="AJ624" t="str">
        <f>IF(Tabela1[[#This Row],[11]]&lt;&gt;"",IF(ISNUMBER(FIND(",",Tabela1[[#This Row],[11]])),LEN(Tabela1[[#This Row],[11]])-LEN(SUBSTITUTE(Tabela1[[#This Row],[11]],",",""))+1,1),"")</f>
        <v/>
      </c>
      <c r="AK624" t="str">
        <f>IF(Tabela1[[#This Row],[12]]&lt;&gt;"",IF(ISNUMBER(FIND(",",Tabela1[[#This Row],[12]])),LEN(Tabela1[[#This Row],[12]])-LEN(SUBSTITUTE(Tabela1[[#This Row],[12]],",",""))+1,1),"")</f>
        <v/>
      </c>
      <c r="AL624" t="str">
        <f>IF(Tabela1[[#This Row],[13]]&lt;&gt;"",IF(ISNUMBER(FIND(",",Tabela1[[#This Row],[13]])),LEN(Tabela1[[#This Row],[13]])-LEN(SUBSTITUTE(Tabela1[[#This Row],[13]],",",""))+1,1),"")</f>
        <v/>
      </c>
      <c r="AM624" t="str">
        <f>IF(Tabela1[[#This Row],[14]]&lt;&gt;"",IF(ISNUMBER(FIND(",",Tabela1[[#This Row],[14]])),LEN(Tabela1[[#This Row],[14]])-LEN(SUBSTITUTE(Tabela1[[#This Row],[14]],",",""))+1,1),"")</f>
        <v/>
      </c>
      <c r="AN624" t="str">
        <f>IF(Tabela1[[#This Row],[15]]&lt;&gt;"",IF(ISNUMBER(FIND(",",Tabela1[[#This Row],[15]])),LEN(Tabela1[[#This Row],[15]])-LEN(SUBSTITUTE(Tabela1[[#This Row],[15]],",",""))+1,1),"")</f>
        <v/>
      </c>
      <c r="AO624" t="str">
        <f>IF(Tabela1[[#This Row],[16]]&lt;&gt;"",IF(ISNUMBER(FIND(",",Tabela1[[#This Row],[16]])),LEN(Tabela1[[#This Row],[16]])-LEN(SUBSTITUTE(Tabela1[[#This Row],[16]],",",""))+1,1),"")</f>
        <v/>
      </c>
      <c r="AP624" t="str">
        <f>IF(Tabela1[[#This Row],[17]]&lt;&gt;"",IF(ISNUMBER(FIND(",",Tabela1[[#This Row],[17]])),LEN(Tabela1[[#This Row],[17]])-LEN(SUBSTITUTE(Tabela1[[#This Row],[17]],",",""))+1,1),"")</f>
        <v/>
      </c>
      <c r="AQ624" t="str">
        <f>IF(Tabela1[[#This Row],[18]]&lt;&gt;"",IF(ISNUMBER(FIND(",",Tabela1[[#This Row],[18]])),LEN(Tabela1[[#This Row],[18]])-LEN(SUBSTITUTE(Tabela1[[#This Row],[18]],",",""))+1,1),"")</f>
        <v/>
      </c>
      <c r="AR624" s="13" t="str">
        <f>IF(Tabela1[[#This Row],[19_LENGTH]]&lt;&gt;"",IF(ISNUMBER(FIND(",",Tabela1[[#This Row],[19_LENGTH]])),LEN(Tabela1[[#This Row],[19_LENGTH]])-LEN(SUBSTITUTE(Tabela1[[#This Row],[19_LENGTH]],",",""))+1,1),"")</f>
        <v/>
      </c>
      <c r="AS624" s="21">
        <f>SUM(Tabela1[[#This Row],[1_]:[19_]])</f>
        <v>1</v>
      </c>
    </row>
    <row r="625" spans="1:45" x14ac:dyDescent="0.25">
      <c r="A625" s="27" t="s">
        <v>1325</v>
      </c>
      <c r="B625" s="19" t="s">
        <v>903</v>
      </c>
      <c r="C625" s="19">
        <v>202</v>
      </c>
      <c r="D625" s="19" t="s">
        <v>1297</v>
      </c>
      <c r="E625" s="20">
        <v>43547</v>
      </c>
      <c r="F625" s="19"/>
      <c r="G625" s="19">
        <v>132</v>
      </c>
      <c r="H625" s="19"/>
      <c r="I625" s="19">
        <v>136</v>
      </c>
      <c r="J625" s="19"/>
      <c r="K625" s="19"/>
      <c r="L625" s="19"/>
      <c r="M625" s="19"/>
      <c r="N625" s="19"/>
      <c r="O625" s="19"/>
      <c r="P625" s="19"/>
      <c r="Q625" s="19"/>
      <c r="R625" s="19"/>
      <c r="S625" s="19"/>
      <c r="T625" s="19"/>
      <c r="U625" s="19"/>
      <c r="V625" s="19"/>
      <c r="W625" s="19"/>
      <c r="X625" s="19"/>
      <c r="Y625" s="19"/>
      <c r="Z625" t="str">
        <f>IF(Tabela1[[#This Row],[1]]&lt;&gt;"",IF(ISNUMBER(FIND(",",Tabela1[[#This Row],[1]])),LEN(Tabela1[[#This Row],[1]])-LEN(SUBSTITUTE(Tabela1[[#This Row],[1]],",",""))+1,1),"")</f>
        <v/>
      </c>
      <c r="AA625">
        <f>IF(Tabela1[[#This Row],[2]]&lt;&gt;"",IF(ISNUMBER(FIND(",",Tabela1[[#This Row],[2]])),LEN(Tabela1[[#This Row],[2]])-LEN(SUBSTITUTE(Tabela1[[#This Row],[2]],",",""))+1,1),"")</f>
        <v>1</v>
      </c>
      <c r="AB625" t="str">
        <f>IF(Tabela1[[#This Row],[3]]&lt;&gt;"",IF(ISNUMBER(FIND(",",Tabela1[[#This Row],[3]])),LEN(Tabela1[[#This Row],[3]])-LEN(SUBSTITUTE(Tabela1[[#This Row],[3]],",",""))+1,1),"")</f>
        <v/>
      </c>
      <c r="AC625">
        <f>IF(Tabela1[[#This Row],[4]]&lt;&gt;"",IF(ISNUMBER(FIND(",",Tabela1[[#This Row],[4]])),LEN(Tabela1[[#This Row],[4]])-LEN(SUBSTITUTE(Tabela1[[#This Row],[4]],",",""))+1,1),"")</f>
        <v>1</v>
      </c>
      <c r="AD625" t="str">
        <f>IF(Tabela1[[#This Row],[5]]&lt;&gt;"",IF(ISNUMBER(FIND(",",Tabela1[[#This Row],[5]])),LEN(Tabela1[[#This Row],[5]])-LEN(SUBSTITUTE(Tabela1[[#This Row],[5]],",",""))+1,1),"")</f>
        <v/>
      </c>
      <c r="AE625" t="str">
        <f>IF(Tabela1[[#This Row],[6]]&lt;&gt;"",IF(ISNUMBER(FIND(",",Tabela1[[#This Row],[6]])),LEN(Tabela1[[#This Row],[6]])-LEN(SUBSTITUTE(Tabela1[[#This Row],[6]],",",""))+1,1),"")</f>
        <v/>
      </c>
      <c r="AF625" t="str">
        <f>IF(Tabela1[[#This Row],[7]]&lt;&gt;"",IF(ISNUMBER(FIND(",",Tabela1[[#This Row],[7]])),LEN(Tabela1[[#This Row],[7]])-LEN(SUBSTITUTE(Tabela1[[#This Row],[7]],",",""))+1,1),"")</f>
        <v/>
      </c>
      <c r="AG625" t="str">
        <f>IF(Tabela1[[#This Row],[8]]&lt;&gt;"",IF(ISNUMBER(FIND(",",Tabela1[[#This Row],[8]])),LEN(Tabela1[[#This Row],[8]])-LEN(SUBSTITUTE(Tabela1[[#This Row],[8]],",",""))+1,1),"")</f>
        <v/>
      </c>
      <c r="AH625" t="str">
        <f>IF(Tabela1[[#This Row],[9]]&lt;&gt;"",IF(ISNUMBER(FIND(",",Tabela1[[#This Row],[9]])),LEN(Tabela1[[#This Row],[9]])-LEN(SUBSTITUTE(Tabela1[[#This Row],[9]],",",""))+1,1),"")</f>
        <v/>
      </c>
      <c r="AI625" t="str">
        <f>IF(Tabela1[[#This Row],[10]]&lt;&gt;"",IF(ISNUMBER(FIND(",",Tabela1[[#This Row],[10]])),LEN(Tabela1[[#This Row],[10]])-LEN(SUBSTITUTE(Tabela1[[#This Row],[10]],",",""))+1,1),"")</f>
        <v/>
      </c>
      <c r="AJ625" t="str">
        <f>IF(Tabela1[[#This Row],[11]]&lt;&gt;"",IF(ISNUMBER(FIND(",",Tabela1[[#This Row],[11]])),LEN(Tabela1[[#This Row],[11]])-LEN(SUBSTITUTE(Tabela1[[#This Row],[11]],",",""))+1,1),"")</f>
        <v/>
      </c>
      <c r="AK625" t="str">
        <f>IF(Tabela1[[#This Row],[12]]&lt;&gt;"",IF(ISNUMBER(FIND(",",Tabela1[[#This Row],[12]])),LEN(Tabela1[[#This Row],[12]])-LEN(SUBSTITUTE(Tabela1[[#This Row],[12]],",",""))+1,1),"")</f>
        <v/>
      </c>
      <c r="AL625" t="str">
        <f>IF(Tabela1[[#This Row],[13]]&lt;&gt;"",IF(ISNUMBER(FIND(",",Tabela1[[#This Row],[13]])),LEN(Tabela1[[#This Row],[13]])-LEN(SUBSTITUTE(Tabela1[[#This Row],[13]],",",""))+1,1),"")</f>
        <v/>
      </c>
      <c r="AM625" t="str">
        <f>IF(Tabela1[[#This Row],[14]]&lt;&gt;"",IF(ISNUMBER(FIND(",",Tabela1[[#This Row],[14]])),LEN(Tabela1[[#This Row],[14]])-LEN(SUBSTITUTE(Tabela1[[#This Row],[14]],",",""))+1,1),"")</f>
        <v/>
      </c>
      <c r="AN625" t="str">
        <f>IF(Tabela1[[#This Row],[15]]&lt;&gt;"",IF(ISNUMBER(FIND(",",Tabela1[[#This Row],[15]])),LEN(Tabela1[[#This Row],[15]])-LEN(SUBSTITUTE(Tabela1[[#This Row],[15]],",",""))+1,1),"")</f>
        <v/>
      </c>
      <c r="AO625" t="str">
        <f>IF(Tabela1[[#This Row],[16]]&lt;&gt;"",IF(ISNUMBER(FIND(",",Tabela1[[#This Row],[16]])),LEN(Tabela1[[#This Row],[16]])-LEN(SUBSTITUTE(Tabela1[[#This Row],[16]],",",""))+1,1),"")</f>
        <v/>
      </c>
      <c r="AP625" t="str">
        <f>IF(Tabela1[[#This Row],[17]]&lt;&gt;"",IF(ISNUMBER(FIND(",",Tabela1[[#This Row],[17]])),LEN(Tabela1[[#This Row],[17]])-LEN(SUBSTITUTE(Tabela1[[#This Row],[17]],",",""))+1,1),"")</f>
        <v/>
      </c>
      <c r="AQ625" t="str">
        <f>IF(Tabela1[[#This Row],[18]]&lt;&gt;"",IF(ISNUMBER(FIND(",",Tabela1[[#This Row],[18]])),LEN(Tabela1[[#This Row],[18]])-LEN(SUBSTITUTE(Tabela1[[#This Row],[18]],",",""))+1,1),"")</f>
        <v/>
      </c>
      <c r="AR625" s="13" t="str">
        <f>IF(Tabela1[[#This Row],[19_LENGTH]]&lt;&gt;"",IF(ISNUMBER(FIND(",",Tabela1[[#This Row],[19_LENGTH]])),LEN(Tabela1[[#This Row],[19_LENGTH]])-LEN(SUBSTITUTE(Tabela1[[#This Row],[19_LENGTH]],",",""))+1,1),"")</f>
        <v/>
      </c>
      <c r="AS625" s="21">
        <f>SUM(Tabela1[[#This Row],[1_]:[19_]])</f>
        <v>2</v>
      </c>
    </row>
    <row r="626" spans="1:45" x14ac:dyDescent="0.25">
      <c r="A626" s="27" t="s">
        <v>1325</v>
      </c>
      <c r="B626" s="19" t="s">
        <v>904</v>
      </c>
      <c r="C626" s="19">
        <v>202</v>
      </c>
      <c r="D626" s="19" t="s">
        <v>1315</v>
      </c>
      <c r="E626" s="20">
        <v>43546</v>
      </c>
      <c r="F626" s="19"/>
      <c r="G626" s="19"/>
      <c r="H626" s="19"/>
      <c r="I626" s="19"/>
      <c r="J626" s="19"/>
      <c r="K626" s="19">
        <v>58</v>
      </c>
      <c r="L626" s="19"/>
      <c r="M626" s="19"/>
      <c r="N626" s="19"/>
      <c r="O626" s="19"/>
      <c r="P626" s="19"/>
      <c r="Q626" s="19"/>
      <c r="R626" s="19"/>
      <c r="S626" s="19"/>
      <c r="T626" s="19"/>
      <c r="U626" s="19"/>
      <c r="V626" s="19"/>
      <c r="W626" s="19"/>
      <c r="X626" s="19"/>
      <c r="Y626" s="19"/>
      <c r="Z626" t="str">
        <f>IF(Tabela1[[#This Row],[1]]&lt;&gt;"",IF(ISNUMBER(FIND(",",Tabela1[[#This Row],[1]])),LEN(Tabela1[[#This Row],[1]])-LEN(SUBSTITUTE(Tabela1[[#This Row],[1]],",",""))+1,1),"")</f>
        <v/>
      </c>
      <c r="AA626" t="str">
        <f>IF(Tabela1[[#This Row],[2]]&lt;&gt;"",IF(ISNUMBER(FIND(",",Tabela1[[#This Row],[2]])),LEN(Tabela1[[#This Row],[2]])-LEN(SUBSTITUTE(Tabela1[[#This Row],[2]],",",""))+1,1),"")</f>
        <v/>
      </c>
      <c r="AB626" t="str">
        <f>IF(Tabela1[[#This Row],[3]]&lt;&gt;"",IF(ISNUMBER(FIND(",",Tabela1[[#This Row],[3]])),LEN(Tabela1[[#This Row],[3]])-LEN(SUBSTITUTE(Tabela1[[#This Row],[3]],",",""))+1,1),"")</f>
        <v/>
      </c>
      <c r="AC626" t="str">
        <f>IF(Tabela1[[#This Row],[4]]&lt;&gt;"",IF(ISNUMBER(FIND(",",Tabela1[[#This Row],[4]])),LEN(Tabela1[[#This Row],[4]])-LEN(SUBSTITUTE(Tabela1[[#This Row],[4]],",",""))+1,1),"")</f>
        <v/>
      </c>
      <c r="AD626" t="str">
        <f>IF(Tabela1[[#This Row],[5]]&lt;&gt;"",IF(ISNUMBER(FIND(",",Tabela1[[#This Row],[5]])),LEN(Tabela1[[#This Row],[5]])-LEN(SUBSTITUTE(Tabela1[[#This Row],[5]],",",""))+1,1),"")</f>
        <v/>
      </c>
      <c r="AE626">
        <f>IF(Tabela1[[#This Row],[6]]&lt;&gt;"",IF(ISNUMBER(FIND(",",Tabela1[[#This Row],[6]])),LEN(Tabela1[[#This Row],[6]])-LEN(SUBSTITUTE(Tabela1[[#This Row],[6]],",",""))+1,1),"")</f>
        <v>1</v>
      </c>
      <c r="AF626" t="str">
        <f>IF(Tabela1[[#This Row],[7]]&lt;&gt;"",IF(ISNUMBER(FIND(",",Tabela1[[#This Row],[7]])),LEN(Tabela1[[#This Row],[7]])-LEN(SUBSTITUTE(Tabela1[[#This Row],[7]],",",""))+1,1),"")</f>
        <v/>
      </c>
      <c r="AG626" t="str">
        <f>IF(Tabela1[[#This Row],[8]]&lt;&gt;"",IF(ISNUMBER(FIND(",",Tabela1[[#This Row],[8]])),LEN(Tabela1[[#This Row],[8]])-LEN(SUBSTITUTE(Tabela1[[#This Row],[8]],",",""))+1,1),"")</f>
        <v/>
      </c>
      <c r="AH626" t="str">
        <f>IF(Tabela1[[#This Row],[9]]&lt;&gt;"",IF(ISNUMBER(FIND(",",Tabela1[[#This Row],[9]])),LEN(Tabela1[[#This Row],[9]])-LEN(SUBSTITUTE(Tabela1[[#This Row],[9]],",",""))+1,1),"")</f>
        <v/>
      </c>
      <c r="AI626" t="str">
        <f>IF(Tabela1[[#This Row],[10]]&lt;&gt;"",IF(ISNUMBER(FIND(",",Tabela1[[#This Row],[10]])),LEN(Tabela1[[#This Row],[10]])-LEN(SUBSTITUTE(Tabela1[[#This Row],[10]],",",""))+1,1),"")</f>
        <v/>
      </c>
      <c r="AJ626" t="str">
        <f>IF(Tabela1[[#This Row],[11]]&lt;&gt;"",IF(ISNUMBER(FIND(",",Tabela1[[#This Row],[11]])),LEN(Tabela1[[#This Row],[11]])-LEN(SUBSTITUTE(Tabela1[[#This Row],[11]],",",""))+1,1),"")</f>
        <v/>
      </c>
      <c r="AK626" t="str">
        <f>IF(Tabela1[[#This Row],[12]]&lt;&gt;"",IF(ISNUMBER(FIND(",",Tabela1[[#This Row],[12]])),LEN(Tabela1[[#This Row],[12]])-LEN(SUBSTITUTE(Tabela1[[#This Row],[12]],",",""))+1,1),"")</f>
        <v/>
      </c>
      <c r="AL626" t="str">
        <f>IF(Tabela1[[#This Row],[13]]&lt;&gt;"",IF(ISNUMBER(FIND(",",Tabela1[[#This Row],[13]])),LEN(Tabela1[[#This Row],[13]])-LEN(SUBSTITUTE(Tabela1[[#This Row],[13]],",",""))+1,1),"")</f>
        <v/>
      </c>
      <c r="AM626" t="str">
        <f>IF(Tabela1[[#This Row],[14]]&lt;&gt;"",IF(ISNUMBER(FIND(",",Tabela1[[#This Row],[14]])),LEN(Tabela1[[#This Row],[14]])-LEN(SUBSTITUTE(Tabela1[[#This Row],[14]],",",""))+1,1),"")</f>
        <v/>
      </c>
      <c r="AN626" t="str">
        <f>IF(Tabela1[[#This Row],[15]]&lt;&gt;"",IF(ISNUMBER(FIND(",",Tabela1[[#This Row],[15]])),LEN(Tabela1[[#This Row],[15]])-LEN(SUBSTITUTE(Tabela1[[#This Row],[15]],",",""))+1,1),"")</f>
        <v/>
      </c>
      <c r="AO626" t="str">
        <f>IF(Tabela1[[#This Row],[16]]&lt;&gt;"",IF(ISNUMBER(FIND(",",Tabela1[[#This Row],[16]])),LEN(Tabela1[[#This Row],[16]])-LEN(SUBSTITUTE(Tabela1[[#This Row],[16]],",",""))+1,1),"")</f>
        <v/>
      </c>
      <c r="AP626" t="str">
        <f>IF(Tabela1[[#This Row],[17]]&lt;&gt;"",IF(ISNUMBER(FIND(",",Tabela1[[#This Row],[17]])),LEN(Tabela1[[#This Row],[17]])-LEN(SUBSTITUTE(Tabela1[[#This Row],[17]],",",""))+1,1),"")</f>
        <v/>
      </c>
      <c r="AQ626" t="str">
        <f>IF(Tabela1[[#This Row],[18]]&lt;&gt;"",IF(ISNUMBER(FIND(",",Tabela1[[#This Row],[18]])),LEN(Tabela1[[#This Row],[18]])-LEN(SUBSTITUTE(Tabela1[[#This Row],[18]],",",""))+1,1),"")</f>
        <v/>
      </c>
      <c r="AR626" s="13" t="str">
        <f>IF(Tabela1[[#This Row],[19_LENGTH]]&lt;&gt;"",IF(ISNUMBER(FIND(",",Tabela1[[#This Row],[19_LENGTH]])),LEN(Tabela1[[#This Row],[19_LENGTH]])-LEN(SUBSTITUTE(Tabela1[[#This Row],[19_LENGTH]],",",""))+1,1),"")</f>
        <v/>
      </c>
      <c r="AS626" s="21">
        <f>SUM(Tabela1[[#This Row],[1_]:[19_]])</f>
        <v>1</v>
      </c>
    </row>
    <row r="627" spans="1:45" x14ac:dyDescent="0.25">
      <c r="A627" s="27" t="s">
        <v>1325</v>
      </c>
      <c r="B627" s="19" t="s">
        <v>905</v>
      </c>
      <c r="C627" s="19">
        <v>202</v>
      </c>
      <c r="D627" s="19" t="s">
        <v>1315</v>
      </c>
      <c r="E627" s="20">
        <v>43546</v>
      </c>
      <c r="F627" s="19"/>
      <c r="G627" s="19"/>
      <c r="H627" s="19"/>
      <c r="I627" s="19"/>
      <c r="J627" s="19"/>
      <c r="K627" s="19">
        <v>7</v>
      </c>
      <c r="L627" s="19"/>
      <c r="M627" s="19"/>
      <c r="N627" s="19"/>
      <c r="O627" s="19"/>
      <c r="P627" s="19"/>
      <c r="Q627" s="19"/>
      <c r="R627" s="19"/>
      <c r="S627" s="19"/>
      <c r="T627" s="19"/>
      <c r="U627" s="19"/>
      <c r="V627" s="19"/>
      <c r="W627" s="19"/>
      <c r="X627" s="19"/>
      <c r="Y627" s="19"/>
      <c r="Z627" t="str">
        <f>IF(Tabela1[[#This Row],[1]]&lt;&gt;"",IF(ISNUMBER(FIND(",",Tabela1[[#This Row],[1]])),LEN(Tabela1[[#This Row],[1]])-LEN(SUBSTITUTE(Tabela1[[#This Row],[1]],",",""))+1,1),"")</f>
        <v/>
      </c>
      <c r="AA627" t="str">
        <f>IF(Tabela1[[#This Row],[2]]&lt;&gt;"",IF(ISNUMBER(FIND(",",Tabela1[[#This Row],[2]])),LEN(Tabela1[[#This Row],[2]])-LEN(SUBSTITUTE(Tabela1[[#This Row],[2]],",",""))+1,1),"")</f>
        <v/>
      </c>
      <c r="AB627" t="str">
        <f>IF(Tabela1[[#This Row],[3]]&lt;&gt;"",IF(ISNUMBER(FIND(",",Tabela1[[#This Row],[3]])),LEN(Tabela1[[#This Row],[3]])-LEN(SUBSTITUTE(Tabela1[[#This Row],[3]],",",""))+1,1),"")</f>
        <v/>
      </c>
      <c r="AC627" t="str">
        <f>IF(Tabela1[[#This Row],[4]]&lt;&gt;"",IF(ISNUMBER(FIND(",",Tabela1[[#This Row],[4]])),LEN(Tabela1[[#This Row],[4]])-LEN(SUBSTITUTE(Tabela1[[#This Row],[4]],",",""))+1,1),"")</f>
        <v/>
      </c>
      <c r="AD627" t="str">
        <f>IF(Tabela1[[#This Row],[5]]&lt;&gt;"",IF(ISNUMBER(FIND(",",Tabela1[[#This Row],[5]])),LEN(Tabela1[[#This Row],[5]])-LEN(SUBSTITUTE(Tabela1[[#This Row],[5]],",",""))+1,1),"")</f>
        <v/>
      </c>
      <c r="AE627">
        <f>IF(Tabela1[[#This Row],[6]]&lt;&gt;"",IF(ISNUMBER(FIND(",",Tabela1[[#This Row],[6]])),LEN(Tabela1[[#This Row],[6]])-LEN(SUBSTITUTE(Tabela1[[#This Row],[6]],",",""))+1,1),"")</f>
        <v>1</v>
      </c>
      <c r="AF627" t="str">
        <f>IF(Tabela1[[#This Row],[7]]&lt;&gt;"",IF(ISNUMBER(FIND(",",Tabela1[[#This Row],[7]])),LEN(Tabela1[[#This Row],[7]])-LEN(SUBSTITUTE(Tabela1[[#This Row],[7]],",",""))+1,1),"")</f>
        <v/>
      </c>
      <c r="AG627" t="str">
        <f>IF(Tabela1[[#This Row],[8]]&lt;&gt;"",IF(ISNUMBER(FIND(",",Tabela1[[#This Row],[8]])),LEN(Tabela1[[#This Row],[8]])-LEN(SUBSTITUTE(Tabela1[[#This Row],[8]],",",""))+1,1),"")</f>
        <v/>
      </c>
      <c r="AH627" t="str">
        <f>IF(Tabela1[[#This Row],[9]]&lt;&gt;"",IF(ISNUMBER(FIND(",",Tabela1[[#This Row],[9]])),LEN(Tabela1[[#This Row],[9]])-LEN(SUBSTITUTE(Tabela1[[#This Row],[9]],",",""))+1,1),"")</f>
        <v/>
      </c>
      <c r="AI627" t="str">
        <f>IF(Tabela1[[#This Row],[10]]&lt;&gt;"",IF(ISNUMBER(FIND(",",Tabela1[[#This Row],[10]])),LEN(Tabela1[[#This Row],[10]])-LEN(SUBSTITUTE(Tabela1[[#This Row],[10]],",",""))+1,1),"")</f>
        <v/>
      </c>
      <c r="AJ627" t="str">
        <f>IF(Tabela1[[#This Row],[11]]&lt;&gt;"",IF(ISNUMBER(FIND(",",Tabela1[[#This Row],[11]])),LEN(Tabela1[[#This Row],[11]])-LEN(SUBSTITUTE(Tabela1[[#This Row],[11]],",",""))+1,1),"")</f>
        <v/>
      </c>
      <c r="AK627" t="str">
        <f>IF(Tabela1[[#This Row],[12]]&lt;&gt;"",IF(ISNUMBER(FIND(",",Tabela1[[#This Row],[12]])),LEN(Tabela1[[#This Row],[12]])-LEN(SUBSTITUTE(Tabela1[[#This Row],[12]],",",""))+1,1),"")</f>
        <v/>
      </c>
      <c r="AL627" t="str">
        <f>IF(Tabela1[[#This Row],[13]]&lt;&gt;"",IF(ISNUMBER(FIND(",",Tabela1[[#This Row],[13]])),LEN(Tabela1[[#This Row],[13]])-LEN(SUBSTITUTE(Tabela1[[#This Row],[13]],",",""))+1,1),"")</f>
        <v/>
      </c>
      <c r="AM627" t="str">
        <f>IF(Tabela1[[#This Row],[14]]&lt;&gt;"",IF(ISNUMBER(FIND(",",Tabela1[[#This Row],[14]])),LEN(Tabela1[[#This Row],[14]])-LEN(SUBSTITUTE(Tabela1[[#This Row],[14]],",",""))+1,1),"")</f>
        <v/>
      </c>
      <c r="AN627" t="str">
        <f>IF(Tabela1[[#This Row],[15]]&lt;&gt;"",IF(ISNUMBER(FIND(",",Tabela1[[#This Row],[15]])),LEN(Tabela1[[#This Row],[15]])-LEN(SUBSTITUTE(Tabela1[[#This Row],[15]],",",""))+1,1),"")</f>
        <v/>
      </c>
      <c r="AO627" t="str">
        <f>IF(Tabela1[[#This Row],[16]]&lt;&gt;"",IF(ISNUMBER(FIND(",",Tabela1[[#This Row],[16]])),LEN(Tabela1[[#This Row],[16]])-LEN(SUBSTITUTE(Tabela1[[#This Row],[16]],",",""))+1,1),"")</f>
        <v/>
      </c>
      <c r="AP627" t="str">
        <f>IF(Tabela1[[#This Row],[17]]&lt;&gt;"",IF(ISNUMBER(FIND(",",Tabela1[[#This Row],[17]])),LEN(Tabela1[[#This Row],[17]])-LEN(SUBSTITUTE(Tabela1[[#This Row],[17]],",",""))+1,1),"")</f>
        <v/>
      </c>
      <c r="AQ627" t="str">
        <f>IF(Tabela1[[#This Row],[18]]&lt;&gt;"",IF(ISNUMBER(FIND(",",Tabela1[[#This Row],[18]])),LEN(Tabela1[[#This Row],[18]])-LEN(SUBSTITUTE(Tabela1[[#This Row],[18]],",",""))+1,1),"")</f>
        <v/>
      </c>
      <c r="AR627" s="13" t="str">
        <f>IF(Tabela1[[#This Row],[19_LENGTH]]&lt;&gt;"",IF(ISNUMBER(FIND(",",Tabela1[[#This Row],[19_LENGTH]])),LEN(Tabela1[[#This Row],[19_LENGTH]])-LEN(SUBSTITUTE(Tabela1[[#This Row],[19_LENGTH]],",",""))+1,1),"")</f>
        <v/>
      </c>
      <c r="AS627" s="21">
        <f>SUM(Tabela1[[#This Row],[1_]:[19_]])</f>
        <v>1</v>
      </c>
    </row>
    <row r="628" spans="1:45" x14ac:dyDescent="0.25">
      <c r="A628" s="27" t="s">
        <v>1328</v>
      </c>
      <c r="B628" s="19" t="s">
        <v>906</v>
      </c>
      <c r="C628" s="19">
        <v>102</v>
      </c>
      <c r="D628" s="19" t="s">
        <v>1293</v>
      </c>
      <c r="E628" s="20">
        <v>43546</v>
      </c>
      <c r="F628" s="19"/>
      <c r="G628" s="19"/>
      <c r="H628" s="19"/>
      <c r="I628" s="19"/>
      <c r="J628" s="19" t="s">
        <v>233</v>
      </c>
      <c r="K628" s="19"/>
      <c r="L628" s="19"/>
      <c r="M628" s="19"/>
      <c r="N628" s="19"/>
      <c r="O628" s="19"/>
      <c r="P628" s="19"/>
      <c r="Q628" s="19"/>
      <c r="R628" s="19"/>
      <c r="S628" s="19"/>
      <c r="T628" s="19"/>
      <c r="U628" s="19"/>
      <c r="V628" s="19"/>
      <c r="W628" s="19"/>
      <c r="X628" s="19"/>
      <c r="Y628" s="19"/>
      <c r="Z628" t="str">
        <f>IF(Tabela1[[#This Row],[1]]&lt;&gt;"",IF(ISNUMBER(FIND(",",Tabela1[[#This Row],[1]])),LEN(Tabela1[[#This Row],[1]])-LEN(SUBSTITUTE(Tabela1[[#This Row],[1]],",",""))+1,1),"")</f>
        <v/>
      </c>
      <c r="AA628" t="str">
        <f>IF(Tabela1[[#This Row],[2]]&lt;&gt;"",IF(ISNUMBER(FIND(",",Tabela1[[#This Row],[2]])),LEN(Tabela1[[#This Row],[2]])-LEN(SUBSTITUTE(Tabela1[[#This Row],[2]],",",""))+1,1),"")</f>
        <v/>
      </c>
      <c r="AB628" t="str">
        <f>IF(Tabela1[[#This Row],[3]]&lt;&gt;"",IF(ISNUMBER(FIND(",",Tabela1[[#This Row],[3]])),LEN(Tabela1[[#This Row],[3]])-LEN(SUBSTITUTE(Tabela1[[#This Row],[3]],",",""))+1,1),"")</f>
        <v/>
      </c>
      <c r="AC628" t="str">
        <f>IF(Tabela1[[#This Row],[4]]&lt;&gt;"",IF(ISNUMBER(FIND(",",Tabela1[[#This Row],[4]])),LEN(Tabela1[[#This Row],[4]])-LEN(SUBSTITUTE(Tabela1[[#This Row],[4]],",",""))+1,1),"")</f>
        <v/>
      </c>
      <c r="AD628">
        <f>IF(Tabela1[[#This Row],[5]]&lt;&gt;"",IF(ISNUMBER(FIND(",",Tabela1[[#This Row],[5]])),LEN(Tabela1[[#This Row],[5]])-LEN(SUBSTITUTE(Tabela1[[#This Row],[5]],",",""))+1,1),"")</f>
        <v>1</v>
      </c>
      <c r="AE628" t="str">
        <f>IF(Tabela1[[#This Row],[6]]&lt;&gt;"",IF(ISNUMBER(FIND(",",Tabela1[[#This Row],[6]])),LEN(Tabela1[[#This Row],[6]])-LEN(SUBSTITUTE(Tabela1[[#This Row],[6]],",",""))+1,1),"")</f>
        <v/>
      </c>
      <c r="AF628" t="str">
        <f>IF(Tabela1[[#This Row],[7]]&lt;&gt;"",IF(ISNUMBER(FIND(",",Tabela1[[#This Row],[7]])),LEN(Tabela1[[#This Row],[7]])-LEN(SUBSTITUTE(Tabela1[[#This Row],[7]],",",""))+1,1),"")</f>
        <v/>
      </c>
      <c r="AG628" t="str">
        <f>IF(Tabela1[[#This Row],[8]]&lt;&gt;"",IF(ISNUMBER(FIND(",",Tabela1[[#This Row],[8]])),LEN(Tabela1[[#This Row],[8]])-LEN(SUBSTITUTE(Tabela1[[#This Row],[8]],",",""))+1,1),"")</f>
        <v/>
      </c>
      <c r="AH628" t="str">
        <f>IF(Tabela1[[#This Row],[9]]&lt;&gt;"",IF(ISNUMBER(FIND(",",Tabela1[[#This Row],[9]])),LEN(Tabela1[[#This Row],[9]])-LEN(SUBSTITUTE(Tabela1[[#This Row],[9]],",",""))+1,1),"")</f>
        <v/>
      </c>
      <c r="AI628" t="str">
        <f>IF(Tabela1[[#This Row],[10]]&lt;&gt;"",IF(ISNUMBER(FIND(",",Tabela1[[#This Row],[10]])),LEN(Tabela1[[#This Row],[10]])-LEN(SUBSTITUTE(Tabela1[[#This Row],[10]],",",""))+1,1),"")</f>
        <v/>
      </c>
      <c r="AJ628" t="str">
        <f>IF(Tabela1[[#This Row],[11]]&lt;&gt;"",IF(ISNUMBER(FIND(",",Tabela1[[#This Row],[11]])),LEN(Tabela1[[#This Row],[11]])-LEN(SUBSTITUTE(Tabela1[[#This Row],[11]],",",""))+1,1),"")</f>
        <v/>
      </c>
      <c r="AK628" t="str">
        <f>IF(Tabela1[[#This Row],[12]]&lt;&gt;"",IF(ISNUMBER(FIND(",",Tabela1[[#This Row],[12]])),LEN(Tabela1[[#This Row],[12]])-LEN(SUBSTITUTE(Tabela1[[#This Row],[12]],",",""))+1,1),"")</f>
        <v/>
      </c>
      <c r="AL628" t="str">
        <f>IF(Tabela1[[#This Row],[13]]&lt;&gt;"",IF(ISNUMBER(FIND(",",Tabela1[[#This Row],[13]])),LEN(Tabela1[[#This Row],[13]])-LEN(SUBSTITUTE(Tabela1[[#This Row],[13]],",",""))+1,1),"")</f>
        <v/>
      </c>
      <c r="AM628" t="str">
        <f>IF(Tabela1[[#This Row],[14]]&lt;&gt;"",IF(ISNUMBER(FIND(",",Tabela1[[#This Row],[14]])),LEN(Tabela1[[#This Row],[14]])-LEN(SUBSTITUTE(Tabela1[[#This Row],[14]],",",""))+1,1),"")</f>
        <v/>
      </c>
      <c r="AN628" t="str">
        <f>IF(Tabela1[[#This Row],[15]]&lt;&gt;"",IF(ISNUMBER(FIND(",",Tabela1[[#This Row],[15]])),LEN(Tabela1[[#This Row],[15]])-LEN(SUBSTITUTE(Tabela1[[#This Row],[15]],",",""))+1,1),"")</f>
        <v/>
      </c>
      <c r="AO628" t="str">
        <f>IF(Tabela1[[#This Row],[16]]&lt;&gt;"",IF(ISNUMBER(FIND(",",Tabela1[[#This Row],[16]])),LEN(Tabela1[[#This Row],[16]])-LEN(SUBSTITUTE(Tabela1[[#This Row],[16]],",",""))+1,1),"")</f>
        <v/>
      </c>
      <c r="AP628" t="str">
        <f>IF(Tabela1[[#This Row],[17]]&lt;&gt;"",IF(ISNUMBER(FIND(",",Tabela1[[#This Row],[17]])),LEN(Tabela1[[#This Row],[17]])-LEN(SUBSTITUTE(Tabela1[[#This Row],[17]],",",""))+1,1),"")</f>
        <v/>
      </c>
      <c r="AQ628" t="str">
        <f>IF(Tabela1[[#This Row],[18]]&lt;&gt;"",IF(ISNUMBER(FIND(",",Tabela1[[#This Row],[18]])),LEN(Tabela1[[#This Row],[18]])-LEN(SUBSTITUTE(Tabela1[[#This Row],[18]],",",""))+1,1),"")</f>
        <v/>
      </c>
      <c r="AR628" s="13" t="str">
        <f>IF(Tabela1[[#This Row],[19_LENGTH]]&lt;&gt;"",IF(ISNUMBER(FIND(",",Tabela1[[#This Row],[19_LENGTH]])),LEN(Tabela1[[#This Row],[19_LENGTH]])-LEN(SUBSTITUTE(Tabela1[[#This Row],[19_LENGTH]],",",""))+1,1),"")</f>
        <v/>
      </c>
      <c r="AS628" s="21">
        <f>SUM(Tabela1[[#This Row],[1_]:[19_]])</f>
        <v>1</v>
      </c>
    </row>
    <row r="629" spans="1:45" x14ac:dyDescent="0.25">
      <c r="A629" s="27" t="s">
        <v>1328</v>
      </c>
      <c r="B629" s="19" t="s">
        <v>907</v>
      </c>
      <c r="C629" s="19">
        <v>102</v>
      </c>
      <c r="D629" s="19" t="s">
        <v>1293</v>
      </c>
      <c r="E629" s="20">
        <v>43546</v>
      </c>
      <c r="F629" s="19"/>
      <c r="G629" s="19"/>
      <c r="H629" s="19"/>
      <c r="I629" s="19"/>
      <c r="J629" s="19"/>
      <c r="K629" s="19">
        <v>18</v>
      </c>
      <c r="L629" s="19"/>
      <c r="M629" s="19"/>
      <c r="N629" s="19"/>
      <c r="O629" s="19"/>
      <c r="P629" s="19"/>
      <c r="Q629" s="19"/>
      <c r="R629" s="19"/>
      <c r="S629" s="19"/>
      <c r="T629" s="19"/>
      <c r="U629" s="19"/>
      <c r="V629" s="19"/>
      <c r="W629" s="19">
        <v>26</v>
      </c>
      <c r="X629" s="19"/>
      <c r="Y629" s="19"/>
      <c r="Z629" t="str">
        <f>IF(Tabela1[[#This Row],[1]]&lt;&gt;"",IF(ISNUMBER(FIND(",",Tabela1[[#This Row],[1]])),LEN(Tabela1[[#This Row],[1]])-LEN(SUBSTITUTE(Tabela1[[#This Row],[1]],",",""))+1,1),"")</f>
        <v/>
      </c>
      <c r="AA629" t="str">
        <f>IF(Tabela1[[#This Row],[2]]&lt;&gt;"",IF(ISNUMBER(FIND(",",Tabela1[[#This Row],[2]])),LEN(Tabela1[[#This Row],[2]])-LEN(SUBSTITUTE(Tabela1[[#This Row],[2]],",",""))+1,1),"")</f>
        <v/>
      </c>
      <c r="AB629" t="str">
        <f>IF(Tabela1[[#This Row],[3]]&lt;&gt;"",IF(ISNUMBER(FIND(",",Tabela1[[#This Row],[3]])),LEN(Tabela1[[#This Row],[3]])-LEN(SUBSTITUTE(Tabela1[[#This Row],[3]],",",""))+1,1),"")</f>
        <v/>
      </c>
      <c r="AC629" t="str">
        <f>IF(Tabela1[[#This Row],[4]]&lt;&gt;"",IF(ISNUMBER(FIND(",",Tabela1[[#This Row],[4]])),LEN(Tabela1[[#This Row],[4]])-LEN(SUBSTITUTE(Tabela1[[#This Row],[4]],",",""))+1,1),"")</f>
        <v/>
      </c>
      <c r="AD629" t="str">
        <f>IF(Tabela1[[#This Row],[5]]&lt;&gt;"",IF(ISNUMBER(FIND(",",Tabela1[[#This Row],[5]])),LEN(Tabela1[[#This Row],[5]])-LEN(SUBSTITUTE(Tabela1[[#This Row],[5]],",",""))+1,1),"")</f>
        <v/>
      </c>
      <c r="AE629">
        <f>IF(Tabela1[[#This Row],[6]]&lt;&gt;"",IF(ISNUMBER(FIND(",",Tabela1[[#This Row],[6]])),LEN(Tabela1[[#This Row],[6]])-LEN(SUBSTITUTE(Tabela1[[#This Row],[6]],",",""))+1,1),"")</f>
        <v>1</v>
      </c>
      <c r="AF629" t="str">
        <f>IF(Tabela1[[#This Row],[7]]&lt;&gt;"",IF(ISNUMBER(FIND(",",Tabela1[[#This Row],[7]])),LEN(Tabela1[[#This Row],[7]])-LEN(SUBSTITUTE(Tabela1[[#This Row],[7]],",",""))+1,1),"")</f>
        <v/>
      </c>
      <c r="AG629" t="str">
        <f>IF(Tabela1[[#This Row],[8]]&lt;&gt;"",IF(ISNUMBER(FIND(",",Tabela1[[#This Row],[8]])),LEN(Tabela1[[#This Row],[8]])-LEN(SUBSTITUTE(Tabela1[[#This Row],[8]],",",""))+1,1),"")</f>
        <v/>
      </c>
      <c r="AH629" t="str">
        <f>IF(Tabela1[[#This Row],[9]]&lt;&gt;"",IF(ISNUMBER(FIND(",",Tabela1[[#This Row],[9]])),LEN(Tabela1[[#This Row],[9]])-LEN(SUBSTITUTE(Tabela1[[#This Row],[9]],",",""))+1,1),"")</f>
        <v/>
      </c>
      <c r="AI629" t="str">
        <f>IF(Tabela1[[#This Row],[10]]&lt;&gt;"",IF(ISNUMBER(FIND(",",Tabela1[[#This Row],[10]])),LEN(Tabela1[[#This Row],[10]])-LEN(SUBSTITUTE(Tabela1[[#This Row],[10]],",",""))+1,1),"")</f>
        <v/>
      </c>
      <c r="AJ629" t="str">
        <f>IF(Tabela1[[#This Row],[11]]&lt;&gt;"",IF(ISNUMBER(FIND(",",Tabela1[[#This Row],[11]])),LEN(Tabela1[[#This Row],[11]])-LEN(SUBSTITUTE(Tabela1[[#This Row],[11]],",",""))+1,1),"")</f>
        <v/>
      </c>
      <c r="AK629" t="str">
        <f>IF(Tabela1[[#This Row],[12]]&lt;&gt;"",IF(ISNUMBER(FIND(",",Tabela1[[#This Row],[12]])),LEN(Tabela1[[#This Row],[12]])-LEN(SUBSTITUTE(Tabela1[[#This Row],[12]],",",""))+1,1),"")</f>
        <v/>
      </c>
      <c r="AL629" t="str">
        <f>IF(Tabela1[[#This Row],[13]]&lt;&gt;"",IF(ISNUMBER(FIND(",",Tabela1[[#This Row],[13]])),LEN(Tabela1[[#This Row],[13]])-LEN(SUBSTITUTE(Tabela1[[#This Row],[13]],",",""))+1,1),"")</f>
        <v/>
      </c>
      <c r="AM629" t="str">
        <f>IF(Tabela1[[#This Row],[14]]&lt;&gt;"",IF(ISNUMBER(FIND(",",Tabela1[[#This Row],[14]])),LEN(Tabela1[[#This Row],[14]])-LEN(SUBSTITUTE(Tabela1[[#This Row],[14]],",",""))+1,1),"")</f>
        <v/>
      </c>
      <c r="AN629" t="str">
        <f>IF(Tabela1[[#This Row],[15]]&lt;&gt;"",IF(ISNUMBER(FIND(",",Tabela1[[#This Row],[15]])),LEN(Tabela1[[#This Row],[15]])-LEN(SUBSTITUTE(Tabela1[[#This Row],[15]],",",""))+1,1),"")</f>
        <v/>
      </c>
      <c r="AO629" t="str">
        <f>IF(Tabela1[[#This Row],[16]]&lt;&gt;"",IF(ISNUMBER(FIND(",",Tabela1[[#This Row],[16]])),LEN(Tabela1[[#This Row],[16]])-LEN(SUBSTITUTE(Tabela1[[#This Row],[16]],",",""))+1,1),"")</f>
        <v/>
      </c>
      <c r="AP629" t="str">
        <f>IF(Tabela1[[#This Row],[17]]&lt;&gt;"",IF(ISNUMBER(FIND(",",Tabela1[[#This Row],[17]])),LEN(Tabela1[[#This Row],[17]])-LEN(SUBSTITUTE(Tabela1[[#This Row],[17]],",",""))+1,1),"")</f>
        <v/>
      </c>
      <c r="AQ629">
        <f>IF(Tabela1[[#This Row],[18]]&lt;&gt;"",IF(ISNUMBER(FIND(",",Tabela1[[#This Row],[18]])),LEN(Tabela1[[#This Row],[18]])-LEN(SUBSTITUTE(Tabela1[[#This Row],[18]],",",""))+1,1),"")</f>
        <v>1</v>
      </c>
      <c r="AR629" s="13" t="str">
        <f>IF(Tabela1[[#This Row],[19_LENGTH]]&lt;&gt;"",IF(ISNUMBER(FIND(",",Tabela1[[#This Row],[19_LENGTH]])),LEN(Tabela1[[#This Row],[19_LENGTH]])-LEN(SUBSTITUTE(Tabela1[[#This Row],[19_LENGTH]],",",""))+1,1),"")</f>
        <v/>
      </c>
      <c r="AS629" s="21">
        <f>SUM(Tabela1[[#This Row],[1_]:[19_]])</f>
        <v>2</v>
      </c>
    </row>
    <row r="630" spans="1:45" x14ac:dyDescent="0.25">
      <c r="A630" s="27" t="s">
        <v>1328</v>
      </c>
      <c r="B630" s="19" t="s">
        <v>908</v>
      </c>
      <c r="C630" s="19">
        <v>102</v>
      </c>
      <c r="D630" s="19" t="s">
        <v>1293</v>
      </c>
      <c r="E630" s="20">
        <v>43546</v>
      </c>
      <c r="F630" s="19"/>
      <c r="G630" s="19"/>
      <c r="H630" s="19">
        <v>17</v>
      </c>
      <c r="I630" s="19"/>
      <c r="J630" s="19"/>
      <c r="K630" s="19"/>
      <c r="L630" s="19"/>
      <c r="M630" s="19"/>
      <c r="N630" s="19"/>
      <c r="O630" s="19"/>
      <c r="P630" s="19"/>
      <c r="Q630" s="19"/>
      <c r="R630" s="19"/>
      <c r="S630" s="19"/>
      <c r="T630" s="19"/>
      <c r="U630" s="19"/>
      <c r="V630" s="19"/>
      <c r="W630" s="19"/>
      <c r="X630" s="19"/>
      <c r="Y630" s="19"/>
      <c r="Z630" t="str">
        <f>IF(Tabela1[[#This Row],[1]]&lt;&gt;"",IF(ISNUMBER(FIND(",",Tabela1[[#This Row],[1]])),LEN(Tabela1[[#This Row],[1]])-LEN(SUBSTITUTE(Tabela1[[#This Row],[1]],",",""))+1,1),"")</f>
        <v/>
      </c>
      <c r="AA630" t="str">
        <f>IF(Tabela1[[#This Row],[2]]&lt;&gt;"",IF(ISNUMBER(FIND(",",Tabela1[[#This Row],[2]])),LEN(Tabela1[[#This Row],[2]])-LEN(SUBSTITUTE(Tabela1[[#This Row],[2]],",",""))+1,1),"")</f>
        <v/>
      </c>
      <c r="AB630">
        <f>IF(Tabela1[[#This Row],[3]]&lt;&gt;"",IF(ISNUMBER(FIND(",",Tabela1[[#This Row],[3]])),LEN(Tabela1[[#This Row],[3]])-LEN(SUBSTITUTE(Tabela1[[#This Row],[3]],",",""))+1,1),"")</f>
        <v>1</v>
      </c>
      <c r="AC630" t="str">
        <f>IF(Tabela1[[#This Row],[4]]&lt;&gt;"",IF(ISNUMBER(FIND(",",Tabela1[[#This Row],[4]])),LEN(Tabela1[[#This Row],[4]])-LEN(SUBSTITUTE(Tabela1[[#This Row],[4]],",",""))+1,1),"")</f>
        <v/>
      </c>
      <c r="AD630" t="str">
        <f>IF(Tabela1[[#This Row],[5]]&lt;&gt;"",IF(ISNUMBER(FIND(",",Tabela1[[#This Row],[5]])),LEN(Tabela1[[#This Row],[5]])-LEN(SUBSTITUTE(Tabela1[[#This Row],[5]],",",""))+1,1),"")</f>
        <v/>
      </c>
      <c r="AE630" t="str">
        <f>IF(Tabela1[[#This Row],[6]]&lt;&gt;"",IF(ISNUMBER(FIND(",",Tabela1[[#This Row],[6]])),LEN(Tabela1[[#This Row],[6]])-LEN(SUBSTITUTE(Tabela1[[#This Row],[6]],",",""))+1,1),"")</f>
        <v/>
      </c>
      <c r="AF630" t="str">
        <f>IF(Tabela1[[#This Row],[7]]&lt;&gt;"",IF(ISNUMBER(FIND(",",Tabela1[[#This Row],[7]])),LEN(Tabela1[[#This Row],[7]])-LEN(SUBSTITUTE(Tabela1[[#This Row],[7]],",",""))+1,1),"")</f>
        <v/>
      </c>
      <c r="AG630" t="str">
        <f>IF(Tabela1[[#This Row],[8]]&lt;&gt;"",IF(ISNUMBER(FIND(",",Tabela1[[#This Row],[8]])),LEN(Tabela1[[#This Row],[8]])-LEN(SUBSTITUTE(Tabela1[[#This Row],[8]],",",""))+1,1),"")</f>
        <v/>
      </c>
      <c r="AH630" t="str">
        <f>IF(Tabela1[[#This Row],[9]]&lt;&gt;"",IF(ISNUMBER(FIND(",",Tabela1[[#This Row],[9]])),LEN(Tabela1[[#This Row],[9]])-LEN(SUBSTITUTE(Tabela1[[#This Row],[9]],",",""))+1,1),"")</f>
        <v/>
      </c>
      <c r="AI630" t="str">
        <f>IF(Tabela1[[#This Row],[10]]&lt;&gt;"",IF(ISNUMBER(FIND(",",Tabela1[[#This Row],[10]])),LEN(Tabela1[[#This Row],[10]])-LEN(SUBSTITUTE(Tabela1[[#This Row],[10]],",",""))+1,1),"")</f>
        <v/>
      </c>
      <c r="AJ630" t="str">
        <f>IF(Tabela1[[#This Row],[11]]&lt;&gt;"",IF(ISNUMBER(FIND(",",Tabela1[[#This Row],[11]])),LEN(Tabela1[[#This Row],[11]])-LEN(SUBSTITUTE(Tabela1[[#This Row],[11]],",",""))+1,1),"")</f>
        <v/>
      </c>
      <c r="AK630" t="str">
        <f>IF(Tabela1[[#This Row],[12]]&lt;&gt;"",IF(ISNUMBER(FIND(",",Tabela1[[#This Row],[12]])),LEN(Tabela1[[#This Row],[12]])-LEN(SUBSTITUTE(Tabela1[[#This Row],[12]],",",""))+1,1),"")</f>
        <v/>
      </c>
      <c r="AL630" t="str">
        <f>IF(Tabela1[[#This Row],[13]]&lt;&gt;"",IF(ISNUMBER(FIND(",",Tabela1[[#This Row],[13]])),LEN(Tabela1[[#This Row],[13]])-LEN(SUBSTITUTE(Tabela1[[#This Row],[13]],",",""))+1,1),"")</f>
        <v/>
      </c>
      <c r="AM630" t="str">
        <f>IF(Tabela1[[#This Row],[14]]&lt;&gt;"",IF(ISNUMBER(FIND(",",Tabela1[[#This Row],[14]])),LEN(Tabela1[[#This Row],[14]])-LEN(SUBSTITUTE(Tabela1[[#This Row],[14]],",",""))+1,1),"")</f>
        <v/>
      </c>
      <c r="AN630" t="str">
        <f>IF(Tabela1[[#This Row],[15]]&lt;&gt;"",IF(ISNUMBER(FIND(",",Tabela1[[#This Row],[15]])),LEN(Tabela1[[#This Row],[15]])-LEN(SUBSTITUTE(Tabela1[[#This Row],[15]],",",""))+1,1),"")</f>
        <v/>
      </c>
      <c r="AO630" t="str">
        <f>IF(Tabela1[[#This Row],[16]]&lt;&gt;"",IF(ISNUMBER(FIND(",",Tabela1[[#This Row],[16]])),LEN(Tabela1[[#This Row],[16]])-LEN(SUBSTITUTE(Tabela1[[#This Row],[16]],",",""))+1,1),"")</f>
        <v/>
      </c>
      <c r="AP630" t="str">
        <f>IF(Tabela1[[#This Row],[17]]&lt;&gt;"",IF(ISNUMBER(FIND(",",Tabela1[[#This Row],[17]])),LEN(Tabela1[[#This Row],[17]])-LEN(SUBSTITUTE(Tabela1[[#This Row],[17]],",",""))+1,1),"")</f>
        <v/>
      </c>
      <c r="AQ630" t="str">
        <f>IF(Tabela1[[#This Row],[18]]&lt;&gt;"",IF(ISNUMBER(FIND(",",Tabela1[[#This Row],[18]])),LEN(Tabela1[[#This Row],[18]])-LEN(SUBSTITUTE(Tabela1[[#This Row],[18]],",",""))+1,1),"")</f>
        <v/>
      </c>
      <c r="AR630" s="13" t="str">
        <f>IF(Tabela1[[#This Row],[19_LENGTH]]&lt;&gt;"",IF(ISNUMBER(FIND(",",Tabela1[[#This Row],[19_LENGTH]])),LEN(Tabela1[[#This Row],[19_LENGTH]])-LEN(SUBSTITUTE(Tabela1[[#This Row],[19_LENGTH]],",",""))+1,1),"")</f>
        <v/>
      </c>
      <c r="AS630" s="21">
        <f>SUM(Tabela1[[#This Row],[1_]:[19_]])</f>
        <v>1</v>
      </c>
    </row>
    <row r="631" spans="1:45" x14ac:dyDescent="0.25">
      <c r="A631" s="27" t="s">
        <v>1328</v>
      </c>
      <c r="B631" s="19" t="s">
        <v>909</v>
      </c>
      <c r="C631" s="19">
        <v>102</v>
      </c>
      <c r="D631" s="19" t="s">
        <v>1310</v>
      </c>
      <c r="E631" s="20">
        <v>43546</v>
      </c>
      <c r="F631" s="19"/>
      <c r="G631" s="19">
        <v>88</v>
      </c>
      <c r="H631" s="19"/>
      <c r="I631" s="19"/>
      <c r="J631" s="19"/>
      <c r="K631" s="19"/>
      <c r="L631" s="19"/>
      <c r="M631" s="19"/>
      <c r="N631" s="19"/>
      <c r="O631" s="19"/>
      <c r="P631" s="19"/>
      <c r="Q631" s="19"/>
      <c r="R631" s="19"/>
      <c r="S631" s="19"/>
      <c r="T631" s="19"/>
      <c r="U631" s="19"/>
      <c r="V631" s="19"/>
      <c r="W631" s="19"/>
      <c r="X631" s="19"/>
      <c r="Y631" s="19"/>
      <c r="Z631" t="str">
        <f>IF(Tabela1[[#This Row],[1]]&lt;&gt;"",IF(ISNUMBER(FIND(",",Tabela1[[#This Row],[1]])),LEN(Tabela1[[#This Row],[1]])-LEN(SUBSTITUTE(Tabela1[[#This Row],[1]],",",""))+1,1),"")</f>
        <v/>
      </c>
      <c r="AA631">
        <f>IF(Tabela1[[#This Row],[2]]&lt;&gt;"",IF(ISNUMBER(FIND(",",Tabela1[[#This Row],[2]])),LEN(Tabela1[[#This Row],[2]])-LEN(SUBSTITUTE(Tabela1[[#This Row],[2]],",",""))+1,1),"")</f>
        <v>1</v>
      </c>
      <c r="AB631" t="str">
        <f>IF(Tabela1[[#This Row],[3]]&lt;&gt;"",IF(ISNUMBER(FIND(",",Tabela1[[#This Row],[3]])),LEN(Tabela1[[#This Row],[3]])-LEN(SUBSTITUTE(Tabela1[[#This Row],[3]],",",""))+1,1),"")</f>
        <v/>
      </c>
      <c r="AC631" t="str">
        <f>IF(Tabela1[[#This Row],[4]]&lt;&gt;"",IF(ISNUMBER(FIND(",",Tabela1[[#This Row],[4]])),LEN(Tabela1[[#This Row],[4]])-LEN(SUBSTITUTE(Tabela1[[#This Row],[4]],",",""))+1,1),"")</f>
        <v/>
      </c>
      <c r="AD631" t="str">
        <f>IF(Tabela1[[#This Row],[5]]&lt;&gt;"",IF(ISNUMBER(FIND(",",Tabela1[[#This Row],[5]])),LEN(Tabela1[[#This Row],[5]])-LEN(SUBSTITUTE(Tabela1[[#This Row],[5]],",",""))+1,1),"")</f>
        <v/>
      </c>
      <c r="AE631" t="str">
        <f>IF(Tabela1[[#This Row],[6]]&lt;&gt;"",IF(ISNUMBER(FIND(",",Tabela1[[#This Row],[6]])),LEN(Tabela1[[#This Row],[6]])-LEN(SUBSTITUTE(Tabela1[[#This Row],[6]],",",""))+1,1),"")</f>
        <v/>
      </c>
      <c r="AF631" t="str">
        <f>IF(Tabela1[[#This Row],[7]]&lt;&gt;"",IF(ISNUMBER(FIND(",",Tabela1[[#This Row],[7]])),LEN(Tabela1[[#This Row],[7]])-LEN(SUBSTITUTE(Tabela1[[#This Row],[7]],",",""))+1,1),"")</f>
        <v/>
      </c>
      <c r="AG631" t="str">
        <f>IF(Tabela1[[#This Row],[8]]&lt;&gt;"",IF(ISNUMBER(FIND(",",Tabela1[[#This Row],[8]])),LEN(Tabela1[[#This Row],[8]])-LEN(SUBSTITUTE(Tabela1[[#This Row],[8]],",",""))+1,1),"")</f>
        <v/>
      </c>
      <c r="AH631" t="str">
        <f>IF(Tabela1[[#This Row],[9]]&lt;&gt;"",IF(ISNUMBER(FIND(",",Tabela1[[#This Row],[9]])),LEN(Tabela1[[#This Row],[9]])-LEN(SUBSTITUTE(Tabela1[[#This Row],[9]],",",""))+1,1),"")</f>
        <v/>
      </c>
      <c r="AI631" t="str">
        <f>IF(Tabela1[[#This Row],[10]]&lt;&gt;"",IF(ISNUMBER(FIND(",",Tabela1[[#This Row],[10]])),LEN(Tabela1[[#This Row],[10]])-LEN(SUBSTITUTE(Tabela1[[#This Row],[10]],",",""))+1,1),"")</f>
        <v/>
      </c>
      <c r="AJ631" t="str">
        <f>IF(Tabela1[[#This Row],[11]]&lt;&gt;"",IF(ISNUMBER(FIND(",",Tabela1[[#This Row],[11]])),LEN(Tabela1[[#This Row],[11]])-LEN(SUBSTITUTE(Tabela1[[#This Row],[11]],",",""))+1,1),"")</f>
        <v/>
      </c>
      <c r="AK631" t="str">
        <f>IF(Tabela1[[#This Row],[12]]&lt;&gt;"",IF(ISNUMBER(FIND(",",Tabela1[[#This Row],[12]])),LEN(Tabela1[[#This Row],[12]])-LEN(SUBSTITUTE(Tabela1[[#This Row],[12]],",",""))+1,1),"")</f>
        <v/>
      </c>
      <c r="AL631" t="str">
        <f>IF(Tabela1[[#This Row],[13]]&lt;&gt;"",IF(ISNUMBER(FIND(",",Tabela1[[#This Row],[13]])),LEN(Tabela1[[#This Row],[13]])-LEN(SUBSTITUTE(Tabela1[[#This Row],[13]],",",""))+1,1),"")</f>
        <v/>
      </c>
      <c r="AM631" t="str">
        <f>IF(Tabela1[[#This Row],[14]]&lt;&gt;"",IF(ISNUMBER(FIND(",",Tabela1[[#This Row],[14]])),LEN(Tabela1[[#This Row],[14]])-LEN(SUBSTITUTE(Tabela1[[#This Row],[14]],",",""))+1,1),"")</f>
        <v/>
      </c>
      <c r="AN631" t="str">
        <f>IF(Tabela1[[#This Row],[15]]&lt;&gt;"",IF(ISNUMBER(FIND(",",Tabela1[[#This Row],[15]])),LEN(Tabela1[[#This Row],[15]])-LEN(SUBSTITUTE(Tabela1[[#This Row],[15]],",",""))+1,1),"")</f>
        <v/>
      </c>
      <c r="AO631" t="str">
        <f>IF(Tabela1[[#This Row],[16]]&lt;&gt;"",IF(ISNUMBER(FIND(",",Tabela1[[#This Row],[16]])),LEN(Tabela1[[#This Row],[16]])-LEN(SUBSTITUTE(Tabela1[[#This Row],[16]],",",""))+1,1),"")</f>
        <v/>
      </c>
      <c r="AP631" t="str">
        <f>IF(Tabela1[[#This Row],[17]]&lt;&gt;"",IF(ISNUMBER(FIND(",",Tabela1[[#This Row],[17]])),LEN(Tabela1[[#This Row],[17]])-LEN(SUBSTITUTE(Tabela1[[#This Row],[17]],",",""))+1,1),"")</f>
        <v/>
      </c>
      <c r="AQ631" t="str">
        <f>IF(Tabela1[[#This Row],[18]]&lt;&gt;"",IF(ISNUMBER(FIND(",",Tabela1[[#This Row],[18]])),LEN(Tabela1[[#This Row],[18]])-LEN(SUBSTITUTE(Tabela1[[#This Row],[18]],",",""))+1,1),"")</f>
        <v/>
      </c>
      <c r="AR631" s="13" t="str">
        <f>IF(Tabela1[[#This Row],[19_LENGTH]]&lt;&gt;"",IF(ISNUMBER(FIND(",",Tabela1[[#This Row],[19_LENGTH]])),LEN(Tabela1[[#This Row],[19_LENGTH]])-LEN(SUBSTITUTE(Tabela1[[#This Row],[19_LENGTH]],",",""))+1,1),"")</f>
        <v/>
      </c>
      <c r="AS631" s="21">
        <f>SUM(Tabela1[[#This Row],[1_]:[19_]])</f>
        <v>1</v>
      </c>
    </row>
    <row r="632" spans="1:45" x14ac:dyDescent="0.25">
      <c r="A632" s="27" t="s">
        <v>1328</v>
      </c>
      <c r="B632" s="19" t="s">
        <v>910</v>
      </c>
      <c r="C632" s="19">
        <v>102</v>
      </c>
      <c r="D632" s="19" t="s">
        <v>1310</v>
      </c>
      <c r="E632" s="20">
        <v>43546</v>
      </c>
      <c r="F632" s="19"/>
      <c r="G632" s="19"/>
      <c r="H632" s="19"/>
      <c r="I632" s="19"/>
      <c r="J632" s="19"/>
      <c r="K632" s="19"/>
      <c r="L632" s="19"/>
      <c r="M632" s="19"/>
      <c r="N632" s="19"/>
      <c r="O632" s="19"/>
      <c r="P632" s="19"/>
      <c r="Q632" s="19"/>
      <c r="R632" s="19"/>
      <c r="S632" s="19"/>
      <c r="T632" s="19"/>
      <c r="U632" s="19">
        <v>70</v>
      </c>
      <c r="V632" s="19"/>
      <c r="W632" s="19"/>
      <c r="X632" s="19"/>
      <c r="Y632" s="19"/>
      <c r="Z632" t="str">
        <f>IF(Tabela1[[#This Row],[1]]&lt;&gt;"",IF(ISNUMBER(FIND(",",Tabela1[[#This Row],[1]])),LEN(Tabela1[[#This Row],[1]])-LEN(SUBSTITUTE(Tabela1[[#This Row],[1]],",",""))+1,1),"")</f>
        <v/>
      </c>
      <c r="AA632" t="str">
        <f>IF(Tabela1[[#This Row],[2]]&lt;&gt;"",IF(ISNUMBER(FIND(",",Tabela1[[#This Row],[2]])),LEN(Tabela1[[#This Row],[2]])-LEN(SUBSTITUTE(Tabela1[[#This Row],[2]],",",""))+1,1),"")</f>
        <v/>
      </c>
      <c r="AB632" t="str">
        <f>IF(Tabela1[[#This Row],[3]]&lt;&gt;"",IF(ISNUMBER(FIND(",",Tabela1[[#This Row],[3]])),LEN(Tabela1[[#This Row],[3]])-LEN(SUBSTITUTE(Tabela1[[#This Row],[3]],",",""))+1,1),"")</f>
        <v/>
      </c>
      <c r="AC632" t="str">
        <f>IF(Tabela1[[#This Row],[4]]&lt;&gt;"",IF(ISNUMBER(FIND(",",Tabela1[[#This Row],[4]])),LEN(Tabela1[[#This Row],[4]])-LEN(SUBSTITUTE(Tabela1[[#This Row],[4]],",",""))+1,1),"")</f>
        <v/>
      </c>
      <c r="AD632" t="str">
        <f>IF(Tabela1[[#This Row],[5]]&lt;&gt;"",IF(ISNUMBER(FIND(",",Tabela1[[#This Row],[5]])),LEN(Tabela1[[#This Row],[5]])-LEN(SUBSTITUTE(Tabela1[[#This Row],[5]],",",""))+1,1),"")</f>
        <v/>
      </c>
      <c r="AE632" t="str">
        <f>IF(Tabela1[[#This Row],[6]]&lt;&gt;"",IF(ISNUMBER(FIND(",",Tabela1[[#This Row],[6]])),LEN(Tabela1[[#This Row],[6]])-LEN(SUBSTITUTE(Tabela1[[#This Row],[6]],",",""))+1,1),"")</f>
        <v/>
      </c>
      <c r="AF632" t="str">
        <f>IF(Tabela1[[#This Row],[7]]&lt;&gt;"",IF(ISNUMBER(FIND(",",Tabela1[[#This Row],[7]])),LEN(Tabela1[[#This Row],[7]])-LEN(SUBSTITUTE(Tabela1[[#This Row],[7]],",",""))+1,1),"")</f>
        <v/>
      </c>
      <c r="AG632" t="str">
        <f>IF(Tabela1[[#This Row],[8]]&lt;&gt;"",IF(ISNUMBER(FIND(",",Tabela1[[#This Row],[8]])),LEN(Tabela1[[#This Row],[8]])-LEN(SUBSTITUTE(Tabela1[[#This Row],[8]],",",""))+1,1),"")</f>
        <v/>
      </c>
      <c r="AH632" t="str">
        <f>IF(Tabela1[[#This Row],[9]]&lt;&gt;"",IF(ISNUMBER(FIND(",",Tabela1[[#This Row],[9]])),LEN(Tabela1[[#This Row],[9]])-LEN(SUBSTITUTE(Tabela1[[#This Row],[9]],",",""))+1,1),"")</f>
        <v/>
      </c>
      <c r="AI632" t="str">
        <f>IF(Tabela1[[#This Row],[10]]&lt;&gt;"",IF(ISNUMBER(FIND(",",Tabela1[[#This Row],[10]])),LEN(Tabela1[[#This Row],[10]])-LEN(SUBSTITUTE(Tabela1[[#This Row],[10]],",",""))+1,1),"")</f>
        <v/>
      </c>
      <c r="AJ632" t="str">
        <f>IF(Tabela1[[#This Row],[11]]&lt;&gt;"",IF(ISNUMBER(FIND(",",Tabela1[[#This Row],[11]])),LEN(Tabela1[[#This Row],[11]])-LEN(SUBSTITUTE(Tabela1[[#This Row],[11]],",",""))+1,1),"")</f>
        <v/>
      </c>
      <c r="AK632" t="str">
        <f>IF(Tabela1[[#This Row],[12]]&lt;&gt;"",IF(ISNUMBER(FIND(",",Tabela1[[#This Row],[12]])),LEN(Tabela1[[#This Row],[12]])-LEN(SUBSTITUTE(Tabela1[[#This Row],[12]],",",""))+1,1),"")</f>
        <v/>
      </c>
      <c r="AL632" t="str">
        <f>IF(Tabela1[[#This Row],[13]]&lt;&gt;"",IF(ISNUMBER(FIND(",",Tabela1[[#This Row],[13]])),LEN(Tabela1[[#This Row],[13]])-LEN(SUBSTITUTE(Tabela1[[#This Row],[13]],",",""))+1,1),"")</f>
        <v/>
      </c>
      <c r="AM632" t="str">
        <f>IF(Tabela1[[#This Row],[14]]&lt;&gt;"",IF(ISNUMBER(FIND(",",Tabela1[[#This Row],[14]])),LEN(Tabela1[[#This Row],[14]])-LEN(SUBSTITUTE(Tabela1[[#This Row],[14]],",",""))+1,1),"")</f>
        <v/>
      </c>
      <c r="AN632" t="str">
        <f>IF(Tabela1[[#This Row],[15]]&lt;&gt;"",IF(ISNUMBER(FIND(",",Tabela1[[#This Row],[15]])),LEN(Tabela1[[#This Row],[15]])-LEN(SUBSTITUTE(Tabela1[[#This Row],[15]],",",""))+1,1),"")</f>
        <v/>
      </c>
      <c r="AO632">
        <f>IF(Tabela1[[#This Row],[16]]&lt;&gt;"",IF(ISNUMBER(FIND(",",Tabela1[[#This Row],[16]])),LEN(Tabela1[[#This Row],[16]])-LEN(SUBSTITUTE(Tabela1[[#This Row],[16]],",",""))+1,1),"")</f>
        <v>1</v>
      </c>
      <c r="AP632" t="str">
        <f>IF(Tabela1[[#This Row],[17]]&lt;&gt;"",IF(ISNUMBER(FIND(",",Tabela1[[#This Row],[17]])),LEN(Tabela1[[#This Row],[17]])-LEN(SUBSTITUTE(Tabela1[[#This Row],[17]],",",""))+1,1),"")</f>
        <v/>
      </c>
      <c r="AQ632" t="str">
        <f>IF(Tabela1[[#This Row],[18]]&lt;&gt;"",IF(ISNUMBER(FIND(",",Tabela1[[#This Row],[18]])),LEN(Tabela1[[#This Row],[18]])-LEN(SUBSTITUTE(Tabela1[[#This Row],[18]],",",""))+1,1),"")</f>
        <v/>
      </c>
      <c r="AR632" s="13" t="str">
        <f>IF(Tabela1[[#This Row],[19_LENGTH]]&lt;&gt;"",IF(ISNUMBER(FIND(",",Tabela1[[#This Row],[19_LENGTH]])),LEN(Tabela1[[#This Row],[19_LENGTH]])-LEN(SUBSTITUTE(Tabela1[[#This Row],[19_LENGTH]],",",""))+1,1),"")</f>
        <v/>
      </c>
      <c r="AS632" s="21">
        <f>SUM(Tabela1[[#This Row],[1_]:[19_]])</f>
        <v>1</v>
      </c>
    </row>
    <row r="633" spans="1:45" x14ac:dyDescent="0.25">
      <c r="A633" s="27" t="s">
        <v>1328</v>
      </c>
      <c r="B633" s="19" t="s">
        <v>911</v>
      </c>
      <c r="C633" s="19">
        <v>102</v>
      </c>
      <c r="D633" s="19" t="s">
        <v>1310</v>
      </c>
      <c r="E633" s="20">
        <v>43546</v>
      </c>
      <c r="F633" s="19"/>
      <c r="G633" s="19" t="s">
        <v>234</v>
      </c>
      <c r="H633" s="19"/>
      <c r="I633" s="19"/>
      <c r="J633" s="19"/>
      <c r="K633" s="19"/>
      <c r="L633" s="19"/>
      <c r="M633" s="19"/>
      <c r="N633" s="19"/>
      <c r="O633" s="19"/>
      <c r="P633" s="19"/>
      <c r="Q633" s="19"/>
      <c r="R633" s="19"/>
      <c r="S633" s="19"/>
      <c r="T633" s="19"/>
      <c r="U633" s="19">
        <v>16</v>
      </c>
      <c r="V633" s="19"/>
      <c r="W633" s="19"/>
      <c r="X633" s="19"/>
      <c r="Y633" s="19"/>
      <c r="Z633" t="str">
        <f>IF(Tabela1[[#This Row],[1]]&lt;&gt;"",IF(ISNUMBER(FIND(",",Tabela1[[#This Row],[1]])),LEN(Tabela1[[#This Row],[1]])-LEN(SUBSTITUTE(Tabela1[[#This Row],[1]],",",""))+1,1),"")</f>
        <v/>
      </c>
      <c r="AA633">
        <f>IF(Tabela1[[#This Row],[2]]&lt;&gt;"",IF(ISNUMBER(FIND(",",Tabela1[[#This Row],[2]])),LEN(Tabela1[[#This Row],[2]])-LEN(SUBSTITUTE(Tabela1[[#This Row],[2]],",",""))+1,1),"")</f>
        <v>2</v>
      </c>
      <c r="AB633" t="str">
        <f>IF(Tabela1[[#This Row],[3]]&lt;&gt;"",IF(ISNUMBER(FIND(",",Tabela1[[#This Row],[3]])),LEN(Tabela1[[#This Row],[3]])-LEN(SUBSTITUTE(Tabela1[[#This Row],[3]],",",""))+1,1),"")</f>
        <v/>
      </c>
      <c r="AC633" t="str">
        <f>IF(Tabela1[[#This Row],[4]]&lt;&gt;"",IF(ISNUMBER(FIND(",",Tabela1[[#This Row],[4]])),LEN(Tabela1[[#This Row],[4]])-LEN(SUBSTITUTE(Tabela1[[#This Row],[4]],",",""))+1,1),"")</f>
        <v/>
      </c>
      <c r="AD633" t="str">
        <f>IF(Tabela1[[#This Row],[5]]&lt;&gt;"",IF(ISNUMBER(FIND(",",Tabela1[[#This Row],[5]])),LEN(Tabela1[[#This Row],[5]])-LEN(SUBSTITUTE(Tabela1[[#This Row],[5]],",",""))+1,1),"")</f>
        <v/>
      </c>
      <c r="AE633" t="str">
        <f>IF(Tabela1[[#This Row],[6]]&lt;&gt;"",IF(ISNUMBER(FIND(",",Tabela1[[#This Row],[6]])),LEN(Tabela1[[#This Row],[6]])-LEN(SUBSTITUTE(Tabela1[[#This Row],[6]],",",""))+1,1),"")</f>
        <v/>
      </c>
      <c r="AF633" t="str">
        <f>IF(Tabela1[[#This Row],[7]]&lt;&gt;"",IF(ISNUMBER(FIND(",",Tabela1[[#This Row],[7]])),LEN(Tabela1[[#This Row],[7]])-LEN(SUBSTITUTE(Tabela1[[#This Row],[7]],",",""))+1,1),"")</f>
        <v/>
      </c>
      <c r="AG633" t="str">
        <f>IF(Tabela1[[#This Row],[8]]&lt;&gt;"",IF(ISNUMBER(FIND(",",Tabela1[[#This Row],[8]])),LEN(Tabela1[[#This Row],[8]])-LEN(SUBSTITUTE(Tabela1[[#This Row],[8]],",",""))+1,1),"")</f>
        <v/>
      </c>
      <c r="AH633" t="str">
        <f>IF(Tabela1[[#This Row],[9]]&lt;&gt;"",IF(ISNUMBER(FIND(",",Tabela1[[#This Row],[9]])),LEN(Tabela1[[#This Row],[9]])-LEN(SUBSTITUTE(Tabela1[[#This Row],[9]],",",""))+1,1),"")</f>
        <v/>
      </c>
      <c r="AI633" t="str">
        <f>IF(Tabela1[[#This Row],[10]]&lt;&gt;"",IF(ISNUMBER(FIND(",",Tabela1[[#This Row],[10]])),LEN(Tabela1[[#This Row],[10]])-LEN(SUBSTITUTE(Tabela1[[#This Row],[10]],",",""))+1,1),"")</f>
        <v/>
      </c>
      <c r="AJ633" t="str">
        <f>IF(Tabela1[[#This Row],[11]]&lt;&gt;"",IF(ISNUMBER(FIND(",",Tabela1[[#This Row],[11]])),LEN(Tabela1[[#This Row],[11]])-LEN(SUBSTITUTE(Tabela1[[#This Row],[11]],",",""))+1,1),"")</f>
        <v/>
      </c>
      <c r="AK633" t="str">
        <f>IF(Tabela1[[#This Row],[12]]&lt;&gt;"",IF(ISNUMBER(FIND(",",Tabela1[[#This Row],[12]])),LEN(Tabela1[[#This Row],[12]])-LEN(SUBSTITUTE(Tabela1[[#This Row],[12]],",",""))+1,1),"")</f>
        <v/>
      </c>
      <c r="AL633" t="str">
        <f>IF(Tabela1[[#This Row],[13]]&lt;&gt;"",IF(ISNUMBER(FIND(",",Tabela1[[#This Row],[13]])),LEN(Tabela1[[#This Row],[13]])-LEN(SUBSTITUTE(Tabela1[[#This Row],[13]],",",""))+1,1),"")</f>
        <v/>
      </c>
      <c r="AM633" t="str">
        <f>IF(Tabela1[[#This Row],[14]]&lt;&gt;"",IF(ISNUMBER(FIND(",",Tabela1[[#This Row],[14]])),LEN(Tabela1[[#This Row],[14]])-LEN(SUBSTITUTE(Tabela1[[#This Row],[14]],",",""))+1,1),"")</f>
        <v/>
      </c>
      <c r="AN633" t="str">
        <f>IF(Tabela1[[#This Row],[15]]&lt;&gt;"",IF(ISNUMBER(FIND(",",Tabela1[[#This Row],[15]])),LEN(Tabela1[[#This Row],[15]])-LEN(SUBSTITUTE(Tabela1[[#This Row],[15]],",",""))+1,1),"")</f>
        <v/>
      </c>
      <c r="AO633">
        <f>IF(Tabela1[[#This Row],[16]]&lt;&gt;"",IF(ISNUMBER(FIND(",",Tabela1[[#This Row],[16]])),LEN(Tabela1[[#This Row],[16]])-LEN(SUBSTITUTE(Tabela1[[#This Row],[16]],",",""))+1,1),"")</f>
        <v>1</v>
      </c>
      <c r="AP633" t="str">
        <f>IF(Tabela1[[#This Row],[17]]&lt;&gt;"",IF(ISNUMBER(FIND(",",Tabela1[[#This Row],[17]])),LEN(Tabela1[[#This Row],[17]])-LEN(SUBSTITUTE(Tabela1[[#This Row],[17]],",",""))+1,1),"")</f>
        <v/>
      </c>
      <c r="AQ633" t="str">
        <f>IF(Tabela1[[#This Row],[18]]&lt;&gt;"",IF(ISNUMBER(FIND(",",Tabela1[[#This Row],[18]])),LEN(Tabela1[[#This Row],[18]])-LEN(SUBSTITUTE(Tabela1[[#This Row],[18]],",",""))+1,1),"")</f>
        <v/>
      </c>
      <c r="AR633" s="13" t="str">
        <f>IF(Tabela1[[#This Row],[19_LENGTH]]&lt;&gt;"",IF(ISNUMBER(FIND(",",Tabela1[[#This Row],[19_LENGTH]])),LEN(Tabela1[[#This Row],[19_LENGTH]])-LEN(SUBSTITUTE(Tabela1[[#This Row],[19_LENGTH]],",",""))+1,1),"")</f>
        <v/>
      </c>
      <c r="AS633" s="21">
        <f>SUM(Tabela1[[#This Row],[1_]:[19_]])</f>
        <v>3</v>
      </c>
    </row>
    <row r="634" spans="1:45" x14ac:dyDescent="0.25">
      <c r="A634" s="27" t="s">
        <v>1328</v>
      </c>
      <c r="B634" s="19" t="s">
        <v>912</v>
      </c>
      <c r="C634" s="19">
        <v>102</v>
      </c>
      <c r="D634" s="19" t="s">
        <v>1310</v>
      </c>
      <c r="E634" s="20">
        <v>43546</v>
      </c>
      <c r="F634" s="19"/>
      <c r="G634" s="19"/>
      <c r="H634" s="19"/>
      <c r="I634" s="19"/>
      <c r="J634" s="19"/>
      <c r="K634" s="19"/>
      <c r="L634" s="19"/>
      <c r="M634" s="19"/>
      <c r="N634" s="19"/>
      <c r="O634" s="19"/>
      <c r="P634" s="19"/>
      <c r="Q634" s="19"/>
      <c r="R634" s="19"/>
      <c r="S634" s="19"/>
      <c r="T634" s="19"/>
      <c r="U634" s="19" t="s">
        <v>235</v>
      </c>
      <c r="V634" s="19"/>
      <c r="W634" s="19"/>
      <c r="X634" s="19"/>
      <c r="Y634" s="19"/>
      <c r="Z634" t="str">
        <f>IF(Tabela1[[#This Row],[1]]&lt;&gt;"",IF(ISNUMBER(FIND(",",Tabela1[[#This Row],[1]])),LEN(Tabela1[[#This Row],[1]])-LEN(SUBSTITUTE(Tabela1[[#This Row],[1]],",",""))+1,1),"")</f>
        <v/>
      </c>
      <c r="AA634" t="str">
        <f>IF(Tabela1[[#This Row],[2]]&lt;&gt;"",IF(ISNUMBER(FIND(",",Tabela1[[#This Row],[2]])),LEN(Tabela1[[#This Row],[2]])-LEN(SUBSTITUTE(Tabela1[[#This Row],[2]],",",""))+1,1),"")</f>
        <v/>
      </c>
      <c r="AB634" t="str">
        <f>IF(Tabela1[[#This Row],[3]]&lt;&gt;"",IF(ISNUMBER(FIND(",",Tabela1[[#This Row],[3]])),LEN(Tabela1[[#This Row],[3]])-LEN(SUBSTITUTE(Tabela1[[#This Row],[3]],",",""))+1,1),"")</f>
        <v/>
      </c>
      <c r="AC634" t="str">
        <f>IF(Tabela1[[#This Row],[4]]&lt;&gt;"",IF(ISNUMBER(FIND(",",Tabela1[[#This Row],[4]])),LEN(Tabela1[[#This Row],[4]])-LEN(SUBSTITUTE(Tabela1[[#This Row],[4]],",",""))+1,1),"")</f>
        <v/>
      </c>
      <c r="AD634" t="str">
        <f>IF(Tabela1[[#This Row],[5]]&lt;&gt;"",IF(ISNUMBER(FIND(",",Tabela1[[#This Row],[5]])),LEN(Tabela1[[#This Row],[5]])-LEN(SUBSTITUTE(Tabela1[[#This Row],[5]],",",""))+1,1),"")</f>
        <v/>
      </c>
      <c r="AE634" t="str">
        <f>IF(Tabela1[[#This Row],[6]]&lt;&gt;"",IF(ISNUMBER(FIND(",",Tabela1[[#This Row],[6]])),LEN(Tabela1[[#This Row],[6]])-LEN(SUBSTITUTE(Tabela1[[#This Row],[6]],",",""))+1,1),"")</f>
        <v/>
      </c>
      <c r="AF634" t="str">
        <f>IF(Tabela1[[#This Row],[7]]&lt;&gt;"",IF(ISNUMBER(FIND(",",Tabela1[[#This Row],[7]])),LEN(Tabela1[[#This Row],[7]])-LEN(SUBSTITUTE(Tabela1[[#This Row],[7]],",",""))+1,1),"")</f>
        <v/>
      </c>
      <c r="AG634" t="str">
        <f>IF(Tabela1[[#This Row],[8]]&lt;&gt;"",IF(ISNUMBER(FIND(",",Tabela1[[#This Row],[8]])),LEN(Tabela1[[#This Row],[8]])-LEN(SUBSTITUTE(Tabela1[[#This Row],[8]],",",""))+1,1),"")</f>
        <v/>
      </c>
      <c r="AH634" t="str">
        <f>IF(Tabela1[[#This Row],[9]]&lt;&gt;"",IF(ISNUMBER(FIND(",",Tabela1[[#This Row],[9]])),LEN(Tabela1[[#This Row],[9]])-LEN(SUBSTITUTE(Tabela1[[#This Row],[9]],",",""))+1,1),"")</f>
        <v/>
      </c>
      <c r="AI634" t="str">
        <f>IF(Tabela1[[#This Row],[10]]&lt;&gt;"",IF(ISNUMBER(FIND(",",Tabela1[[#This Row],[10]])),LEN(Tabela1[[#This Row],[10]])-LEN(SUBSTITUTE(Tabela1[[#This Row],[10]],",",""))+1,1),"")</f>
        <v/>
      </c>
      <c r="AJ634" t="str">
        <f>IF(Tabela1[[#This Row],[11]]&lt;&gt;"",IF(ISNUMBER(FIND(",",Tabela1[[#This Row],[11]])),LEN(Tabela1[[#This Row],[11]])-LEN(SUBSTITUTE(Tabela1[[#This Row],[11]],",",""))+1,1),"")</f>
        <v/>
      </c>
      <c r="AK634" t="str">
        <f>IF(Tabela1[[#This Row],[12]]&lt;&gt;"",IF(ISNUMBER(FIND(",",Tabela1[[#This Row],[12]])),LEN(Tabela1[[#This Row],[12]])-LEN(SUBSTITUTE(Tabela1[[#This Row],[12]],",",""))+1,1),"")</f>
        <v/>
      </c>
      <c r="AL634" t="str">
        <f>IF(Tabela1[[#This Row],[13]]&lt;&gt;"",IF(ISNUMBER(FIND(",",Tabela1[[#This Row],[13]])),LEN(Tabela1[[#This Row],[13]])-LEN(SUBSTITUTE(Tabela1[[#This Row],[13]],",",""))+1,1),"")</f>
        <v/>
      </c>
      <c r="AM634" t="str">
        <f>IF(Tabela1[[#This Row],[14]]&lt;&gt;"",IF(ISNUMBER(FIND(",",Tabela1[[#This Row],[14]])),LEN(Tabela1[[#This Row],[14]])-LEN(SUBSTITUTE(Tabela1[[#This Row],[14]],",",""))+1,1),"")</f>
        <v/>
      </c>
      <c r="AN634" t="str">
        <f>IF(Tabela1[[#This Row],[15]]&lt;&gt;"",IF(ISNUMBER(FIND(",",Tabela1[[#This Row],[15]])),LEN(Tabela1[[#This Row],[15]])-LEN(SUBSTITUTE(Tabela1[[#This Row],[15]],",",""))+1,1),"")</f>
        <v/>
      </c>
      <c r="AO634">
        <f>IF(Tabela1[[#This Row],[16]]&lt;&gt;"",IF(ISNUMBER(FIND(",",Tabela1[[#This Row],[16]])),LEN(Tabela1[[#This Row],[16]])-LEN(SUBSTITUTE(Tabela1[[#This Row],[16]],",",""))+1,1),"")</f>
        <v>3</v>
      </c>
      <c r="AP634" t="str">
        <f>IF(Tabela1[[#This Row],[17]]&lt;&gt;"",IF(ISNUMBER(FIND(",",Tabela1[[#This Row],[17]])),LEN(Tabela1[[#This Row],[17]])-LEN(SUBSTITUTE(Tabela1[[#This Row],[17]],",",""))+1,1),"")</f>
        <v/>
      </c>
      <c r="AQ634" t="str">
        <f>IF(Tabela1[[#This Row],[18]]&lt;&gt;"",IF(ISNUMBER(FIND(",",Tabela1[[#This Row],[18]])),LEN(Tabela1[[#This Row],[18]])-LEN(SUBSTITUTE(Tabela1[[#This Row],[18]],",",""))+1,1),"")</f>
        <v/>
      </c>
      <c r="AR634" s="13" t="str">
        <f>IF(Tabela1[[#This Row],[19_LENGTH]]&lt;&gt;"",IF(ISNUMBER(FIND(",",Tabela1[[#This Row],[19_LENGTH]])),LEN(Tabela1[[#This Row],[19_LENGTH]])-LEN(SUBSTITUTE(Tabela1[[#This Row],[19_LENGTH]],",",""))+1,1),"")</f>
        <v/>
      </c>
      <c r="AS634" s="21">
        <f>SUM(Tabela1[[#This Row],[1_]:[19_]])</f>
        <v>3</v>
      </c>
    </row>
    <row r="635" spans="1:45" x14ac:dyDescent="0.25">
      <c r="A635" s="27" t="s">
        <v>1328</v>
      </c>
      <c r="B635" s="19" t="s">
        <v>913</v>
      </c>
      <c r="C635" s="19">
        <v>102</v>
      </c>
      <c r="D635" s="19" t="s">
        <v>1310</v>
      </c>
      <c r="E635" s="20">
        <v>43546</v>
      </c>
      <c r="F635" s="19"/>
      <c r="G635" s="19" t="s">
        <v>236</v>
      </c>
      <c r="H635" s="19">
        <v>43</v>
      </c>
      <c r="I635" s="19"/>
      <c r="J635" s="19" t="s">
        <v>237</v>
      </c>
      <c r="K635" s="19"/>
      <c r="L635" s="19"/>
      <c r="M635" s="19"/>
      <c r="N635" s="19"/>
      <c r="O635" s="19"/>
      <c r="P635" s="19"/>
      <c r="Q635" s="19"/>
      <c r="R635" s="19"/>
      <c r="S635" s="19"/>
      <c r="T635" s="19"/>
      <c r="U635" s="19"/>
      <c r="V635" s="19"/>
      <c r="W635" s="19"/>
      <c r="X635" s="19"/>
      <c r="Y635" s="19"/>
      <c r="Z635" t="str">
        <f>IF(Tabela1[[#This Row],[1]]&lt;&gt;"",IF(ISNUMBER(FIND(",",Tabela1[[#This Row],[1]])),LEN(Tabela1[[#This Row],[1]])-LEN(SUBSTITUTE(Tabela1[[#This Row],[1]],",",""))+1,1),"")</f>
        <v/>
      </c>
      <c r="AA635">
        <f>IF(Tabela1[[#This Row],[2]]&lt;&gt;"",IF(ISNUMBER(FIND(",",Tabela1[[#This Row],[2]])),LEN(Tabela1[[#This Row],[2]])-LEN(SUBSTITUTE(Tabela1[[#This Row],[2]],",",""))+1,1),"")</f>
        <v>2</v>
      </c>
      <c r="AB635">
        <f>IF(Tabela1[[#This Row],[3]]&lt;&gt;"",IF(ISNUMBER(FIND(",",Tabela1[[#This Row],[3]])),LEN(Tabela1[[#This Row],[3]])-LEN(SUBSTITUTE(Tabela1[[#This Row],[3]],",",""))+1,1),"")</f>
        <v>1</v>
      </c>
      <c r="AC635" t="str">
        <f>IF(Tabela1[[#This Row],[4]]&lt;&gt;"",IF(ISNUMBER(FIND(",",Tabela1[[#This Row],[4]])),LEN(Tabela1[[#This Row],[4]])-LEN(SUBSTITUTE(Tabela1[[#This Row],[4]],",",""))+1,1),"")</f>
        <v/>
      </c>
      <c r="AD635">
        <f>IF(Tabela1[[#This Row],[5]]&lt;&gt;"",IF(ISNUMBER(FIND(",",Tabela1[[#This Row],[5]])),LEN(Tabela1[[#This Row],[5]])-LEN(SUBSTITUTE(Tabela1[[#This Row],[5]],",",""))+1,1),"")</f>
        <v>2</v>
      </c>
      <c r="AE635" t="str">
        <f>IF(Tabela1[[#This Row],[6]]&lt;&gt;"",IF(ISNUMBER(FIND(",",Tabela1[[#This Row],[6]])),LEN(Tabela1[[#This Row],[6]])-LEN(SUBSTITUTE(Tabela1[[#This Row],[6]],",",""))+1,1),"")</f>
        <v/>
      </c>
      <c r="AF635" t="str">
        <f>IF(Tabela1[[#This Row],[7]]&lt;&gt;"",IF(ISNUMBER(FIND(",",Tabela1[[#This Row],[7]])),LEN(Tabela1[[#This Row],[7]])-LEN(SUBSTITUTE(Tabela1[[#This Row],[7]],",",""))+1,1),"")</f>
        <v/>
      </c>
      <c r="AG635" t="str">
        <f>IF(Tabela1[[#This Row],[8]]&lt;&gt;"",IF(ISNUMBER(FIND(",",Tabela1[[#This Row],[8]])),LEN(Tabela1[[#This Row],[8]])-LEN(SUBSTITUTE(Tabela1[[#This Row],[8]],",",""))+1,1),"")</f>
        <v/>
      </c>
      <c r="AH635" t="str">
        <f>IF(Tabela1[[#This Row],[9]]&lt;&gt;"",IF(ISNUMBER(FIND(",",Tabela1[[#This Row],[9]])),LEN(Tabela1[[#This Row],[9]])-LEN(SUBSTITUTE(Tabela1[[#This Row],[9]],",",""))+1,1),"")</f>
        <v/>
      </c>
      <c r="AI635" t="str">
        <f>IF(Tabela1[[#This Row],[10]]&lt;&gt;"",IF(ISNUMBER(FIND(",",Tabela1[[#This Row],[10]])),LEN(Tabela1[[#This Row],[10]])-LEN(SUBSTITUTE(Tabela1[[#This Row],[10]],",",""))+1,1),"")</f>
        <v/>
      </c>
      <c r="AJ635" t="str">
        <f>IF(Tabela1[[#This Row],[11]]&lt;&gt;"",IF(ISNUMBER(FIND(",",Tabela1[[#This Row],[11]])),LEN(Tabela1[[#This Row],[11]])-LEN(SUBSTITUTE(Tabela1[[#This Row],[11]],",",""))+1,1),"")</f>
        <v/>
      </c>
      <c r="AK635" t="str">
        <f>IF(Tabela1[[#This Row],[12]]&lt;&gt;"",IF(ISNUMBER(FIND(",",Tabela1[[#This Row],[12]])),LEN(Tabela1[[#This Row],[12]])-LEN(SUBSTITUTE(Tabela1[[#This Row],[12]],",",""))+1,1),"")</f>
        <v/>
      </c>
      <c r="AL635" t="str">
        <f>IF(Tabela1[[#This Row],[13]]&lt;&gt;"",IF(ISNUMBER(FIND(",",Tabela1[[#This Row],[13]])),LEN(Tabela1[[#This Row],[13]])-LEN(SUBSTITUTE(Tabela1[[#This Row],[13]],",",""))+1,1),"")</f>
        <v/>
      </c>
      <c r="AM635" t="str">
        <f>IF(Tabela1[[#This Row],[14]]&lt;&gt;"",IF(ISNUMBER(FIND(",",Tabela1[[#This Row],[14]])),LEN(Tabela1[[#This Row],[14]])-LEN(SUBSTITUTE(Tabela1[[#This Row],[14]],",",""))+1,1),"")</f>
        <v/>
      </c>
      <c r="AN635" t="str">
        <f>IF(Tabela1[[#This Row],[15]]&lt;&gt;"",IF(ISNUMBER(FIND(",",Tabela1[[#This Row],[15]])),LEN(Tabela1[[#This Row],[15]])-LEN(SUBSTITUTE(Tabela1[[#This Row],[15]],",",""))+1,1),"")</f>
        <v/>
      </c>
      <c r="AO635" t="str">
        <f>IF(Tabela1[[#This Row],[16]]&lt;&gt;"",IF(ISNUMBER(FIND(",",Tabela1[[#This Row],[16]])),LEN(Tabela1[[#This Row],[16]])-LEN(SUBSTITUTE(Tabela1[[#This Row],[16]],",",""))+1,1),"")</f>
        <v/>
      </c>
      <c r="AP635" t="str">
        <f>IF(Tabela1[[#This Row],[17]]&lt;&gt;"",IF(ISNUMBER(FIND(",",Tabela1[[#This Row],[17]])),LEN(Tabela1[[#This Row],[17]])-LEN(SUBSTITUTE(Tabela1[[#This Row],[17]],",",""))+1,1),"")</f>
        <v/>
      </c>
      <c r="AQ635" t="str">
        <f>IF(Tabela1[[#This Row],[18]]&lt;&gt;"",IF(ISNUMBER(FIND(",",Tabela1[[#This Row],[18]])),LEN(Tabela1[[#This Row],[18]])-LEN(SUBSTITUTE(Tabela1[[#This Row],[18]],",",""))+1,1),"")</f>
        <v/>
      </c>
      <c r="AR635" s="13" t="str">
        <f>IF(Tabela1[[#This Row],[19_LENGTH]]&lt;&gt;"",IF(ISNUMBER(FIND(",",Tabela1[[#This Row],[19_LENGTH]])),LEN(Tabela1[[#This Row],[19_LENGTH]])-LEN(SUBSTITUTE(Tabela1[[#This Row],[19_LENGTH]],",",""))+1,1),"")</f>
        <v/>
      </c>
      <c r="AS635" s="21">
        <f>SUM(Tabela1[[#This Row],[1_]:[19_]])</f>
        <v>5</v>
      </c>
    </row>
    <row r="636" spans="1:45" x14ac:dyDescent="0.25">
      <c r="A636" s="27" t="s">
        <v>1328</v>
      </c>
      <c r="B636" s="19" t="s">
        <v>914</v>
      </c>
      <c r="C636" s="19">
        <v>102</v>
      </c>
      <c r="D636" s="19" t="s">
        <v>1310</v>
      </c>
      <c r="E636" s="20">
        <v>43546</v>
      </c>
      <c r="F636" s="19"/>
      <c r="G636" s="19"/>
      <c r="H636" s="19"/>
      <c r="I636" s="19"/>
      <c r="J636" s="19">
        <v>10</v>
      </c>
      <c r="K636" s="19">
        <v>4</v>
      </c>
      <c r="L636" s="19"/>
      <c r="M636" s="19"/>
      <c r="N636" s="19"/>
      <c r="O636" s="19"/>
      <c r="P636" s="19"/>
      <c r="Q636" s="19"/>
      <c r="R636" s="19"/>
      <c r="S636" s="19"/>
      <c r="T636" s="19"/>
      <c r="U636" s="19"/>
      <c r="V636" s="19"/>
      <c r="W636" s="19"/>
      <c r="X636" s="19"/>
      <c r="Y636" s="19"/>
      <c r="Z636" t="str">
        <f>IF(Tabela1[[#This Row],[1]]&lt;&gt;"",IF(ISNUMBER(FIND(",",Tabela1[[#This Row],[1]])),LEN(Tabela1[[#This Row],[1]])-LEN(SUBSTITUTE(Tabela1[[#This Row],[1]],",",""))+1,1),"")</f>
        <v/>
      </c>
      <c r="AA636" t="str">
        <f>IF(Tabela1[[#This Row],[2]]&lt;&gt;"",IF(ISNUMBER(FIND(",",Tabela1[[#This Row],[2]])),LEN(Tabela1[[#This Row],[2]])-LEN(SUBSTITUTE(Tabela1[[#This Row],[2]],",",""))+1,1),"")</f>
        <v/>
      </c>
      <c r="AB636" t="str">
        <f>IF(Tabela1[[#This Row],[3]]&lt;&gt;"",IF(ISNUMBER(FIND(",",Tabela1[[#This Row],[3]])),LEN(Tabela1[[#This Row],[3]])-LEN(SUBSTITUTE(Tabela1[[#This Row],[3]],",",""))+1,1),"")</f>
        <v/>
      </c>
      <c r="AC636" t="str">
        <f>IF(Tabela1[[#This Row],[4]]&lt;&gt;"",IF(ISNUMBER(FIND(",",Tabela1[[#This Row],[4]])),LEN(Tabela1[[#This Row],[4]])-LEN(SUBSTITUTE(Tabela1[[#This Row],[4]],",",""))+1,1),"")</f>
        <v/>
      </c>
      <c r="AD636">
        <f>IF(Tabela1[[#This Row],[5]]&lt;&gt;"",IF(ISNUMBER(FIND(",",Tabela1[[#This Row],[5]])),LEN(Tabela1[[#This Row],[5]])-LEN(SUBSTITUTE(Tabela1[[#This Row],[5]],",",""))+1,1),"")</f>
        <v>1</v>
      </c>
      <c r="AE636">
        <f>IF(Tabela1[[#This Row],[6]]&lt;&gt;"",IF(ISNUMBER(FIND(",",Tabela1[[#This Row],[6]])),LEN(Tabela1[[#This Row],[6]])-LEN(SUBSTITUTE(Tabela1[[#This Row],[6]],",",""))+1,1),"")</f>
        <v>1</v>
      </c>
      <c r="AF636" t="str">
        <f>IF(Tabela1[[#This Row],[7]]&lt;&gt;"",IF(ISNUMBER(FIND(",",Tabela1[[#This Row],[7]])),LEN(Tabela1[[#This Row],[7]])-LEN(SUBSTITUTE(Tabela1[[#This Row],[7]],",",""))+1,1),"")</f>
        <v/>
      </c>
      <c r="AG636" t="str">
        <f>IF(Tabela1[[#This Row],[8]]&lt;&gt;"",IF(ISNUMBER(FIND(",",Tabela1[[#This Row],[8]])),LEN(Tabela1[[#This Row],[8]])-LEN(SUBSTITUTE(Tabela1[[#This Row],[8]],",",""))+1,1),"")</f>
        <v/>
      </c>
      <c r="AH636" t="str">
        <f>IF(Tabela1[[#This Row],[9]]&lt;&gt;"",IF(ISNUMBER(FIND(",",Tabela1[[#This Row],[9]])),LEN(Tabela1[[#This Row],[9]])-LEN(SUBSTITUTE(Tabela1[[#This Row],[9]],",",""))+1,1),"")</f>
        <v/>
      </c>
      <c r="AI636" t="str">
        <f>IF(Tabela1[[#This Row],[10]]&lt;&gt;"",IF(ISNUMBER(FIND(",",Tabela1[[#This Row],[10]])),LEN(Tabela1[[#This Row],[10]])-LEN(SUBSTITUTE(Tabela1[[#This Row],[10]],",",""))+1,1),"")</f>
        <v/>
      </c>
      <c r="AJ636" t="str">
        <f>IF(Tabela1[[#This Row],[11]]&lt;&gt;"",IF(ISNUMBER(FIND(",",Tabela1[[#This Row],[11]])),LEN(Tabela1[[#This Row],[11]])-LEN(SUBSTITUTE(Tabela1[[#This Row],[11]],",",""))+1,1),"")</f>
        <v/>
      </c>
      <c r="AK636" t="str">
        <f>IF(Tabela1[[#This Row],[12]]&lt;&gt;"",IF(ISNUMBER(FIND(",",Tabela1[[#This Row],[12]])),LEN(Tabela1[[#This Row],[12]])-LEN(SUBSTITUTE(Tabela1[[#This Row],[12]],",",""))+1,1),"")</f>
        <v/>
      </c>
      <c r="AL636" t="str">
        <f>IF(Tabela1[[#This Row],[13]]&lt;&gt;"",IF(ISNUMBER(FIND(",",Tabela1[[#This Row],[13]])),LEN(Tabela1[[#This Row],[13]])-LEN(SUBSTITUTE(Tabela1[[#This Row],[13]],",",""))+1,1),"")</f>
        <v/>
      </c>
      <c r="AM636" t="str">
        <f>IF(Tabela1[[#This Row],[14]]&lt;&gt;"",IF(ISNUMBER(FIND(",",Tabela1[[#This Row],[14]])),LEN(Tabela1[[#This Row],[14]])-LEN(SUBSTITUTE(Tabela1[[#This Row],[14]],",",""))+1,1),"")</f>
        <v/>
      </c>
      <c r="AN636" t="str">
        <f>IF(Tabela1[[#This Row],[15]]&lt;&gt;"",IF(ISNUMBER(FIND(",",Tabela1[[#This Row],[15]])),LEN(Tabela1[[#This Row],[15]])-LEN(SUBSTITUTE(Tabela1[[#This Row],[15]],",",""))+1,1),"")</f>
        <v/>
      </c>
      <c r="AO636" t="str">
        <f>IF(Tabela1[[#This Row],[16]]&lt;&gt;"",IF(ISNUMBER(FIND(",",Tabela1[[#This Row],[16]])),LEN(Tabela1[[#This Row],[16]])-LEN(SUBSTITUTE(Tabela1[[#This Row],[16]],",",""))+1,1),"")</f>
        <v/>
      </c>
      <c r="AP636" t="str">
        <f>IF(Tabela1[[#This Row],[17]]&lt;&gt;"",IF(ISNUMBER(FIND(",",Tabela1[[#This Row],[17]])),LEN(Tabela1[[#This Row],[17]])-LEN(SUBSTITUTE(Tabela1[[#This Row],[17]],",",""))+1,1),"")</f>
        <v/>
      </c>
      <c r="AQ636" t="str">
        <f>IF(Tabela1[[#This Row],[18]]&lt;&gt;"",IF(ISNUMBER(FIND(",",Tabela1[[#This Row],[18]])),LEN(Tabela1[[#This Row],[18]])-LEN(SUBSTITUTE(Tabela1[[#This Row],[18]],",",""))+1,1),"")</f>
        <v/>
      </c>
      <c r="AR636" s="13" t="str">
        <f>IF(Tabela1[[#This Row],[19_LENGTH]]&lt;&gt;"",IF(ISNUMBER(FIND(",",Tabela1[[#This Row],[19_LENGTH]])),LEN(Tabela1[[#This Row],[19_LENGTH]])-LEN(SUBSTITUTE(Tabela1[[#This Row],[19_LENGTH]],",",""))+1,1),"")</f>
        <v/>
      </c>
      <c r="AS636" s="21">
        <f>SUM(Tabela1[[#This Row],[1_]:[19_]])</f>
        <v>2</v>
      </c>
    </row>
    <row r="637" spans="1:45" x14ac:dyDescent="0.25">
      <c r="A637" s="27" t="s">
        <v>1325</v>
      </c>
      <c r="B637" s="19" t="s">
        <v>915</v>
      </c>
      <c r="C637" s="19">
        <v>202</v>
      </c>
      <c r="D637" s="19" t="s">
        <v>1297</v>
      </c>
      <c r="E637" s="20">
        <v>43546</v>
      </c>
      <c r="F637" s="19"/>
      <c r="G637" s="19"/>
      <c r="H637" s="19" t="s">
        <v>238</v>
      </c>
      <c r="I637" s="19"/>
      <c r="J637" s="19"/>
      <c r="K637" s="19"/>
      <c r="L637" s="19"/>
      <c r="M637" s="19"/>
      <c r="N637" s="19"/>
      <c r="O637" s="19"/>
      <c r="P637" s="19"/>
      <c r="Q637" s="19"/>
      <c r="R637" s="19"/>
      <c r="S637" s="19"/>
      <c r="T637" s="19"/>
      <c r="U637" s="19"/>
      <c r="V637" s="19"/>
      <c r="W637" s="19"/>
      <c r="X637" s="19"/>
      <c r="Y637" s="19"/>
      <c r="Z637" t="str">
        <f>IF(Tabela1[[#This Row],[1]]&lt;&gt;"",IF(ISNUMBER(FIND(",",Tabela1[[#This Row],[1]])),LEN(Tabela1[[#This Row],[1]])-LEN(SUBSTITUTE(Tabela1[[#This Row],[1]],",",""))+1,1),"")</f>
        <v/>
      </c>
      <c r="AA637" t="str">
        <f>IF(Tabela1[[#This Row],[2]]&lt;&gt;"",IF(ISNUMBER(FIND(",",Tabela1[[#This Row],[2]])),LEN(Tabela1[[#This Row],[2]])-LEN(SUBSTITUTE(Tabela1[[#This Row],[2]],",",""))+1,1),"")</f>
        <v/>
      </c>
      <c r="AB637">
        <f>IF(Tabela1[[#This Row],[3]]&lt;&gt;"",IF(ISNUMBER(FIND(",",Tabela1[[#This Row],[3]])),LEN(Tabela1[[#This Row],[3]])-LEN(SUBSTITUTE(Tabela1[[#This Row],[3]],",",""))+1,1),"")</f>
        <v>1</v>
      </c>
      <c r="AC637" t="str">
        <f>IF(Tabela1[[#This Row],[4]]&lt;&gt;"",IF(ISNUMBER(FIND(",",Tabela1[[#This Row],[4]])),LEN(Tabela1[[#This Row],[4]])-LEN(SUBSTITUTE(Tabela1[[#This Row],[4]],",",""))+1,1),"")</f>
        <v/>
      </c>
      <c r="AD637" t="str">
        <f>IF(Tabela1[[#This Row],[5]]&lt;&gt;"",IF(ISNUMBER(FIND(",",Tabela1[[#This Row],[5]])),LEN(Tabela1[[#This Row],[5]])-LEN(SUBSTITUTE(Tabela1[[#This Row],[5]],",",""))+1,1),"")</f>
        <v/>
      </c>
      <c r="AE637" t="str">
        <f>IF(Tabela1[[#This Row],[6]]&lt;&gt;"",IF(ISNUMBER(FIND(",",Tabela1[[#This Row],[6]])),LEN(Tabela1[[#This Row],[6]])-LEN(SUBSTITUTE(Tabela1[[#This Row],[6]],",",""))+1,1),"")</f>
        <v/>
      </c>
      <c r="AF637" t="str">
        <f>IF(Tabela1[[#This Row],[7]]&lt;&gt;"",IF(ISNUMBER(FIND(",",Tabela1[[#This Row],[7]])),LEN(Tabela1[[#This Row],[7]])-LEN(SUBSTITUTE(Tabela1[[#This Row],[7]],",",""))+1,1),"")</f>
        <v/>
      </c>
      <c r="AG637" t="str">
        <f>IF(Tabela1[[#This Row],[8]]&lt;&gt;"",IF(ISNUMBER(FIND(",",Tabela1[[#This Row],[8]])),LEN(Tabela1[[#This Row],[8]])-LEN(SUBSTITUTE(Tabela1[[#This Row],[8]],",",""))+1,1),"")</f>
        <v/>
      </c>
      <c r="AH637" t="str">
        <f>IF(Tabela1[[#This Row],[9]]&lt;&gt;"",IF(ISNUMBER(FIND(",",Tabela1[[#This Row],[9]])),LEN(Tabela1[[#This Row],[9]])-LEN(SUBSTITUTE(Tabela1[[#This Row],[9]],",",""))+1,1),"")</f>
        <v/>
      </c>
      <c r="AI637" t="str">
        <f>IF(Tabela1[[#This Row],[10]]&lt;&gt;"",IF(ISNUMBER(FIND(",",Tabela1[[#This Row],[10]])),LEN(Tabela1[[#This Row],[10]])-LEN(SUBSTITUTE(Tabela1[[#This Row],[10]],",",""))+1,1),"")</f>
        <v/>
      </c>
      <c r="AJ637" t="str">
        <f>IF(Tabela1[[#This Row],[11]]&lt;&gt;"",IF(ISNUMBER(FIND(",",Tabela1[[#This Row],[11]])),LEN(Tabela1[[#This Row],[11]])-LEN(SUBSTITUTE(Tabela1[[#This Row],[11]],",",""))+1,1),"")</f>
        <v/>
      </c>
      <c r="AK637" t="str">
        <f>IF(Tabela1[[#This Row],[12]]&lt;&gt;"",IF(ISNUMBER(FIND(",",Tabela1[[#This Row],[12]])),LEN(Tabela1[[#This Row],[12]])-LEN(SUBSTITUTE(Tabela1[[#This Row],[12]],",",""))+1,1),"")</f>
        <v/>
      </c>
      <c r="AL637" t="str">
        <f>IF(Tabela1[[#This Row],[13]]&lt;&gt;"",IF(ISNUMBER(FIND(",",Tabela1[[#This Row],[13]])),LEN(Tabela1[[#This Row],[13]])-LEN(SUBSTITUTE(Tabela1[[#This Row],[13]],",",""))+1,1),"")</f>
        <v/>
      </c>
      <c r="AM637" t="str">
        <f>IF(Tabela1[[#This Row],[14]]&lt;&gt;"",IF(ISNUMBER(FIND(",",Tabela1[[#This Row],[14]])),LEN(Tabela1[[#This Row],[14]])-LEN(SUBSTITUTE(Tabela1[[#This Row],[14]],",",""))+1,1),"")</f>
        <v/>
      </c>
      <c r="AN637" t="str">
        <f>IF(Tabela1[[#This Row],[15]]&lt;&gt;"",IF(ISNUMBER(FIND(",",Tabela1[[#This Row],[15]])),LEN(Tabela1[[#This Row],[15]])-LEN(SUBSTITUTE(Tabela1[[#This Row],[15]],",",""))+1,1),"")</f>
        <v/>
      </c>
      <c r="AO637" t="str">
        <f>IF(Tabela1[[#This Row],[16]]&lt;&gt;"",IF(ISNUMBER(FIND(",",Tabela1[[#This Row],[16]])),LEN(Tabela1[[#This Row],[16]])-LEN(SUBSTITUTE(Tabela1[[#This Row],[16]],",",""))+1,1),"")</f>
        <v/>
      </c>
      <c r="AP637" t="str">
        <f>IF(Tabela1[[#This Row],[17]]&lt;&gt;"",IF(ISNUMBER(FIND(",",Tabela1[[#This Row],[17]])),LEN(Tabela1[[#This Row],[17]])-LEN(SUBSTITUTE(Tabela1[[#This Row],[17]],",",""))+1,1),"")</f>
        <v/>
      </c>
      <c r="AQ637" t="str">
        <f>IF(Tabela1[[#This Row],[18]]&lt;&gt;"",IF(ISNUMBER(FIND(",",Tabela1[[#This Row],[18]])),LEN(Tabela1[[#This Row],[18]])-LEN(SUBSTITUTE(Tabela1[[#This Row],[18]],",",""))+1,1),"")</f>
        <v/>
      </c>
      <c r="AR637" s="13" t="str">
        <f>IF(Tabela1[[#This Row],[19_LENGTH]]&lt;&gt;"",IF(ISNUMBER(FIND(",",Tabela1[[#This Row],[19_LENGTH]])),LEN(Tabela1[[#This Row],[19_LENGTH]])-LEN(SUBSTITUTE(Tabela1[[#This Row],[19_LENGTH]],",",""))+1,1),"")</f>
        <v/>
      </c>
      <c r="AS637" s="21">
        <f>SUM(Tabela1[[#This Row],[1_]:[19_]])</f>
        <v>1</v>
      </c>
    </row>
    <row r="638" spans="1:45" x14ac:dyDescent="0.25">
      <c r="A638" s="27" t="s">
        <v>1325</v>
      </c>
      <c r="B638" s="19" t="s">
        <v>916</v>
      </c>
      <c r="C638" s="19">
        <v>114</v>
      </c>
      <c r="D638" s="19" t="s">
        <v>1297</v>
      </c>
      <c r="E638" s="20">
        <v>43546</v>
      </c>
      <c r="F638" s="19"/>
      <c r="G638" s="19"/>
      <c r="H638" s="19">
        <v>54</v>
      </c>
      <c r="I638" s="19">
        <v>94</v>
      </c>
      <c r="J638" s="19"/>
      <c r="K638" s="19"/>
      <c r="L638" s="19"/>
      <c r="M638" s="19"/>
      <c r="N638" s="19"/>
      <c r="O638" s="19"/>
      <c r="P638" s="19"/>
      <c r="Q638" s="19"/>
      <c r="R638" s="19"/>
      <c r="S638" s="19"/>
      <c r="T638" s="19"/>
      <c r="U638" s="19"/>
      <c r="V638" s="19"/>
      <c r="W638" s="19"/>
      <c r="X638" s="19"/>
      <c r="Y638" s="19"/>
      <c r="Z638" t="str">
        <f>IF(Tabela1[[#This Row],[1]]&lt;&gt;"",IF(ISNUMBER(FIND(",",Tabela1[[#This Row],[1]])),LEN(Tabela1[[#This Row],[1]])-LEN(SUBSTITUTE(Tabela1[[#This Row],[1]],",",""))+1,1),"")</f>
        <v/>
      </c>
      <c r="AA638" t="str">
        <f>IF(Tabela1[[#This Row],[2]]&lt;&gt;"",IF(ISNUMBER(FIND(",",Tabela1[[#This Row],[2]])),LEN(Tabela1[[#This Row],[2]])-LEN(SUBSTITUTE(Tabela1[[#This Row],[2]],",",""))+1,1),"")</f>
        <v/>
      </c>
      <c r="AB638">
        <f>IF(Tabela1[[#This Row],[3]]&lt;&gt;"",IF(ISNUMBER(FIND(",",Tabela1[[#This Row],[3]])),LEN(Tabela1[[#This Row],[3]])-LEN(SUBSTITUTE(Tabela1[[#This Row],[3]],",",""))+1,1),"")</f>
        <v>1</v>
      </c>
      <c r="AC638">
        <f>IF(Tabela1[[#This Row],[4]]&lt;&gt;"",IF(ISNUMBER(FIND(",",Tabela1[[#This Row],[4]])),LEN(Tabela1[[#This Row],[4]])-LEN(SUBSTITUTE(Tabela1[[#This Row],[4]],",",""))+1,1),"")</f>
        <v>1</v>
      </c>
      <c r="AD638" t="str">
        <f>IF(Tabela1[[#This Row],[5]]&lt;&gt;"",IF(ISNUMBER(FIND(",",Tabela1[[#This Row],[5]])),LEN(Tabela1[[#This Row],[5]])-LEN(SUBSTITUTE(Tabela1[[#This Row],[5]],",",""))+1,1),"")</f>
        <v/>
      </c>
      <c r="AE638" t="str">
        <f>IF(Tabela1[[#This Row],[6]]&lt;&gt;"",IF(ISNUMBER(FIND(",",Tabela1[[#This Row],[6]])),LEN(Tabela1[[#This Row],[6]])-LEN(SUBSTITUTE(Tabela1[[#This Row],[6]],",",""))+1,1),"")</f>
        <v/>
      </c>
      <c r="AF638" t="str">
        <f>IF(Tabela1[[#This Row],[7]]&lt;&gt;"",IF(ISNUMBER(FIND(",",Tabela1[[#This Row],[7]])),LEN(Tabela1[[#This Row],[7]])-LEN(SUBSTITUTE(Tabela1[[#This Row],[7]],",",""))+1,1),"")</f>
        <v/>
      </c>
      <c r="AG638" t="str">
        <f>IF(Tabela1[[#This Row],[8]]&lt;&gt;"",IF(ISNUMBER(FIND(",",Tabela1[[#This Row],[8]])),LEN(Tabela1[[#This Row],[8]])-LEN(SUBSTITUTE(Tabela1[[#This Row],[8]],",",""))+1,1),"")</f>
        <v/>
      </c>
      <c r="AH638" t="str">
        <f>IF(Tabela1[[#This Row],[9]]&lt;&gt;"",IF(ISNUMBER(FIND(",",Tabela1[[#This Row],[9]])),LEN(Tabela1[[#This Row],[9]])-LEN(SUBSTITUTE(Tabela1[[#This Row],[9]],",",""))+1,1),"")</f>
        <v/>
      </c>
      <c r="AI638" t="str">
        <f>IF(Tabela1[[#This Row],[10]]&lt;&gt;"",IF(ISNUMBER(FIND(",",Tabela1[[#This Row],[10]])),LEN(Tabela1[[#This Row],[10]])-LEN(SUBSTITUTE(Tabela1[[#This Row],[10]],",",""))+1,1),"")</f>
        <v/>
      </c>
      <c r="AJ638" t="str">
        <f>IF(Tabela1[[#This Row],[11]]&lt;&gt;"",IF(ISNUMBER(FIND(",",Tabela1[[#This Row],[11]])),LEN(Tabela1[[#This Row],[11]])-LEN(SUBSTITUTE(Tabela1[[#This Row],[11]],",",""))+1,1),"")</f>
        <v/>
      </c>
      <c r="AK638" t="str">
        <f>IF(Tabela1[[#This Row],[12]]&lt;&gt;"",IF(ISNUMBER(FIND(",",Tabela1[[#This Row],[12]])),LEN(Tabela1[[#This Row],[12]])-LEN(SUBSTITUTE(Tabela1[[#This Row],[12]],",",""))+1,1),"")</f>
        <v/>
      </c>
      <c r="AL638" t="str">
        <f>IF(Tabela1[[#This Row],[13]]&lt;&gt;"",IF(ISNUMBER(FIND(",",Tabela1[[#This Row],[13]])),LEN(Tabela1[[#This Row],[13]])-LEN(SUBSTITUTE(Tabela1[[#This Row],[13]],",",""))+1,1),"")</f>
        <v/>
      </c>
      <c r="AM638" t="str">
        <f>IF(Tabela1[[#This Row],[14]]&lt;&gt;"",IF(ISNUMBER(FIND(",",Tabela1[[#This Row],[14]])),LEN(Tabela1[[#This Row],[14]])-LEN(SUBSTITUTE(Tabela1[[#This Row],[14]],",",""))+1,1),"")</f>
        <v/>
      </c>
      <c r="AN638" t="str">
        <f>IF(Tabela1[[#This Row],[15]]&lt;&gt;"",IF(ISNUMBER(FIND(",",Tabela1[[#This Row],[15]])),LEN(Tabela1[[#This Row],[15]])-LEN(SUBSTITUTE(Tabela1[[#This Row],[15]],",",""))+1,1),"")</f>
        <v/>
      </c>
      <c r="AO638" t="str">
        <f>IF(Tabela1[[#This Row],[16]]&lt;&gt;"",IF(ISNUMBER(FIND(",",Tabela1[[#This Row],[16]])),LEN(Tabela1[[#This Row],[16]])-LEN(SUBSTITUTE(Tabela1[[#This Row],[16]],",",""))+1,1),"")</f>
        <v/>
      </c>
      <c r="AP638" t="str">
        <f>IF(Tabela1[[#This Row],[17]]&lt;&gt;"",IF(ISNUMBER(FIND(",",Tabela1[[#This Row],[17]])),LEN(Tabela1[[#This Row],[17]])-LEN(SUBSTITUTE(Tabela1[[#This Row],[17]],",",""))+1,1),"")</f>
        <v/>
      </c>
      <c r="AQ638" t="str">
        <f>IF(Tabela1[[#This Row],[18]]&lt;&gt;"",IF(ISNUMBER(FIND(",",Tabela1[[#This Row],[18]])),LEN(Tabela1[[#This Row],[18]])-LEN(SUBSTITUTE(Tabela1[[#This Row],[18]],",",""))+1,1),"")</f>
        <v/>
      </c>
      <c r="AR638" s="13" t="str">
        <f>IF(Tabela1[[#This Row],[19_LENGTH]]&lt;&gt;"",IF(ISNUMBER(FIND(",",Tabela1[[#This Row],[19_LENGTH]])),LEN(Tabela1[[#This Row],[19_LENGTH]])-LEN(SUBSTITUTE(Tabela1[[#This Row],[19_LENGTH]],",",""))+1,1),"")</f>
        <v/>
      </c>
      <c r="AS638" s="21">
        <f>SUM(Tabela1[[#This Row],[1_]:[19_]])</f>
        <v>2</v>
      </c>
    </row>
    <row r="639" spans="1:45" x14ac:dyDescent="0.25">
      <c r="A639" s="27" t="s">
        <v>1325</v>
      </c>
      <c r="B639" s="19" t="s">
        <v>917</v>
      </c>
      <c r="C639" s="19">
        <v>200</v>
      </c>
      <c r="D639" s="19" t="s">
        <v>1297</v>
      </c>
      <c r="E639" s="20">
        <v>43546</v>
      </c>
      <c r="F639" s="19"/>
      <c r="G639" s="19"/>
      <c r="H639" s="19"/>
      <c r="I639" s="19" t="s">
        <v>239</v>
      </c>
      <c r="J639" s="19"/>
      <c r="K639" s="19"/>
      <c r="L639" s="19"/>
      <c r="M639" s="19"/>
      <c r="N639" s="19"/>
      <c r="O639" s="19"/>
      <c r="P639" s="19"/>
      <c r="Q639" s="19"/>
      <c r="R639" s="19"/>
      <c r="S639" s="19"/>
      <c r="T639" s="19"/>
      <c r="U639" s="19"/>
      <c r="V639" s="19"/>
      <c r="W639" s="19"/>
      <c r="X639" s="19"/>
      <c r="Y639" s="19"/>
      <c r="Z639" t="str">
        <f>IF(Tabela1[[#This Row],[1]]&lt;&gt;"",IF(ISNUMBER(FIND(",",Tabela1[[#This Row],[1]])),LEN(Tabela1[[#This Row],[1]])-LEN(SUBSTITUTE(Tabela1[[#This Row],[1]],",",""))+1,1),"")</f>
        <v/>
      </c>
      <c r="AA639" t="str">
        <f>IF(Tabela1[[#This Row],[2]]&lt;&gt;"",IF(ISNUMBER(FIND(",",Tabela1[[#This Row],[2]])),LEN(Tabela1[[#This Row],[2]])-LEN(SUBSTITUTE(Tabela1[[#This Row],[2]],",",""))+1,1),"")</f>
        <v/>
      </c>
      <c r="AB639" t="str">
        <f>IF(Tabela1[[#This Row],[3]]&lt;&gt;"",IF(ISNUMBER(FIND(",",Tabela1[[#This Row],[3]])),LEN(Tabela1[[#This Row],[3]])-LEN(SUBSTITUTE(Tabela1[[#This Row],[3]],",",""))+1,1),"")</f>
        <v/>
      </c>
      <c r="AC639">
        <f>IF(Tabela1[[#This Row],[4]]&lt;&gt;"",IF(ISNUMBER(FIND(",",Tabela1[[#This Row],[4]])),LEN(Tabela1[[#This Row],[4]])-LEN(SUBSTITUTE(Tabela1[[#This Row],[4]],",",""))+1,1),"")</f>
        <v>2</v>
      </c>
      <c r="AD639" t="str">
        <f>IF(Tabela1[[#This Row],[5]]&lt;&gt;"",IF(ISNUMBER(FIND(",",Tabela1[[#This Row],[5]])),LEN(Tabela1[[#This Row],[5]])-LEN(SUBSTITUTE(Tabela1[[#This Row],[5]],",",""))+1,1),"")</f>
        <v/>
      </c>
      <c r="AE639" t="str">
        <f>IF(Tabela1[[#This Row],[6]]&lt;&gt;"",IF(ISNUMBER(FIND(",",Tabela1[[#This Row],[6]])),LEN(Tabela1[[#This Row],[6]])-LEN(SUBSTITUTE(Tabela1[[#This Row],[6]],",",""))+1,1),"")</f>
        <v/>
      </c>
      <c r="AF639" t="str">
        <f>IF(Tabela1[[#This Row],[7]]&lt;&gt;"",IF(ISNUMBER(FIND(",",Tabela1[[#This Row],[7]])),LEN(Tabela1[[#This Row],[7]])-LEN(SUBSTITUTE(Tabela1[[#This Row],[7]],",",""))+1,1),"")</f>
        <v/>
      </c>
      <c r="AG639" t="str">
        <f>IF(Tabela1[[#This Row],[8]]&lt;&gt;"",IF(ISNUMBER(FIND(",",Tabela1[[#This Row],[8]])),LEN(Tabela1[[#This Row],[8]])-LEN(SUBSTITUTE(Tabela1[[#This Row],[8]],",",""))+1,1),"")</f>
        <v/>
      </c>
      <c r="AH639" t="str">
        <f>IF(Tabela1[[#This Row],[9]]&lt;&gt;"",IF(ISNUMBER(FIND(",",Tabela1[[#This Row],[9]])),LEN(Tabela1[[#This Row],[9]])-LEN(SUBSTITUTE(Tabela1[[#This Row],[9]],",",""))+1,1),"")</f>
        <v/>
      </c>
      <c r="AI639" t="str">
        <f>IF(Tabela1[[#This Row],[10]]&lt;&gt;"",IF(ISNUMBER(FIND(",",Tabela1[[#This Row],[10]])),LEN(Tabela1[[#This Row],[10]])-LEN(SUBSTITUTE(Tabela1[[#This Row],[10]],",",""))+1,1),"")</f>
        <v/>
      </c>
      <c r="AJ639" t="str">
        <f>IF(Tabela1[[#This Row],[11]]&lt;&gt;"",IF(ISNUMBER(FIND(",",Tabela1[[#This Row],[11]])),LEN(Tabela1[[#This Row],[11]])-LEN(SUBSTITUTE(Tabela1[[#This Row],[11]],",",""))+1,1),"")</f>
        <v/>
      </c>
      <c r="AK639" t="str">
        <f>IF(Tabela1[[#This Row],[12]]&lt;&gt;"",IF(ISNUMBER(FIND(",",Tabela1[[#This Row],[12]])),LEN(Tabela1[[#This Row],[12]])-LEN(SUBSTITUTE(Tabela1[[#This Row],[12]],",",""))+1,1),"")</f>
        <v/>
      </c>
      <c r="AL639" t="str">
        <f>IF(Tabela1[[#This Row],[13]]&lt;&gt;"",IF(ISNUMBER(FIND(",",Tabela1[[#This Row],[13]])),LEN(Tabela1[[#This Row],[13]])-LEN(SUBSTITUTE(Tabela1[[#This Row],[13]],",",""))+1,1),"")</f>
        <v/>
      </c>
      <c r="AM639" t="str">
        <f>IF(Tabela1[[#This Row],[14]]&lt;&gt;"",IF(ISNUMBER(FIND(",",Tabela1[[#This Row],[14]])),LEN(Tabela1[[#This Row],[14]])-LEN(SUBSTITUTE(Tabela1[[#This Row],[14]],",",""))+1,1),"")</f>
        <v/>
      </c>
      <c r="AN639" t="str">
        <f>IF(Tabela1[[#This Row],[15]]&lt;&gt;"",IF(ISNUMBER(FIND(",",Tabela1[[#This Row],[15]])),LEN(Tabela1[[#This Row],[15]])-LEN(SUBSTITUTE(Tabela1[[#This Row],[15]],",",""))+1,1),"")</f>
        <v/>
      </c>
      <c r="AO639" t="str">
        <f>IF(Tabela1[[#This Row],[16]]&lt;&gt;"",IF(ISNUMBER(FIND(",",Tabela1[[#This Row],[16]])),LEN(Tabela1[[#This Row],[16]])-LEN(SUBSTITUTE(Tabela1[[#This Row],[16]],",",""))+1,1),"")</f>
        <v/>
      </c>
      <c r="AP639" t="str">
        <f>IF(Tabela1[[#This Row],[17]]&lt;&gt;"",IF(ISNUMBER(FIND(",",Tabela1[[#This Row],[17]])),LEN(Tabela1[[#This Row],[17]])-LEN(SUBSTITUTE(Tabela1[[#This Row],[17]],",",""))+1,1),"")</f>
        <v/>
      </c>
      <c r="AQ639" t="str">
        <f>IF(Tabela1[[#This Row],[18]]&lt;&gt;"",IF(ISNUMBER(FIND(",",Tabela1[[#This Row],[18]])),LEN(Tabela1[[#This Row],[18]])-LEN(SUBSTITUTE(Tabela1[[#This Row],[18]],",",""))+1,1),"")</f>
        <v/>
      </c>
      <c r="AR639" s="13" t="str">
        <f>IF(Tabela1[[#This Row],[19_LENGTH]]&lt;&gt;"",IF(ISNUMBER(FIND(",",Tabela1[[#This Row],[19_LENGTH]])),LEN(Tabela1[[#This Row],[19_LENGTH]])-LEN(SUBSTITUTE(Tabela1[[#This Row],[19_LENGTH]],",",""))+1,1),"")</f>
        <v/>
      </c>
      <c r="AS639" s="21">
        <f>SUM(Tabela1[[#This Row],[1_]:[19_]])</f>
        <v>2</v>
      </c>
    </row>
    <row r="640" spans="1:45" x14ac:dyDescent="0.25">
      <c r="A640" s="27" t="s">
        <v>1325</v>
      </c>
      <c r="B640" s="19" t="s">
        <v>918</v>
      </c>
      <c r="C640" s="19">
        <v>200</v>
      </c>
      <c r="D640" s="19" t="s">
        <v>1301</v>
      </c>
      <c r="E640" s="20">
        <v>43546</v>
      </c>
      <c r="F640" s="19"/>
      <c r="G640" s="19"/>
      <c r="H640" s="19"/>
      <c r="I640" s="19"/>
      <c r="J640" s="19"/>
      <c r="K640" s="19"/>
      <c r="L640" s="19"/>
      <c r="M640" s="19"/>
      <c r="N640" s="19"/>
      <c r="O640" s="19"/>
      <c r="P640" s="19"/>
      <c r="Q640" s="19"/>
      <c r="R640" s="19"/>
      <c r="S640" s="19"/>
      <c r="T640" s="19"/>
      <c r="U640" s="19">
        <v>174</v>
      </c>
      <c r="V640" s="19"/>
      <c r="W640" s="19"/>
      <c r="X640" s="19"/>
      <c r="Y640" s="19"/>
      <c r="Z640" t="str">
        <f>IF(Tabela1[[#This Row],[1]]&lt;&gt;"",IF(ISNUMBER(FIND(",",Tabela1[[#This Row],[1]])),LEN(Tabela1[[#This Row],[1]])-LEN(SUBSTITUTE(Tabela1[[#This Row],[1]],",",""))+1,1),"")</f>
        <v/>
      </c>
      <c r="AA640" t="str">
        <f>IF(Tabela1[[#This Row],[2]]&lt;&gt;"",IF(ISNUMBER(FIND(",",Tabela1[[#This Row],[2]])),LEN(Tabela1[[#This Row],[2]])-LEN(SUBSTITUTE(Tabela1[[#This Row],[2]],",",""))+1,1),"")</f>
        <v/>
      </c>
      <c r="AB640" t="str">
        <f>IF(Tabela1[[#This Row],[3]]&lt;&gt;"",IF(ISNUMBER(FIND(",",Tabela1[[#This Row],[3]])),LEN(Tabela1[[#This Row],[3]])-LEN(SUBSTITUTE(Tabela1[[#This Row],[3]],",",""))+1,1),"")</f>
        <v/>
      </c>
      <c r="AC640" t="str">
        <f>IF(Tabela1[[#This Row],[4]]&lt;&gt;"",IF(ISNUMBER(FIND(",",Tabela1[[#This Row],[4]])),LEN(Tabela1[[#This Row],[4]])-LEN(SUBSTITUTE(Tabela1[[#This Row],[4]],",",""))+1,1),"")</f>
        <v/>
      </c>
      <c r="AD640" t="str">
        <f>IF(Tabela1[[#This Row],[5]]&lt;&gt;"",IF(ISNUMBER(FIND(",",Tabela1[[#This Row],[5]])),LEN(Tabela1[[#This Row],[5]])-LEN(SUBSTITUTE(Tabela1[[#This Row],[5]],",",""))+1,1),"")</f>
        <v/>
      </c>
      <c r="AE640" t="str">
        <f>IF(Tabela1[[#This Row],[6]]&lt;&gt;"",IF(ISNUMBER(FIND(",",Tabela1[[#This Row],[6]])),LEN(Tabela1[[#This Row],[6]])-LEN(SUBSTITUTE(Tabela1[[#This Row],[6]],",",""))+1,1),"")</f>
        <v/>
      </c>
      <c r="AF640" t="str">
        <f>IF(Tabela1[[#This Row],[7]]&lt;&gt;"",IF(ISNUMBER(FIND(",",Tabela1[[#This Row],[7]])),LEN(Tabela1[[#This Row],[7]])-LEN(SUBSTITUTE(Tabela1[[#This Row],[7]],",",""))+1,1),"")</f>
        <v/>
      </c>
      <c r="AG640" t="str">
        <f>IF(Tabela1[[#This Row],[8]]&lt;&gt;"",IF(ISNUMBER(FIND(",",Tabela1[[#This Row],[8]])),LEN(Tabela1[[#This Row],[8]])-LEN(SUBSTITUTE(Tabela1[[#This Row],[8]],",",""))+1,1),"")</f>
        <v/>
      </c>
      <c r="AH640" t="str">
        <f>IF(Tabela1[[#This Row],[9]]&lt;&gt;"",IF(ISNUMBER(FIND(",",Tabela1[[#This Row],[9]])),LEN(Tabela1[[#This Row],[9]])-LEN(SUBSTITUTE(Tabela1[[#This Row],[9]],",",""))+1,1),"")</f>
        <v/>
      </c>
      <c r="AI640" t="str">
        <f>IF(Tabela1[[#This Row],[10]]&lt;&gt;"",IF(ISNUMBER(FIND(",",Tabela1[[#This Row],[10]])),LEN(Tabela1[[#This Row],[10]])-LEN(SUBSTITUTE(Tabela1[[#This Row],[10]],",",""))+1,1),"")</f>
        <v/>
      </c>
      <c r="AJ640" t="str">
        <f>IF(Tabela1[[#This Row],[11]]&lt;&gt;"",IF(ISNUMBER(FIND(",",Tabela1[[#This Row],[11]])),LEN(Tabela1[[#This Row],[11]])-LEN(SUBSTITUTE(Tabela1[[#This Row],[11]],",",""))+1,1),"")</f>
        <v/>
      </c>
      <c r="AK640" t="str">
        <f>IF(Tabela1[[#This Row],[12]]&lt;&gt;"",IF(ISNUMBER(FIND(",",Tabela1[[#This Row],[12]])),LEN(Tabela1[[#This Row],[12]])-LEN(SUBSTITUTE(Tabela1[[#This Row],[12]],",",""))+1,1),"")</f>
        <v/>
      </c>
      <c r="AL640" t="str">
        <f>IF(Tabela1[[#This Row],[13]]&lt;&gt;"",IF(ISNUMBER(FIND(",",Tabela1[[#This Row],[13]])),LEN(Tabela1[[#This Row],[13]])-LEN(SUBSTITUTE(Tabela1[[#This Row],[13]],",",""))+1,1),"")</f>
        <v/>
      </c>
      <c r="AM640" t="str">
        <f>IF(Tabela1[[#This Row],[14]]&lt;&gt;"",IF(ISNUMBER(FIND(",",Tabela1[[#This Row],[14]])),LEN(Tabela1[[#This Row],[14]])-LEN(SUBSTITUTE(Tabela1[[#This Row],[14]],",",""))+1,1),"")</f>
        <v/>
      </c>
      <c r="AN640" t="str">
        <f>IF(Tabela1[[#This Row],[15]]&lt;&gt;"",IF(ISNUMBER(FIND(",",Tabela1[[#This Row],[15]])),LEN(Tabela1[[#This Row],[15]])-LEN(SUBSTITUTE(Tabela1[[#This Row],[15]],",",""))+1,1),"")</f>
        <v/>
      </c>
      <c r="AO640">
        <f>IF(Tabela1[[#This Row],[16]]&lt;&gt;"",IF(ISNUMBER(FIND(",",Tabela1[[#This Row],[16]])),LEN(Tabela1[[#This Row],[16]])-LEN(SUBSTITUTE(Tabela1[[#This Row],[16]],",",""))+1,1),"")</f>
        <v>1</v>
      </c>
      <c r="AP640" t="str">
        <f>IF(Tabela1[[#This Row],[17]]&lt;&gt;"",IF(ISNUMBER(FIND(",",Tabela1[[#This Row],[17]])),LEN(Tabela1[[#This Row],[17]])-LEN(SUBSTITUTE(Tabela1[[#This Row],[17]],",",""))+1,1),"")</f>
        <v/>
      </c>
      <c r="AQ640" t="str">
        <f>IF(Tabela1[[#This Row],[18]]&lt;&gt;"",IF(ISNUMBER(FIND(",",Tabela1[[#This Row],[18]])),LEN(Tabela1[[#This Row],[18]])-LEN(SUBSTITUTE(Tabela1[[#This Row],[18]],",",""))+1,1),"")</f>
        <v/>
      </c>
      <c r="AR640" s="13" t="str">
        <f>IF(Tabela1[[#This Row],[19_LENGTH]]&lt;&gt;"",IF(ISNUMBER(FIND(",",Tabela1[[#This Row],[19_LENGTH]])),LEN(Tabela1[[#This Row],[19_LENGTH]])-LEN(SUBSTITUTE(Tabela1[[#This Row],[19_LENGTH]],",",""))+1,1),"")</f>
        <v/>
      </c>
      <c r="AS640" s="21">
        <f>SUM(Tabela1[[#This Row],[1_]:[19_]])</f>
        <v>1</v>
      </c>
    </row>
    <row r="641" spans="1:45" x14ac:dyDescent="0.25">
      <c r="A641" s="27" t="s">
        <v>1325</v>
      </c>
      <c r="B641" s="19" t="s">
        <v>919</v>
      </c>
      <c r="C641" s="19">
        <v>202</v>
      </c>
      <c r="D641" s="19" t="s">
        <v>1298</v>
      </c>
      <c r="E641" s="20">
        <v>43546</v>
      </c>
      <c r="F641" s="19"/>
      <c r="G641" s="19"/>
      <c r="H641" s="19"/>
      <c r="I641" s="19">
        <v>169</v>
      </c>
      <c r="J641" s="19"/>
      <c r="K641" s="19"/>
      <c r="L641" s="19"/>
      <c r="M641" s="19"/>
      <c r="N641" s="19"/>
      <c r="O641" s="19"/>
      <c r="P641" s="19"/>
      <c r="Q641" s="19"/>
      <c r="R641" s="19"/>
      <c r="S641" s="19"/>
      <c r="T641" s="19"/>
      <c r="U641" s="19"/>
      <c r="V641" s="19"/>
      <c r="W641" s="19"/>
      <c r="X641" s="19"/>
      <c r="Y641" s="19"/>
      <c r="Z641" t="str">
        <f>IF(Tabela1[[#This Row],[1]]&lt;&gt;"",IF(ISNUMBER(FIND(",",Tabela1[[#This Row],[1]])),LEN(Tabela1[[#This Row],[1]])-LEN(SUBSTITUTE(Tabela1[[#This Row],[1]],",",""))+1,1),"")</f>
        <v/>
      </c>
      <c r="AA641" t="str">
        <f>IF(Tabela1[[#This Row],[2]]&lt;&gt;"",IF(ISNUMBER(FIND(",",Tabela1[[#This Row],[2]])),LEN(Tabela1[[#This Row],[2]])-LEN(SUBSTITUTE(Tabela1[[#This Row],[2]],",",""))+1,1),"")</f>
        <v/>
      </c>
      <c r="AB641" t="str">
        <f>IF(Tabela1[[#This Row],[3]]&lt;&gt;"",IF(ISNUMBER(FIND(",",Tabela1[[#This Row],[3]])),LEN(Tabela1[[#This Row],[3]])-LEN(SUBSTITUTE(Tabela1[[#This Row],[3]],",",""))+1,1),"")</f>
        <v/>
      </c>
      <c r="AC641">
        <f>IF(Tabela1[[#This Row],[4]]&lt;&gt;"",IF(ISNUMBER(FIND(",",Tabela1[[#This Row],[4]])),LEN(Tabela1[[#This Row],[4]])-LEN(SUBSTITUTE(Tabela1[[#This Row],[4]],",",""))+1,1),"")</f>
        <v>1</v>
      </c>
      <c r="AD641" t="str">
        <f>IF(Tabela1[[#This Row],[5]]&lt;&gt;"",IF(ISNUMBER(FIND(",",Tabela1[[#This Row],[5]])),LEN(Tabela1[[#This Row],[5]])-LEN(SUBSTITUTE(Tabela1[[#This Row],[5]],",",""))+1,1),"")</f>
        <v/>
      </c>
      <c r="AE641" t="str">
        <f>IF(Tabela1[[#This Row],[6]]&lt;&gt;"",IF(ISNUMBER(FIND(",",Tabela1[[#This Row],[6]])),LEN(Tabela1[[#This Row],[6]])-LEN(SUBSTITUTE(Tabela1[[#This Row],[6]],",",""))+1,1),"")</f>
        <v/>
      </c>
      <c r="AF641" t="str">
        <f>IF(Tabela1[[#This Row],[7]]&lt;&gt;"",IF(ISNUMBER(FIND(",",Tabela1[[#This Row],[7]])),LEN(Tabela1[[#This Row],[7]])-LEN(SUBSTITUTE(Tabela1[[#This Row],[7]],",",""))+1,1),"")</f>
        <v/>
      </c>
      <c r="AG641" t="str">
        <f>IF(Tabela1[[#This Row],[8]]&lt;&gt;"",IF(ISNUMBER(FIND(",",Tabela1[[#This Row],[8]])),LEN(Tabela1[[#This Row],[8]])-LEN(SUBSTITUTE(Tabela1[[#This Row],[8]],",",""))+1,1),"")</f>
        <v/>
      </c>
      <c r="AH641" t="str">
        <f>IF(Tabela1[[#This Row],[9]]&lt;&gt;"",IF(ISNUMBER(FIND(",",Tabela1[[#This Row],[9]])),LEN(Tabela1[[#This Row],[9]])-LEN(SUBSTITUTE(Tabela1[[#This Row],[9]],",",""))+1,1),"")</f>
        <v/>
      </c>
      <c r="AI641" t="str">
        <f>IF(Tabela1[[#This Row],[10]]&lt;&gt;"",IF(ISNUMBER(FIND(",",Tabela1[[#This Row],[10]])),LEN(Tabela1[[#This Row],[10]])-LEN(SUBSTITUTE(Tabela1[[#This Row],[10]],",",""))+1,1),"")</f>
        <v/>
      </c>
      <c r="AJ641" t="str">
        <f>IF(Tabela1[[#This Row],[11]]&lt;&gt;"",IF(ISNUMBER(FIND(",",Tabela1[[#This Row],[11]])),LEN(Tabela1[[#This Row],[11]])-LEN(SUBSTITUTE(Tabela1[[#This Row],[11]],",",""))+1,1),"")</f>
        <v/>
      </c>
      <c r="AK641" t="str">
        <f>IF(Tabela1[[#This Row],[12]]&lt;&gt;"",IF(ISNUMBER(FIND(",",Tabela1[[#This Row],[12]])),LEN(Tabela1[[#This Row],[12]])-LEN(SUBSTITUTE(Tabela1[[#This Row],[12]],",",""))+1,1),"")</f>
        <v/>
      </c>
      <c r="AL641" t="str">
        <f>IF(Tabela1[[#This Row],[13]]&lt;&gt;"",IF(ISNUMBER(FIND(",",Tabela1[[#This Row],[13]])),LEN(Tabela1[[#This Row],[13]])-LEN(SUBSTITUTE(Tabela1[[#This Row],[13]],",",""))+1,1),"")</f>
        <v/>
      </c>
      <c r="AM641" t="str">
        <f>IF(Tabela1[[#This Row],[14]]&lt;&gt;"",IF(ISNUMBER(FIND(",",Tabela1[[#This Row],[14]])),LEN(Tabela1[[#This Row],[14]])-LEN(SUBSTITUTE(Tabela1[[#This Row],[14]],",",""))+1,1),"")</f>
        <v/>
      </c>
      <c r="AN641" t="str">
        <f>IF(Tabela1[[#This Row],[15]]&lt;&gt;"",IF(ISNUMBER(FIND(",",Tabela1[[#This Row],[15]])),LEN(Tabela1[[#This Row],[15]])-LEN(SUBSTITUTE(Tabela1[[#This Row],[15]],",",""))+1,1),"")</f>
        <v/>
      </c>
      <c r="AO641" t="str">
        <f>IF(Tabela1[[#This Row],[16]]&lt;&gt;"",IF(ISNUMBER(FIND(",",Tabela1[[#This Row],[16]])),LEN(Tabela1[[#This Row],[16]])-LEN(SUBSTITUTE(Tabela1[[#This Row],[16]],",",""))+1,1),"")</f>
        <v/>
      </c>
      <c r="AP641" t="str">
        <f>IF(Tabela1[[#This Row],[17]]&lt;&gt;"",IF(ISNUMBER(FIND(",",Tabela1[[#This Row],[17]])),LEN(Tabela1[[#This Row],[17]])-LEN(SUBSTITUTE(Tabela1[[#This Row],[17]],",",""))+1,1),"")</f>
        <v/>
      </c>
      <c r="AQ641" t="str">
        <f>IF(Tabela1[[#This Row],[18]]&lt;&gt;"",IF(ISNUMBER(FIND(",",Tabela1[[#This Row],[18]])),LEN(Tabela1[[#This Row],[18]])-LEN(SUBSTITUTE(Tabela1[[#This Row],[18]],",",""))+1,1),"")</f>
        <v/>
      </c>
      <c r="AR641" s="13" t="str">
        <f>IF(Tabela1[[#This Row],[19_LENGTH]]&lt;&gt;"",IF(ISNUMBER(FIND(",",Tabela1[[#This Row],[19_LENGTH]])),LEN(Tabela1[[#This Row],[19_LENGTH]])-LEN(SUBSTITUTE(Tabela1[[#This Row],[19_LENGTH]],",",""))+1,1),"")</f>
        <v/>
      </c>
      <c r="AS641" s="21">
        <f>SUM(Tabela1[[#This Row],[1_]:[19_]])</f>
        <v>1</v>
      </c>
    </row>
    <row r="642" spans="1:45" x14ac:dyDescent="0.25">
      <c r="A642" s="27" t="s">
        <v>1331</v>
      </c>
      <c r="B642" s="19" t="s">
        <v>642</v>
      </c>
      <c r="C642" s="19">
        <v>116</v>
      </c>
      <c r="D642" s="19" t="s">
        <v>1305</v>
      </c>
      <c r="E642" s="20">
        <v>43550</v>
      </c>
      <c r="F642" s="19"/>
      <c r="G642" s="19" t="s">
        <v>240</v>
      </c>
      <c r="H642" s="19">
        <v>37</v>
      </c>
      <c r="I642" s="19"/>
      <c r="J642" s="19">
        <v>18</v>
      </c>
      <c r="K642" s="19"/>
      <c r="L642" s="19"/>
      <c r="M642" s="19"/>
      <c r="N642" s="19"/>
      <c r="O642" s="19"/>
      <c r="P642" s="19"/>
      <c r="Q642" s="19"/>
      <c r="R642" s="19"/>
      <c r="S642" s="19"/>
      <c r="T642" s="19"/>
      <c r="U642" s="19"/>
      <c r="V642" s="19"/>
      <c r="W642" s="19"/>
      <c r="X642" s="19"/>
      <c r="Y642" s="19"/>
      <c r="Z642" t="str">
        <f>IF(Tabela1[[#This Row],[1]]&lt;&gt;"",IF(ISNUMBER(FIND(",",Tabela1[[#This Row],[1]])),LEN(Tabela1[[#This Row],[1]])-LEN(SUBSTITUTE(Tabela1[[#This Row],[1]],",",""))+1,1),"")</f>
        <v/>
      </c>
      <c r="AA642">
        <f>IF(Tabela1[[#This Row],[2]]&lt;&gt;"",IF(ISNUMBER(FIND(",",Tabela1[[#This Row],[2]])),LEN(Tabela1[[#This Row],[2]])-LEN(SUBSTITUTE(Tabela1[[#This Row],[2]],",",""))+1,1),"")</f>
        <v>3</v>
      </c>
      <c r="AB642">
        <f>IF(Tabela1[[#This Row],[3]]&lt;&gt;"",IF(ISNUMBER(FIND(",",Tabela1[[#This Row],[3]])),LEN(Tabela1[[#This Row],[3]])-LEN(SUBSTITUTE(Tabela1[[#This Row],[3]],",",""))+1,1),"")</f>
        <v>1</v>
      </c>
      <c r="AC642" t="str">
        <f>IF(Tabela1[[#This Row],[4]]&lt;&gt;"",IF(ISNUMBER(FIND(",",Tabela1[[#This Row],[4]])),LEN(Tabela1[[#This Row],[4]])-LEN(SUBSTITUTE(Tabela1[[#This Row],[4]],",",""))+1,1),"")</f>
        <v/>
      </c>
      <c r="AD642">
        <f>IF(Tabela1[[#This Row],[5]]&lt;&gt;"",IF(ISNUMBER(FIND(",",Tabela1[[#This Row],[5]])),LEN(Tabela1[[#This Row],[5]])-LEN(SUBSTITUTE(Tabela1[[#This Row],[5]],",",""))+1,1),"")</f>
        <v>1</v>
      </c>
      <c r="AE642" t="str">
        <f>IF(Tabela1[[#This Row],[6]]&lt;&gt;"",IF(ISNUMBER(FIND(",",Tabela1[[#This Row],[6]])),LEN(Tabela1[[#This Row],[6]])-LEN(SUBSTITUTE(Tabela1[[#This Row],[6]],",",""))+1,1),"")</f>
        <v/>
      </c>
      <c r="AF642" t="str">
        <f>IF(Tabela1[[#This Row],[7]]&lt;&gt;"",IF(ISNUMBER(FIND(",",Tabela1[[#This Row],[7]])),LEN(Tabela1[[#This Row],[7]])-LEN(SUBSTITUTE(Tabela1[[#This Row],[7]],",",""))+1,1),"")</f>
        <v/>
      </c>
      <c r="AG642" t="str">
        <f>IF(Tabela1[[#This Row],[8]]&lt;&gt;"",IF(ISNUMBER(FIND(",",Tabela1[[#This Row],[8]])),LEN(Tabela1[[#This Row],[8]])-LEN(SUBSTITUTE(Tabela1[[#This Row],[8]],",",""))+1,1),"")</f>
        <v/>
      </c>
      <c r="AH642" t="str">
        <f>IF(Tabela1[[#This Row],[9]]&lt;&gt;"",IF(ISNUMBER(FIND(",",Tabela1[[#This Row],[9]])),LEN(Tabela1[[#This Row],[9]])-LEN(SUBSTITUTE(Tabela1[[#This Row],[9]],",",""))+1,1),"")</f>
        <v/>
      </c>
      <c r="AI642" t="str">
        <f>IF(Tabela1[[#This Row],[10]]&lt;&gt;"",IF(ISNUMBER(FIND(",",Tabela1[[#This Row],[10]])),LEN(Tabela1[[#This Row],[10]])-LEN(SUBSTITUTE(Tabela1[[#This Row],[10]],",",""))+1,1),"")</f>
        <v/>
      </c>
      <c r="AJ642" t="str">
        <f>IF(Tabela1[[#This Row],[11]]&lt;&gt;"",IF(ISNUMBER(FIND(",",Tabela1[[#This Row],[11]])),LEN(Tabela1[[#This Row],[11]])-LEN(SUBSTITUTE(Tabela1[[#This Row],[11]],",",""))+1,1),"")</f>
        <v/>
      </c>
      <c r="AK642" t="str">
        <f>IF(Tabela1[[#This Row],[12]]&lt;&gt;"",IF(ISNUMBER(FIND(",",Tabela1[[#This Row],[12]])),LEN(Tabela1[[#This Row],[12]])-LEN(SUBSTITUTE(Tabela1[[#This Row],[12]],",",""))+1,1),"")</f>
        <v/>
      </c>
      <c r="AL642" t="str">
        <f>IF(Tabela1[[#This Row],[13]]&lt;&gt;"",IF(ISNUMBER(FIND(",",Tabela1[[#This Row],[13]])),LEN(Tabela1[[#This Row],[13]])-LEN(SUBSTITUTE(Tabela1[[#This Row],[13]],",",""))+1,1),"")</f>
        <v/>
      </c>
      <c r="AM642" t="str">
        <f>IF(Tabela1[[#This Row],[14]]&lt;&gt;"",IF(ISNUMBER(FIND(",",Tabela1[[#This Row],[14]])),LEN(Tabela1[[#This Row],[14]])-LEN(SUBSTITUTE(Tabela1[[#This Row],[14]],",",""))+1,1),"")</f>
        <v/>
      </c>
      <c r="AN642" t="str">
        <f>IF(Tabela1[[#This Row],[15]]&lt;&gt;"",IF(ISNUMBER(FIND(",",Tabela1[[#This Row],[15]])),LEN(Tabela1[[#This Row],[15]])-LEN(SUBSTITUTE(Tabela1[[#This Row],[15]],",",""))+1,1),"")</f>
        <v/>
      </c>
      <c r="AO642" t="str">
        <f>IF(Tabela1[[#This Row],[16]]&lt;&gt;"",IF(ISNUMBER(FIND(",",Tabela1[[#This Row],[16]])),LEN(Tabela1[[#This Row],[16]])-LEN(SUBSTITUTE(Tabela1[[#This Row],[16]],",",""))+1,1),"")</f>
        <v/>
      </c>
      <c r="AP642" t="str">
        <f>IF(Tabela1[[#This Row],[17]]&lt;&gt;"",IF(ISNUMBER(FIND(",",Tabela1[[#This Row],[17]])),LEN(Tabela1[[#This Row],[17]])-LEN(SUBSTITUTE(Tabela1[[#This Row],[17]],",",""))+1,1),"")</f>
        <v/>
      </c>
      <c r="AQ642" t="str">
        <f>IF(Tabela1[[#This Row],[18]]&lt;&gt;"",IF(ISNUMBER(FIND(",",Tabela1[[#This Row],[18]])),LEN(Tabela1[[#This Row],[18]])-LEN(SUBSTITUTE(Tabela1[[#This Row],[18]],",",""))+1,1),"")</f>
        <v/>
      </c>
      <c r="AR642" s="13" t="str">
        <f>IF(Tabela1[[#This Row],[19_LENGTH]]&lt;&gt;"",IF(ISNUMBER(FIND(",",Tabela1[[#This Row],[19_LENGTH]])),LEN(Tabela1[[#This Row],[19_LENGTH]])-LEN(SUBSTITUTE(Tabela1[[#This Row],[19_LENGTH]],",",""))+1,1),"")</f>
        <v/>
      </c>
      <c r="AS642" s="21">
        <f>SUM(Tabela1[[#This Row],[1_]:[19_]])</f>
        <v>5</v>
      </c>
    </row>
    <row r="643" spans="1:45" x14ac:dyDescent="0.25">
      <c r="A643" s="27" t="s">
        <v>1331</v>
      </c>
      <c r="B643" s="19" t="s">
        <v>643</v>
      </c>
      <c r="C643" s="19">
        <v>102</v>
      </c>
      <c r="D643" s="19" t="s">
        <v>1305</v>
      </c>
      <c r="E643" s="20">
        <v>43550</v>
      </c>
      <c r="F643" s="19"/>
      <c r="G643" s="19"/>
      <c r="H643" s="19">
        <v>47</v>
      </c>
      <c r="I643" s="19"/>
      <c r="J643" s="19"/>
      <c r="K643" s="19"/>
      <c r="L643" s="19"/>
      <c r="M643" s="19"/>
      <c r="N643" s="19"/>
      <c r="O643" s="19"/>
      <c r="P643" s="19"/>
      <c r="Q643" s="19"/>
      <c r="R643" s="19"/>
      <c r="S643" s="19"/>
      <c r="T643" s="19"/>
      <c r="U643" s="19"/>
      <c r="V643" s="19"/>
      <c r="W643" s="19"/>
      <c r="X643" s="19"/>
      <c r="Y643" s="19"/>
      <c r="Z643" t="str">
        <f>IF(Tabela1[[#This Row],[1]]&lt;&gt;"",IF(ISNUMBER(FIND(",",Tabela1[[#This Row],[1]])),LEN(Tabela1[[#This Row],[1]])-LEN(SUBSTITUTE(Tabela1[[#This Row],[1]],",",""))+1,1),"")</f>
        <v/>
      </c>
      <c r="AA643" t="str">
        <f>IF(Tabela1[[#This Row],[2]]&lt;&gt;"",IF(ISNUMBER(FIND(",",Tabela1[[#This Row],[2]])),LEN(Tabela1[[#This Row],[2]])-LEN(SUBSTITUTE(Tabela1[[#This Row],[2]],",",""))+1,1),"")</f>
        <v/>
      </c>
      <c r="AB643">
        <f>IF(Tabela1[[#This Row],[3]]&lt;&gt;"",IF(ISNUMBER(FIND(",",Tabela1[[#This Row],[3]])),LEN(Tabela1[[#This Row],[3]])-LEN(SUBSTITUTE(Tabela1[[#This Row],[3]],",",""))+1,1),"")</f>
        <v>1</v>
      </c>
      <c r="AC643" t="str">
        <f>IF(Tabela1[[#This Row],[4]]&lt;&gt;"",IF(ISNUMBER(FIND(",",Tabela1[[#This Row],[4]])),LEN(Tabela1[[#This Row],[4]])-LEN(SUBSTITUTE(Tabela1[[#This Row],[4]],",",""))+1,1),"")</f>
        <v/>
      </c>
      <c r="AD643" t="str">
        <f>IF(Tabela1[[#This Row],[5]]&lt;&gt;"",IF(ISNUMBER(FIND(",",Tabela1[[#This Row],[5]])),LEN(Tabela1[[#This Row],[5]])-LEN(SUBSTITUTE(Tabela1[[#This Row],[5]],",",""))+1,1),"")</f>
        <v/>
      </c>
      <c r="AE643" t="str">
        <f>IF(Tabela1[[#This Row],[6]]&lt;&gt;"",IF(ISNUMBER(FIND(",",Tabela1[[#This Row],[6]])),LEN(Tabela1[[#This Row],[6]])-LEN(SUBSTITUTE(Tabela1[[#This Row],[6]],",",""))+1,1),"")</f>
        <v/>
      </c>
      <c r="AF643" t="str">
        <f>IF(Tabela1[[#This Row],[7]]&lt;&gt;"",IF(ISNUMBER(FIND(",",Tabela1[[#This Row],[7]])),LEN(Tabela1[[#This Row],[7]])-LEN(SUBSTITUTE(Tabela1[[#This Row],[7]],",",""))+1,1),"")</f>
        <v/>
      </c>
      <c r="AG643" t="str">
        <f>IF(Tabela1[[#This Row],[8]]&lt;&gt;"",IF(ISNUMBER(FIND(",",Tabela1[[#This Row],[8]])),LEN(Tabela1[[#This Row],[8]])-LEN(SUBSTITUTE(Tabela1[[#This Row],[8]],",",""))+1,1),"")</f>
        <v/>
      </c>
      <c r="AH643" t="str">
        <f>IF(Tabela1[[#This Row],[9]]&lt;&gt;"",IF(ISNUMBER(FIND(",",Tabela1[[#This Row],[9]])),LEN(Tabela1[[#This Row],[9]])-LEN(SUBSTITUTE(Tabela1[[#This Row],[9]],",",""))+1,1),"")</f>
        <v/>
      </c>
      <c r="AI643" t="str">
        <f>IF(Tabela1[[#This Row],[10]]&lt;&gt;"",IF(ISNUMBER(FIND(",",Tabela1[[#This Row],[10]])),LEN(Tabela1[[#This Row],[10]])-LEN(SUBSTITUTE(Tabela1[[#This Row],[10]],",",""))+1,1),"")</f>
        <v/>
      </c>
      <c r="AJ643" t="str">
        <f>IF(Tabela1[[#This Row],[11]]&lt;&gt;"",IF(ISNUMBER(FIND(",",Tabela1[[#This Row],[11]])),LEN(Tabela1[[#This Row],[11]])-LEN(SUBSTITUTE(Tabela1[[#This Row],[11]],",",""))+1,1),"")</f>
        <v/>
      </c>
      <c r="AK643" t="str">
        <f>IF(Tabela1[[#This Row],[12]]&lt;&gt;"",IF(ISNUMBER(FIND(",",Tabela1[[#This Row],[12]])),LEN(Tabela1[[#This Row],[12]])-LEN(SUBSTITUTE(Tabela1[[#This Row],[12]],",",""))+1,1),"")</f>
        <v/>
      </c>
      <c r="AL643" t="str">
        <f>IF(Tabela1[[#This Row],[13]]&lt;&gt;"",IF(ISNUMBER(FIND(",",Tabela1[[#This Row],[13]])),LEN(Tabela1[[#This Row],[13]])-LEN(SUBSTITUTE(Tabela1[[#This Row],[13]],",",""))+1,1),"")</f>
        <v/>
      </c>
      <c r="AM643" t="str">
        <f>IF(Tabela1[[#This Row],[14]]&lt;&gt;"",IF(ISNUMBER(FIND(",",Tabela1[[#This Row],[14]])),LEN(Tabela1[[#This Row],[14]])-LEN(SUBSTITUTE(Tabela1[[#This Row],[14]],",",""))+1,1),"")</f>
        <v/>
      </c>
      <c r="AN643" t="str">
        <f>IF(Tabela1[[#This Row],[15]]&lt;&gt;"",IF(ISNUMBER(FIND(",",Tabela1[[#This Row],[15]])),LEN(Tabela1[[#This Row],[15]])-LEN(SUBSTITUTE(Tabela1[[#This Row],[15]],",",""))+1,1),"")</f>
        <v/>
      </c>
      <c r="AO643" t="str">
        <f>IF(Tabela1[[#This Row],[16]]&lt;&gt;"",IF(ISNUMBER(FIND(",",Tabela1[[#This Row],[16]])),LEN(Tabela1[[#This Row],[16]])-LEN(SUBSTITUTE(Tabela1[[#This Row],[16]],",",""))+1,1),"")</f>
        <v/>
      </c>
      <c r="AP643" t="str">
        <f>IF(Tabela1[[#This Row],[17]]&lt;&gt;"",IF(ISNUMBER(FIND(",",Tabela1[[#This Row],[17]])),LEN(Tabela1[[#This Row],[17]])-LEN(SUBSTITUTE(Tabela1[[#This Row],[17]],",",""))+1,1),"")</f>
        <v/>
      </c>
      <c r="AQ643" t="str">
        <f>IF(Tabela1[[#This Row],[18]]&lt;&gt;"",IF(ISNUMBER(FIND(",",Tabela1[[#This Row],[18]])),LEN(Tabela1[[#This Row],[18]])-LEN(SUBSTITUTE(Tabela1[[#This Row],[18]],",",""))+1,1),"")</f>
        <v/>
      </c>
      <c r="AR643" s="13" t="str">
        <f>IF(Tabela1[[#This Row],[19_LENGTH]]&lt;&gt;"",IF(ISNUMBER(FIND(",",Tabela1[[#This Row],[19_LENGTH]])),LEN(Tabela1[[#This Row],[19_LENGTH]])-LEN(SUBSTITUTE(Tabela1[[#This Row],[19_LENGTH]],",",""))+1,1),"")</f>
        <v/>
      </c>
      <c r="AS643" s="21">
        <f>SUM(Tabela1[[#This Row],[1_]:[19_]])</f>
        <v>1</v>
      </c>
    </row>
    <row r="644" spans="1:45" x14ac:dyDescent="0.25">
      <c r="A644" s="27" t="s">
        <v>1328</v>
      </c>
      <c r="B644" s="19" t="s">
        <v>936</v>
      </c>
      <c r="C644" s="19">
        <v>102</v>
      </c>
      <c r="D644" s="19" t="s">
        <v>1300</v>
      </c>
      <c r="E644" s="20">
        <v>43549</v>
      </c>
      <c r="F644" s="19"/>
      <c r="G644" s="19"/>
      <c r="H644" s="19"/>
      <c r="I644" s="19"/>
      <c r="J644" s="19"/>
      <c r="K644" s="19"/>
      <c r="L644" s="19"/>
      <c r="M644" s="19"/>
      <c r="N644" s="19"/>
      <c r="O644" s="19"/>
      <c r="P644" s="19"/>
      <c r="Q644" s="19"/>
      <c r="R644" s="19"/>
      <c r="S644" s="19"/>
      <c r="T644" s="19"/>
      <c r="U644" s="19">
        <v>42</v>
      </c>
      <c r="V644" s="19" t="s">
        <v>241</v>
      </c>
      <c r="W644" s="19"/>
      <c r="X644" s="19"/>
      <c r="Y644" s="19"/>
      <c r="Z644" t="str">
        <f>IF(Tabela1[[#This Row],[1]]&lt;&gt;"",IF(ISNUMBER(FIND(",",Tabela1[[#This Row],[1]])),LEN(Tabela1[[#This Row],[1]])-LEN(SUBSTITUTE(Tabela1[[#This Row],[1]],",",""))+1,1),"")</f>
        <v/>
      </c>
      <c r="AA644" t="str">
        <f>IF(Tabela1[[#This Row],[2]]&lt;&gt;"",IF(ISNUMBER(FIND(",",Tabela1[[#This Row],[2]])),LEN(Tabela1[[#This Row],[2]])-LEN(SUBSTITUTE(Tabela1[[#This Row],[2]],",",""))+1,1),"")</f>
        <v/>
      </c>
      <c r="AB644" t="str">
        <f>IF(Tabela1[[#This Row],[3]]&lt;&gt;"",IF(ISNUMBER(FIND(",",Tabela1[[#This Row],[3]])),LEN(Tabela1[[#This Row],[3]])-LEN(SUBSTITUTE(Tabela1[[#This Row],[3]],",",""))+1,1),"")</f>
        <v/>
      </c>
      <c r="AC644" t="str">
        <f>IF(Tabela1[[#This Row],[4]]&lt;&gt;"",IF(ISNUMBER(FIND(",",Tabela1[[#This Row],[4]])),LEN(Tabela1[[#This Row],[4]])-LEN(SUBSTITUTE(Tabela1[[#This Row],[4]],",",""))+1,1),"")</f>
        <v/>
      </c>
      <c r="AD644" t="str">
        <f>IF(Tabela1[[#This Row],[5]]&lt;&gt;"",IF(ISNUMBER(FIND(",",Tabela1[[#This Row],[5]])),LEN(Tabela1[[#This Row],[5]])-LEN(SUBSTITUTE(Tabela1[[#This Row],[5]],",",""))+1,1),"")</f>
        <v/>
      </c>
      <c r="AE644" t="str">
        <f>IF(Tabela1[[#This Row],[6]]&lt;&gt;"",IF(ISNUMBER(FIND(",",Tabela1[[#This Row],[6]])),LEN(Tabela1[[#This Row],[6]])-LEN(SUBSTITUTE(Tabela1[[#This Row],[6]],",",""))+1,1),"")</f>
        <v/>
      </c>
      <c r="AF644" t="str">
        <f>IF(Tabela1[[#This Row],[7]]&lt;&gt;"",IF(ISNUMBER(FIND(",",Tabela1[[#This Row],[7]])),LEN(Tabela1[[#This Row],[7]])-LEN(SUBSTITUTE(Tabela1[[#This Row],[7]],",",""))+1,1),"")</f>
        <v/>
      </c>
      <c r="AG644" t="str">
        <f>IF(Tabela1[[#This Row],[8]]&lt;&gt;"",IF(ISNUMBER(FIND(",",Tabela1[[#This Row],[8]])),LEN(Tabela1[[#This Row],[8]])-LEN(SUBSTITUTE(Tabela1[[#This Row],[8]],",",""))+1,1),"")</f>
        <v/>
      </c>
      <c r="AH644" t="str">
        <f>IF(Tabela1[[#This Row],[9]]&lt;&gt;"",IF(ISNUMBER(FIND(",",Tabela1[[#This Row],[9]])),LEN(Tabela1[[#This Row],[9]])-LEN(SUBSTITUTE(Tabela1[[#This Row],[9]],",",""))+1,1),"")</f>
        <v/>
      </c>
      <c r="AI644" t="str">
        <f>IF(Tabela1[[#This Row],[10]]&lt;&gt;"",IF(ISNUMBER(FIND(",",Tabela1[[#This Row],[10]])),LEN(Tabela1[[#This Row],[10]])-LEN(SUBSTITUTE(Tabela1[[#This Row],[10]],",",""))+1,1),"")</f>
        <v/>
      </c>
      <c r="AJ644" t="str">
        <f>IF(Tabela1[[#This Row],[11]]&lt;&gt;"",IF(ISNUMBER(FIND(",",Tabela1[[#This Row],[11]])),LEN(Tabela1[[#This Row],[11]])-LEN(SUBSTITUTE(Tabela1[[#This Row],[11]],",",""))+1,1),"")</f>
        <v/>
      </c>
      <c r="AK644" t="str">
        <f>IF(Tabela1[[#This Row],[12]]&lt;&gt;"",IF(ISNUMBER(FIND(",",Tabela1[[#This Row],[12]])),LEN(Tabela1[[#This Row],[12]])-LEN(SUBSTITUTE(Tabela1[[#This Row],[12]],",",""))+1,1),"")</f>
        <v/>
      </c>
      <c r="AL644" t="str">
        <f>IF(Tabela1[[#This Row],[13]]&lt;&gt;"",IF(ISNUMBER(FIND(",",Tabela1[[#This Row],[13]])),LEN(Tabela1[[#This Row],[13]])-LEN(SUBSTITUTE(Tabela1[[#This Row],[13]],",",""))+1,1),"")</f>
        <v/>
      </c>
      <c r="AM644" t="str">
        <f>IF(Tabela1[[#This Row],[14]]&lt;&gt;"",IF(ISNUMBER(FIND(",",Tabela1[[#This Row],[14]])),LEN(Tabela1[[#This Row],[14]])-LEN(SUBSTITUTE(Tabela1[[#This Row],[14]],",",""))+1,1),"")</f>
        <v/>
      </c>
      <c r="AN644" t="str">
        <f>IF(Tabela1[[#This Row],[15]]&lt;&gt;"",IF(ISNUMBER(FIND(",",Tabela1[[#This Row],[15]])),LEN(Tabela1[[#This Row],[15]])-LEN(SUBSTITUTE(Tabela1[[#This Row],[15]],",",""))+1,1),"")</f>
        <v/>
      </c>
      <c r="AO644">
        <f>IF(Tabela1[[#This Row],[16]]&lt;&gt;"",IF(ISNUMBER(FIND(",",Tabela1[[#This Row],[16]])),LEN(Tabela1[[#This Row],[16]])-LEN(SUBSTITUTE(Tabela1[[#This Row],[16]],",",""))+1,1),"")</f>
        <v>1</v>
      </c>
      <c r="AP644">
        <f>IF(Tabela1[[#This Row],[17]]&lt;&gt;"",IF(ISNUMBER(FIND(",",Tabela1[[#This Row],[17]])),LEN(Tabela1[[#This Row],[17]])-LEN(SUBSTITUTE(Tabela1[[#This Row],[17]],",",""))+1,1),"")</f>
        <v>2</v>
      </c>
      <c r="AQ644" t="str">
        <f>IF(Tabela1[[#This Row],[18]]&lt;&gt;"",IF(ISNUMBER(FIND(",",Tabela1[[#This Row],[18]])),LEN(Tabela1[[#This Row],[18]])-LEN(SUBSTITUTE(Tabela1[[#This Row],[18]],",",""))+1,1),"")</f>
        <v/>
      </c>
      <c r="AR644" s="13" t="str">
        <f>IF(Tabela1[[#This Row],[19_LENGTH]]&lt;&gt;"",IF(ISNUMBER(FIND(",",Tabela1[[#This Row],[19_LENGTH]])),LEN(Tabela1[[#This Row],[19_LENGTH]])-LEN(SUBSTITUTE(Tabela1[[#This Row],[19_LENGTH]],",",""))+1,1),"")</f>
        <v/>
      </c>
      <c r="AS644" s="21">
        <f>SUM(Tabela1[[#This Row],[1_]:[19_]])</f>
        <v>3</v>
      </c>
    </row>
    <row r="645" spans="1:45" x14ac:dyDescent="0.25">
      <c r="A645" s="27" t="s">
        <v>1328</v>
      </c>
      <c r="B645" s="19" t="s">
        <v>937</v>
      </c>
      <c r="C645" s="19">
        <v>102</v>
      </c>
      <c r="D645" s="19" t="s">
        <v>1300</v>
      </c>
      <c r="E645" s="20">
        <v>43549</v>
      </c>
      <c r="F645" s="19"/>
      <c r="G645" s="19"/>
      <c r="H645" s="19"/>
      <c r="I645" s="19"/>
      <c r="J645" s="19"/>
      <c r="K645" s="19"/>
      <c r="L645" s="19"/>
      <c r="M645" s="19"/>
      <c r="N645" s="19"/>
      <c r="O645" s="19"/>
      <c r="P645" s="19"/>
      <c r="Q645" s="19"/>
      <c r="R645" s="19"/>
      <c r="S645" s="19"/>
      <c r="T645" s="19"/>
      <c r="U645" s="19">
        <v>78</v>
      </c>
      <c r="V645" s="19" t="s">
        <v>242</v>
      </c>
      <c r="W645" s="19"/>
      <c r="X645" s="19" t="s">
        <v>43</v>
      </c>
      <c r="Y645" s="19">
        <v>84</v>
      </c>
      <c r="Z645" t="str">
        <f>IF(Tabela1[[#This Row],[1]]&lt;&gt;"",IF(ISNUMBER(FIND(",",Tabela1[[#This Row],[1]])),LEN(Tabela1[[#This Row],[1]])-LEN(SUBSTITUTE(Tabela1[[#This Row],[1]],",",""))+1,1),"")</f>
        <v/>
      </c>
      <c r="AA645" t="str">
        <f>IF(Tabela1[[#This Row],[2]]&lt;&gt;"",IF(ISNUMBER(FIND(",",Tabela1[[#This Row],[2]])),LEN(Tabela1[[#This Row],[2]])-LEN(SUBSTITUTE(Tabela1[[#This Row],[2]],",",""))+1,1),"")</f>
        <v/>
      </c>
      <c r="AB645" t="str">
        <f>IF(Tabela1[[#This Row],[3]]&lt;&gt;"",IF(ISNUMBER(FIND(",",Tabela1[[#This Row],[3]])),LEN(Tabela1[[#This Row],[3]])-LEN(SUBSTITUTE(Tabela1[[#This Row],[3]],",",""))+1,1),"")</f>
        <v/>
      </c>
      <c r="AC645" t="str">
        <f>IF(Tabela1[[#This Row],[4]]&lt;&gt;"",IF(ISNUMBER(FIND(",",Tabela1[[#This Row],[4]])),LEN(Tabela1[[#This Row],[4]])-LEN(SUBSTITUTE(Tabela1[[#This Row],[4]],",",""))+1,1),"")</f>
        <v/>
      </c>
      <c r="AD645" t="str">
        <f>IF(Tabela1[[#This Row],[5]]&lt;&gt;"",IF(ISNUMBER(FIND(",",Tabela1[[#This Row],[5]])),LEN(Tabela1[[#This Row],[5]])-LEN(SUBSTITUTE(Tabela1[[#This Row],[5]],",",""))+1,1),"")</f>
        <v/>
      </c>
      <c r="AE645" t="str">
        <f>IF(Tabela1[[#This Row],[6]]&lt;&gt;"",IF(ISNUMBER(FIND(",",Tabela1[[#This Row],[6]])),LEN(Tabela1[[#This Row],[6]])-LEN(SUBSTITUTE(Tabela1[[#This Row],[6]],",",""))+1,1),"")</f>
        <v/>
      </c>
      <c r="AF645" t="str">
        <f>IF(Tabela1[[#This Row],[7]]&lt;&gt;"",IF(ISNUMBER(FIND(",",Tabela1[[#This Row],[7]])),LEN(Tabela1[[#This Row],[7]])-LEN(SUBSTITUTE(Tabela1[[#This Row],[7]],",",""))+1,1),"")</f>
        <v/>
      </c>
      <c r="AG645" t="str">
        <f>IF(Tabela1[[#This Row],[8]]&lt;&gt;"",IF(ISNUMBER(FIND(",",Tabela1[[#This Row],[8]])),LEN(Tabela1[[#This Row],[8]])-LEN(SUBSTITUTE(Tabela1[[#This Row],[8]],",",""))+1,1),"")</f>
        <v/>
      </c>
      <c r="AH645" t="str">
        <f>IF(Tabela1[[#This Row],[9]]&lt;&gt;"",IF(ISNUMBER(FIND(",",Tabela1[[#This Row],[9]])),LEN(Tabela1[[#This Row],[9]])-LEN(SUBSTITUTE(Tabela1[[#This Row],[9]],",",""))+1,1),"")</f>
        <v/>
      </c>
      <c r="AI645" t="str">
        <f>IF(Tabela1[[#This Row],[10]]&lt;&gt;"",IF(ISNUMBER(FIND(",",Tabela1[[#This Row],[10]])),LEN(Tabela1[[#This Row],[10]])-LEN(SUBSTITUTE(Tabela1[[#This Row],[10]],",",""))+1,1),"")</f>
        <v/>
      </c>
      <c r="AJ645" t="str">
        <f>IF(Tabela1[[#This Row],[11]]&lt;&gt;"",IF(ISNUMBER(FIND(",",Tabela1[[#This Row],[11]])),LEN(Tabela1[[#This Row],[11]])-LEN(SUBSTITUTE(Tabela1[[#This Row],[11]],",",""))+1,1),"")</f>
        <v/>
      </c>
      <c r="AK645" t="str">
        <f>IF(Tabela1[[#This Row],[12]]&lt;&gt;"",IF(ISNUMBER(FIND(",",Tabela1[[#This Row],[12]])),LEN(Tabela1[[#This Row],[12]])-LEN(SUBSTITUTE(Tabela1[[#This Row],[12]],",",""))+1,1),"")</f>
        <v/>
      </c>
      <c r="AL645" t="str">
        <f>IF(Tabela1[[#This Row],[13]]&lt;&gt;"",IF(ISNUMBER(FIND(",",Tabela1[[#This Row],[13]])),LEN(Tabela1[[#This Row],[13]])-LEN(SUBSTITUTE(Tabela1[[#This Row],[13]],",",""))+1,1),"")</f>
        <v/>
      </c>
      <c r="AM645" t="str">
        <f>IF(Tabela1[[#This Row],[14]]&lt;&gt;"",IF(ISNUMBER(FIND(",",Tabela1[[#This Row],[14]])),LEN(Tabela1[[#This Row],[14]])-LEN(SUBSTITUTE(Tabela1[[#This Row],[14]],",",""))+1,1),"")</f>
        <v/>
      </c>
      <c r="AN645" t="str">
        <f>IF(Tabela1[[#This Row],[15]]&lt;&gt;"",IF(ISNUMBER(FIND(",",Tabela1[[#This Row],[15]])),LEN(Tabela1[[#This Row],[15]])-LEN(SUBSTITUTE(Tabela1[[#This Row],[15]],",",""))+1,1),"")</f>
        <v/>
      </c>
      <c r="AO645">
        <f>IF(Tabela1[[#This Row],[16]]&lt;&gt;"",IF(ISNUMBER(FIND(",",Tabela1[[#This Row],[16]])),LEN(Tabela1[[#This Row],[16]])-LEN(SUBSTITUTE(Tabela1[[#This Row],[16]],",",""))+1,1),"")</f>
        <v>1</v>
      </c>
      <c r="AP645">
        <f>IF(Tabela1[[#This Row],[17]]&lt;&gt;"",IF(ISNUMBER(FIND(",",Tabela1[[#This Row],[17]])),LEN(Tabela1[[#This Row],[17]])-LEN(SUBSTITUTE(Tabela1[[#This Row],[17]],",",""))+1,1),"")</f>
        <v>2</v>
      </c>
      <c r="AQ645" t="str">
        <f>IF(Tabela1[[#This Row],[18]]&lt;&gt;"",IF(ISNUMBER(FIND(",",Tabela1[[#This Row],[18]])),LEN(Tabela1[[#This Row],[18]])-LEN(SUBSTITUTE(Tabela1[[#This Row],[18]],",",""))+1,1),"")</f>
        <v/>
      </c>
      <c r="AR645" s="13">
        <f>IF(Tabela1[[#This Row],[19_LENGTH]]&lt;&gt;"",IF(ISNUMBER(FIND(",",Tabela1[[#This Row],[19_LENGTH]])),LEN(Tabela1[[#This Row],[19_LENGTH]])-LEN(SUBSTITUTE(Tabela1[[#This Row],[19_LENGTH]],",",""))+1,1),"")</f>
        <v>1</v>
      </c>
      <c r="AS645" s="21">
        <f>SUM(Tabela1[[#This Row],[1_]:[19_]])</f>
        <v>4</v>
      </c>
    </row>
    <row r="646" spans="1:45" x14ac:dyDescent="0.25">
      <c r="A646" s="27" t="s">
        <v>1328</v>
      </c>
      <c r="B646" s="19" t="s">
        <v>938</v>
      </c>
      <c r="C646" s="19">
        <v>102</v>
      </c>
      <c r="D646" s="19" t="s">
        <v>1300</v>
      </c>
      <c r="E646" s="20">
        <v>43549</v>
      </c>
      <c r="F646" s="19"/>
      <c r="G646" s="19">
        <v>45</v>
      </c>
      <c r="H646" s="19"/>
      <c r="I646" s="19"/>
      <c r="J646" s="19"/>
      <c r="K646" s="19"/>
      <c r="L646" s="19"/>
      <c r="M646" s="19"/>
      <c r="N646" s="19"/>
      <c r="O646" s="19"/>
      <c r="P646" s="19"/>
      <c r="Q646" s="19"/>
      <c r="R646" s="19"/>
      <c r="S646" s="19"/>
      <c r="T646" s="19"/>
      <c r="U646" s="19"/>
      <c r="V646" s="19" t="s">
        <v>243</v>
      </c>
      <c r="W646" s="19"/>
      <c r="X646" s="19"/>
      <c r="Y646" s="19"/>
      <c r="Z646" t="str">
        <f>IF(Tabela1[[#This Row],[1]]&lt;&gt;"",IF(ISNUMBER(FIND(",",Tabela1[[#This Row],[1]])),LEN(Tabela1[[#This Row],[1]])-LEN(SUBSTITUTE(Tabela1[[#This Row],[1]],",",""))+1,1),"")</f>
        <v/>
      </c>
      <c r="AA646">
        <f>IF(Tabela1[[#This Row],[2]]&lt;&gt;"",IF(ISNUMBER(FIND(",",Tabela1[[#This Row],[2]])),LEN(Tabela1[[#This Row],[2]])-LEN(SUBSTITUTE(Tabela1[[#This Row],[2]],",",""))+1,1),"")</f>
        <v>1</v>
      </c>
      <c r="AB646" t="str">
        <f>IF(Tabela1[[#This Row],[3]]&lt;&gt;"",IF(ISNUMBER(FIND(",",Tabela1[[#This Row],[3]])),LEN(Tabela1[[#This Row],[3]])-LEN(SUBSTITUTE(Tabela1[[#This Row],[3]],",",""))+1,1),"")</f>
        <v/>
      </c>
      <c r="AC646" t="str">
        <f>IF(Tabela1[[#This Row],[4]]&lt;&gt;"",IF(ISNUMBER(FIND(",",Tabela1[[#This Row],[4]])),LEN(Tabela1[[#This Row],[4]])-LEN(SUBSTITUTE(Tabela1[[#This Row],[4]],",",""))+1,1),"")</f>
        <v/>
      </c>
      <c r="AD646" t="str">
        <f>IF(Tabela1[[#This Row],[5]]&lt;&gt;"",IF(ISNUMBER(FIND(",",Tabela1[[#This Row],[5]])),LEN(Tabela1[[#This Row],[5]])-LEN(SUBSTITUTE(Tabela1[[#This Row],[5]],",",""))+1,1),"")</f>
        <v/>
      </c>
      <c r="AE646" t="str">
        <f>IF(Tabela1[[#This Row],[6]]&lt;&gt;"",IF(ISNUMBER(FIND(",",Tabela1[[#This Row],[6]])),LEN(Tabela1[[#This Row],[6]])-LEN(SUBSTITUTE(Tabela1[[#This Row],[6]],",",""))+1,1),"")</f>
        <v/>
      </c>
      <c r="AF646" t="str">
        <f>IF(Tabela1[[#This Row],[7]]&lt;&gt;"",IF(ISNUMBER(FIND(",",Tabela1[[#This Row],[7]])),LEN(Tabela1[[#This Row],[7]])-LEN(SUBSTITUTE(Tabela1[[#This Row],[7]],",",""))+1,1),"")</f>
        <v/>
      </c>
      <c r="AG646" t="str">
        <f>IF(Tabela1[[#This Row],[8]]&lt;&gt;"",IF(ISNUMBER(FIND(",",Tabela1[[#This Row],[8]])),LEN(Tabela1[[#This Row],[8]])-LEN(SUBSTITUTE(Tabela1[[#This Row],[8]],",",""))+1,1),"")</f>
        <v/>
      </c>
      <c r="AH646" t="str">
        <f>IF(Tabela1[[#This Row],[9]]&lt;&gt;"",IF(ISNUMBER(FIND(",",Tabela1[[#This Row],[9]])),LEN(Tabela1[[#This Row],[9]])-LEN(SUBSTITUTE(Tabela1[[#This Row],[9]],",",""))+1,1),"")</f>
        <v/>
      </c>
      <c r="AI646" t="str">
        <f>IF(Tabela1[[#This Row],[10]]&lt;&gt;"",IF(ISNUMBER(FIND(",",Tabela1[[#This Row],[10]])),LEN(Tabela1[[#This Row],[10]])-LEN(SUBSTITUTE(Tabela1[[#This Row],[10]],",",""))+1,1),"")</f>
        <v/>
      </c>
      <c r="AJ646" t="str">
        <f>IF(Tabela1[[#This Row],[11]]&lt;&gt;"",IF(ISNUMBER(FIND(",",Tabela1[[#This Row],[11]])),LEN(Tabela1[[#This Row],[11]])-LEN(SUBSTITUTE(Tabela1[[#This Row],[11]],",",""))+1,1),"")</f>
        <v/>
      </c>
      <c r="AK646" t="str">
        <f>IF(Tabela1[[#This Row],[12]]&lt;&gt;"",IF(ISNUMBER(FIND(",",Tabela1[[#This Row],[12]])),LEN(Tabela1[[#This Row],[12]])-LEN(SUBSTITUTE(Tabela1[[#This Row],[12]],",",""))+1,1),"")</f>
        <v/>
      </c>
      <c r="AL646" t="str">
        <f>IF(Tabela1[[#This Row],[13]]&lt;&gt;"",IF(ISNUMBER(FIND(",",Tabela1[[#This Row],[13]])),LEN(Tabela1[[#This Row],[13]])-LEN(SUBSTITUTE(Tabela1[[#This Row],[13]],",",""))+1,1),"")</f>
        <v/>
      </c>
      <c r="AM646" t="str">
        <f>IF(Tabela1[[#This Row],[14]]&lt;&gt;"",IF(ISNUMBER(FIND(",",Tabela1[[#This Row],[14]])),LEN(Tabela1[[#This Row],[14]])-LEN(SUBSTITUTE(Tabela1[[#This Row],[14]],",",""))+1,1),"")</f>
        <v/>
      </c>
      <c r="AN646" t="str">
        <f>IF(Tabela1[[#This Row],[15]]&lt;&gt;"",IF(ISNUMBER(FIND(",",Tabela1[[#This Row],[15]])),LEN(Tabela1[[#This Row],[15]])-LEN(SUBSTITUTE(Tabela1[[#This Row],[15]],",",""))+1,1),"")</f>
        <v/>
      </c>
      <c r="AO646" t="str">
        <f>IF(Tabela1[[#This Row],[16]]&lt;&gt;"",IF(ISNUMBER(FIND(",",Tabela1[[#This Row],[16]])),LEN(Tabela1[[#This Row],[16]])-LEN(SUBSTITUTE(Tabela1[[#This Row],[16]],",",""))+1,1),"")</f>
        <v/>
      </c>
      <c r="AP646">
        <f>IF(Tabela1[[#This Row],[17]]&lt;&gt;"",IF(ISNUMBER(FIND(",",Tabela1[[#This Row],[17]])),LEN(Tabela1[[#This Row],[17]])-LEN(SUBSTITUTE(Tabela1[[#This Row],[17]],",",""))+1,1),"")</f>
        <v>2</v>
      </c>
      <c r="AQ646" t="str">
        <f>IF(Tabela1[[#This Row],[18]]&lt;&gt;"",IF(ISNUMBER(FIND(",",Tabela1[[#This Row],[18]])),LEN(Tabela1[[#This Row],[18]])-LEN(SUBSTITUTE(Tabela1[[#This Row],[18]],",",""))+1,1),"")</f>
        <v/>
      </c>
      <c r="AR646" s="13" t="str">
        <f>IF(Tabela1[[#This Row],[19_LENGTH]]&lt;&gt;"",IF(ISNUMBER(FIND(",",Tabela1[[#This Row],[19_LENGTH]])),LEN(Tabela1[[#This Row],[19_LENGTH]])-LEN(SUBSTITUTE(Tabela1[[#This Row],[19_LENGTH]],",",""))+1,1),"")</f>
        <v/>
      </c>
      <c r="AS646" s="21">
        <f>SUM(Tabela1[[#This Row],[1_]:[19_]])</f>
        <v>3</v>
      </c>
    </row>
    <row r="647" spans="1:45" x14ac:dyDescent="0.25">
      <c r="A647" s="27" t="s">
        <v>1325</v>
      </c>
      <c r="B647" s="19" t="s">
        <v>920</v>
      </c>
      <c r="C647" s="19">
        <v>202</v>
      </c>
      <c r="D647" s="19" t="s">
        <v>1315</v>
      </c>
      <c r="E647" s="20">
        <v>43549</v>
      </c>
      <c r="F647" s="19"/>
      <c r="G647" s="19"/>
      <c r="H647" s="19"/>
      <c r="I647" s="19" t="s">
        <v>244</v>
      </c>
      <c r="J647" s="19"/>
      <c r="K647" s="19"/>
      <c r="L647" s="19"/>
      <c r="M647" s="19"/>
      <c r="N647" s="19"/>
      <c r="O647" s="19"/>
      <c r="P647" s="19"/>
      <c r="Q647" s="19"/>
      <c r="R647" s="19"/>
      <c r="S647" s="19"/>
      <c r="T647" s="19"/>
      <c r="U647" s="19"/>
      <c r="V647" s="19"/>
      <c r="W647" s="19"/>
      <c r="X647" s="19"/>
      <c r="Y647" s="19"/>
      <c r="Z647" t="str">
        <f>IF(Tabela1[[#This Row],[1]]&lt;&gt;"",IF(ISNUMBER(FIND(",",Tabela1[[#This Row],[1]])),LEN(Tabela1[[#This Row],[1]])-LEN(SUBSTITUTE(Tabela1[[#This Row],[1]],",",""))+1,1),"")</f>
        <v/>
      </c>
      <c r="AA647" t="str">
        <f>IF(Tabela1[[#This Row],[2]]&lt;&gt;"",IF(ISNUMBER(FIND(",",Tabela1[[#This Row],[2]])),LEN(Tabela1[[#This Row],[2]])-LEN(SUBSTITUTE(Tabela1[[#This Row],[2]],",",""))+1,1),"")</f>
        <v/>
      </c>
      <c r="AB647" t="str">
        <f>IF(Tabela1[[#This Row],[3]]&lt;&gt;"",IF(ISNUMBER(FIND(",",Tabela1[[#This Row],[3]])),LEN(Tabela1[[#This Row],[3]])-LEN(SUBSTITUTE(Tabela1[[#This Row],[3]],",",""))+1,1),"")</f>
        <v/>
      </c>
      <c r="AC647">
        <f>IF(Tabela1[[#This Row],[4]]&lt;&gt;"",IF(ISNUMBER(FIND(",",Tabela1[[#This Row],[4]])),LEN(Tabela1[[#This Row],[4]])-LEN(SUBSTITUTE(Tabela1[[#This Row],[4]],",",""))+1,1),"")</f>
        <v>4</v>
      </c>
      <c r="AD647" t="str">
        <f>IF(Tabela1[[#This Row],[5]]&lt;&gt;"",IF(ISNUMBER(FIND(",",Tabela1[[#This Row],[5]])),LEN(Tabela1[[#This Row],[5]])-LEN(SUBSTITUTE(Tabela1[[#This Row],[5]],",",""))+1,1),"")</f>
        <v/>
      </c>
      <c r="AE647" t="str">
        <f>IF(Tabela1[[#This Row],[6]]&lt;&gt;"",IF(ISNUMBER(FIND(",",Tabela1[[#This Row],[6]])),LEN(Tabela1[[#This Row],[6]])-LEN(SUBSTITUTE(Tabela1[[#This Row],[6]],",",""))+1,1),"")</f>
        <v/>
      </c>
      <c r="AF647" t="str">
        <f>IF(Tabela1[[#This Row],[7]]&lt;&gt;"",IF(ISNUMBER(FIND(",",Tabela1[[#This Row],[7]])),LEN(Tabela1[[#This Row],[7]])-LEN(SUBSTITUTE(Tabela1[[#This Row],[7]],",",""))+1,1),"")</f>
        <v/>
      </c>
      <c r="AG647" t="str">
        <f>IF(Tabela1[[#This Row],[8]]&lt;&gt;"",IF(ISNUMBER(FIND(",",Tabela1[[#This Row],[8]])),LEN(Tabela1[[#This Row],[8]])-LEN(SUBSTITUTE(Tabela1[[#This Row],[8]],",",""))+1,1),"")</f>
        <v/>
      </c>
      <c r="AH647" t="str">
        <f>IF(Tabela1[[#This Row],[9]]&lt;&gt;"",IF(ISNUMBER(FIND(",",Tabela1[[#This Row],[9]])),LEN(Tabela1[[#This Row],[9]])-LEN(SUBSTITUTE(Tabela1[[#This Row],[9]],",",""))+1,1),"")</f>
        <v/>
      </c>
      <c r="AI647" t="str">
        <f>IF(Tabela1[[#This Row],[10]]&lt;&gt;"",IF(ISNUMBER(FIND(",",Tabela1[[#This Row],[10]])),LEN(Tabela1[[#This Row],[10]])-LEN(SUBSTITUTE(Tabela1[[#This Row],[10]],",",""))+1,1),"")</f>
        <v/>
      </c>
      <c r="AJ647" t="str">
        <f>IF(Tabela1[[#This Row],[11]]&lt;&gt;"",IF(ISNUMBER(FIND(",",Tabela1[[#This Row],[11]])),LEN(Tabela1[[#This Row],[11]])-LEN(SUBSTITUTE(Tabela1[[#This Row],[11]],",",""))+1,1),"")</f>
        <v/>
      </c>
      <c r="AK647" t="str">
        <f>IF(Tabela1[[#This Row],[12]]&lt;&gt;"",IF(ISNUMBER(FIND(",",Tabela1[[#This Row],[12]])),LEN(Tabela1[[#This Row],[12]])-LEN(SUBSTITUTE(Tabela1[[#This Row],[12]],",",""))+1,1),"")</f>
        <v/>
      </c>
      <c r="AL647" t="str">
        <f>IF(Tabela1[[#This Row],[13]]&lt;&gt;"",IF(ISNUMBER(FIND(",",Tabela1[[#This Row],[13]])),LEN(Tabela1[[#This Row],[13]])-LEN(SUBSTITUTE(Tabela1[[#This Row],[13]],",",""))+1,1),"")</f>
        <v/>
      </c>
      <c r="AM647" t="str">
        <f>IF(Tabela1[[#This Row],[14]]&lt;&gt;"",IF(ISNUMBER(FIND(",",Tabela1[[#This Row],[14]])),LEN(Tabela1[[#This Row],[14]])-LEN(SUBSTITUTE(Tabela1[[#This Row],[14]],",",""))+1,1),"")</f>
        <v/>
      </c>
      <c r="AN647" t="str">
        <f>IF(Tabela1[[#This Row],[15]]&lt;&gt;"",IF(ISNUMBER(FIND(",",Tabela1[[#This Row],[15]])),LEN(Tabela1[[#This Row],[15]])-LEN(SUBSTITUTE(Tabela1[[#This Row],[15]],",",""))+1,1),"")</f>
        <v/>
      </c>
      <c r="AO647" t="str">
        <f>IF(Tabela1[[#This Row],[16]]&lt;&gt;"",IF(ISNUMBER(FIND(",",Tabela1[[#This Row],[16]])),LEN(Tabela1[[#This Row],[16]])-LEN(SUBSTITUTE(Tabela1[[#This Row],[16]],",",""))+1,1),"")</f>
        <v/>
      </c>
      <c r="AP647" t="str">
        <f>IF(Tabela1[[#This Row],[17]]&lt;&gt;"",IF(ISNUMBER(FIND(",",Tabela1[[#This Row],[17]])),LEN(Tabela1[[#This Row],[17]])-LEN(SUBSTITUTE(Tabela1[[#This Row],[17]],",",""))+1,1),"")</f>
        <v/>
      </c>
      <c r="AQ647" t="str">
        <f>IF(Tabela1[[#This Row],[18]]&lt;&gt;"",IF(ISNUMBER(FIND(",",Tabela1[[#This Row],[18]])),LEN(Tabela1[[#This Row],[18]])-LEN(SUBSTITUTE(Tabela1[[#This Row],[18]],",",""))+1,1),"")</f>
        <v/>
      </c>
      <c r="AR647" s="13" t="str">
        <f>IF(Tabela1[[#This Row],[19_LENGTH]]&lt;&gt;"",IF(ISNUMBER(FIND(",",Tabela1[[#This Row],[19_LENGTH]])),LEN(Tabela1[[#This Row],[19_LENGTH]])-LEN(SUBSTITUTE(Tabela1[[#This Row],[19_LENGTH]],",",""))+1,1),"")</f>
        <v/>
      </c>
      <c r="AS647" s="21">
        <f>SUM(Tabela1[[#This Row],[1_]:[19_]])</f>
        <v>4</v>
      </c>
    </row>
    <row r="648" spans="1:45" x14ac:dyDescent="0.25">
      <c r="A648" s="27" t="s">
        <v>1325</v>
      </c>
      <c r="B648" s="19" t="s">
        <v>921</v>
      </c>
      <c r="C648" s="19">
        <v>202</v>
      </c>
      <c r="D648" s="19" t="s">
        <v>1315</v>
      </c>
      <c r="E648" s="20">
        <v>43549</v>
      </c>
      <c r="F648" s="19"/>
      <c r="G648" s="19"/>
      <c r="H648" s="19"/>
      <c r="I648" s="19"/>
      <c r="J648" s="19">
        <v>41</v>
      </c>
      <c r="K648" s="19"/>
      <c r="L648" s="19"/>
      <c r="M648" s="19"/>
      <c r="N648" s="19"/>
      <c r="O648" s="19"/>
      <c r="P648" s="19"/>
      <c r="Q648" s="19"/>
      <c r="R648" s="19"/>
      <c r="S648" s="19"/>
      <c r="T648" s="19"/>
      <c r="U648" s="19"/>
      <c r="V648" s="19"/>
      <c r="W648" s="19"/>
      <c r="X648" s="19"/>
      <c r="Y648" s="19"/>
      <c r="Z648" t="str">
        <f>IF(Tabela1[[#This Row],[1]]&lt;&gt;"",IF(ISNUMBER(FIND(",",Tabela1[[#This Row],[1]])),LEN(Tabela1[[#This Row],[1]])-LEN(SUBSTITUTE(Tabela1[[#This Row],[1]],",",""))+1,1),"")</f>
        <v/>
      </c>
      <c r="AA648" t="str">
        <f>IF(Tabela1[[#This Row],[2]]&lt;&gt;"",IF(ISNUMBER(FIND(",",Tabela1[[#This Row],[2]])),LEN(Tabela1[[#This Row],[2]])-LEN(SUBSTITUTE(Tabela1[[#This Row],[2]],",",""))+1,1),"")</f>
        <v/>
      </c>
      <c r="AB648" t="str">
        <f>IF(Tabela1[[#This Row],[3]]&lt;&gt;"",IF(ISNUMBER(FIND(",",Tabela1[[#This Row],[3]])),LEN(Tabela1[[#This Row],[3]])-LEN(SUBSTITUTE(Tabela1[[#This Row],[3]],",",""))+1,1),"")</f>
        <v/>
      </c>
      <c r="AC648" t="str">
        <f>IF(Tabela1[[#This Row],[4]]&lt;&gt;"",IF(ISNUMBER(FIND(",",Tabela1[[#This Row],[4]])),LEN(Tabela1[[#This Row],[4]])-LEN(SUBSTITUTE(Tabela1[[#This Row],[4]],",",""))+1,1),"")</f>
        <v/>
      </c>
      <c r="AD648">
        <f>IF(Tabela1[[#This Row],[5]]&lt;&gt;"",IF(ISNUMBER(FIND(",",Tabela1[[#This Row],[5]])),LEN(Tabela1[[#This Row],[5]])-LEN(SUBSTITUTE(Tabela1[[#This Row],[5]],",",""))+1,1),"")</f>
        <v>1</v>
      </c>
      <c r="AE648" t="str">
        <f>IF(Tabela1[[#This Row],[6]]&lt;&gt;"",IF(ISNUMBER(FIND(",",Tabela1[[#This Row],[6]])),LEN(Tabela1[[#This Row],[6]])-LEN(SUBSTITUTE(Tabela1[[#This Row],[6]],",",""))+1,1),"")</f>
        <v/>
      </c>
      <c r="AF648" t="str">
        <f>IF(Tabela1[[#This Row],[7]]&lt;&gt;"",IF(ISNUMBER(FIND(",",Tabela1[[#This Row],[7]])),LEN(Tabela1[[#This Row],[7]])-LEN(SUBSTITUTE(Tabela1[[#This Row],[7]],",",""))+1,1),"")</f>
        <v/>
      </c>
      <c r="AG648" t="str">
        <f>IF(Tabela1[[#This Row],[8]]&lt;&gt;"",IF(ISNUMBER(FIND(",",Tabela1[[#This Row],[8]])),LEN(Tabela1[[#This Row],[8]])-LEN(SUBSTITUTE(Tabela1[[#This Row],[8]],",",""))+1,1),"")</f>
        <v/>
      </c>
      <c r="AH648" t="str">
        <f>IF(Tabela1[[#This Row],[9]]&lt;&gt;"",IF(ISNUMBER(FIND(",",Tabela1[[#This Row],[9]])),LEN(Tabela1[[#This Row],[9]])-LEN(SUBSTITUTE(Tabela1[[#This Row],[9]],",",""))+1,1),"")</f>
        <v/>
      </c>
      <c r="AI648" t="str">
        <f>IF(Tabela1[[#This Row],[10]]&lt;&gt;"",IF(ISNUMBER(FIND(",",Tabela1[[#This Row],[10]])),LEN(Tabela1[[#This Row],[10]])-LEN(SUBSTITUTE(Tabela1[[#This Row],[10]],",",""))+1,1),"")</f>
        <v/>
      </c>
      <c r="AJ648" t="str">
        <f>IF(Tabela1[[#This Row],[11]]&lt;&gt;"",IF(ISNUMBER(FIND(",",Tabela1[[#This Row],[11]])),LEN(Tabela1[[#This Row],[11]])-LEN(SUBSTITUTE(Tabela1[[#This Row],[11]],",",""))+1,1),"")</f>
        <v/>
      </c>
      <c r="AK648" t="str">
        <f>IF(Tabela1[[#This Row],[12]]&lt;&gt;"",IF(ISNUMBER(FIND(",",Tabela1[[#This Row],[12]])),LEN(Tabela1[[#This Row],[12]])-LEN(SUBSTITUTE(Tabela1[[#This Row],[12]],",",""))+1,1),"")</f>
        <v/>
      </c>
      <c r="AL648" t="str">
        <f>IF(Tabela1[[#This Row],[13]]&lt;&gt;"",IF(ISNUMBER(FIND(",",Tabela1[[#This Row],[13]])),LEN(Tabela1[[#This Row],[13]])-LEN(SUBSTITUTE(Tabela1[[#This Row],[13]],",",""))+1,1),"")</f>
        <v/>
      </c>
      <c r="AM648" t="str">
        <f>IF(Tabela1[[#This Row],[14]]&lt;&gt;"",IF(ISNUMBER(FIND(",",Tabela1[[#This Row],[14]])),LEN(Tabela1[[#This Row],[14]])-LEN(SUBSTITUTE(Tabela1[[#This Row],[14]],",",""))+1,1),"")</f>
        <v/>
      </c>
      <c r="AN648" t="str">
        <f>IF(Tabela1[[#This Row],[15]]&lt;&gt;"",IF(ISNUMBER(FIND(",",Tabela1[[#This Row],[15]])),LEN(Tabela1[[#This Row],[15]])-LEN(SUBSTITUTE(Tabela1[[#This Row],[15]],",",""))+1,1),"")</f>
        <v/>
      </c>
      <c r="AO648" t="str">
        <f>IF(Tabela1[[#This Row],[16]]&lt;&gt;"",IF(ISNUMBER(FIND(",",Tabela1[[#This Row],[16]])),LEN(Tabela1[[#This Row],[16]])-LEN(SUBSTITUTE(Tabela1[[#This Row],[16]],",",""))+1,1),"")</f>
        <v/>
      </c>
      <c r="AP648" t="str">
        <f>IF(Tabela1[[#This Row],[17]]&lt;&gt;"",IF(ISNUMBER(FIND(",",Tabela1[[#This Row],[17]])),LEN(Tabela1[[#This Row],[17]])-LEN(SUBSTITUTE(Tabela1[[#This Row],[17]],",",""))+1,1),"")</f>
        <v/>
      </c>
      <c r="AQ648" t="str">
        <f>IF(Tabela1[[#This Row],[18]]&lt;&gt;"",IF(ISNUMBER(FIND(",",Tabela1[[#This Row],[18]])),LEN(Tabela1[[#This Row],[18]])-LEN(SUBSTITUTE(Tabela1[[#This Row],[18]],",",""))+1,1),"")</f>
        <v/>
      </c>
      <c r="AR648" s="13" t="str">
        <f>IF(Tabela1[[#This Row],[19_LENGTH]]&lt;&gt;"",IF(ISNUMBER(FIND(",",Tabela1[[#This Row],[19_LENGTH]])),LEN(Tabela1[[#This Row],[19_LENGTH]])-LEN(SUBSTITUTE(Tabela1[[#This Row],[19_LENGTH]],",",""))+1,1),"")</f>
        <v/>
      </c>
      <c r="AS648" s="21">
        <f>SUM(Tabela1[[#This Row],[1_]:[19_]])</f>
        <v>1</v>
      </c>
    </row>
    <row r="649" spans="1:45" x14ac:dyDescent="0.25">
      <c r="A649" s="27" t="s">
        <v>1325</v>
      </c>
      <c r="B649" s="19" t="s">
        <v>922</v>
      </c>
      <c r="C649" s="19">
        <v>202</v>
      </c>
      <c r="D649" s="19" t="s">
        <v>1315</v>
      </c>
      <c r="E649" s="20">
        <v>43549</v>
      </c>
      <c r="F649" s="19"/>
      <c r="G649" s="19"/>
      <c r="H649" s="19">
        <v>103</v>
      </c>
      <c r="I649" s="19"/>
      <c r="J649" s="19"/>
      <c r="K649" s="19"/>
      <c r="L649" s="19"/>
      <c r="M649" s="19"/>
      <c r="N649" s="19"/>
      <c r="O649" s="19"/>
      <c r="P649" s="19"/>
      <c r="Q649" s="19"/>
      <c r="R649" s="19"/>
      <c r="S649" s="19"/>
      <c r="T649" s="19"/>
      <c r="U649" s="19"/>
      <c r="V649" s="19"/>
      <c r="W649" s="19"/>
      <c r="X649" s="19"/>
      <c r="Y649" s="19"/>
      <c r="Z649" t="str">
        <f>IF(Tabela1[[#This Row],[1]]&lt;&gt;"",IF(ISNUMBER(FIND(",",Tabela1[[#This Row],[1]])),LEN(Tabela1[[#This Row],[1]])-LEN(SUBSTITUTE(Tabela1[[#This Row],[1]],",",""))+1,1),"")</f>
        <v/>
      </c>
      <c r="AA649" t="str">
        <f>IF(Tabela1[[#This Row],[2]]&lt;&gt;"",IF(ISNUMBER(FIND(",",Tabela1[[#This Row],[2]])),LEN(Tabela1[[#This Row],[2]])-LEN(SUBSTITUTE(Tabela1[[#This Row],[2]],",",""))+1,1),"")</f>
        <v/>
      </c>
      <c r="AB649">
        <f>IF(Tabela1[[#This Row],[3]]&lt;&gt;"",IF(ISNUMBER(FIND(",",Tabela1[[#This Row],[3]])),LEN(Tabela1[[#This Row],[3]])-LEN(SUBSTITUTE(Tabela1[[#This Row],[3]],",",""))+1,1),"")</f>
        <v>1</v>
      </c>
      <c r="AC649" t="str">
        <f>IF(Tabela1[[#This Row],[4]]&lt;&gt;"",IF(ISNUMBER(FIND(",",Tabela1[[#This Row],[4]])),LEN(Tabela1[[#This Row],[4]])-LEN(SUBSTITUTE(Tabela1[[#This Row],[4]],",",""))+1,1),"")</f>
        <v/>
      </c>
      <c r="AD649" t="str">
        <f>IF(Tabela1[[#This Row],[5]]&lt;&gt;"",IF(ISNUMBER(FIND(",",Tabela1[[#This Row],[5]])),LEN(Tabela1[[#This Row],[5]])-LEN(SUBSTITUTE(Tabela1[[#This Row],[5]],",",""))+1,1),"")</f>
        <v/>
      </c>
      <c r="AE649" t="str">
        <f>IF(Tabela1[[#This Row],[6]]&lt;&gt;"",IF(ISNUMBER(FIND(",",Tabela1[[#This Row],[6]])),LEN(Tabela1[[#This Row],[6]])-LEN(SUBSTITUTE(Tabela1[[#This Row],[6]],",",""))+1,1),"")</f>
        <v/>
      </c>
      <c r="AF649" t="str">
        <f>IF(Tabela1[[#This Row],[7]]&lt;&gt;"",IF(ISNUMBER(FIND(",",Tabela1[[#This Row],[7]])),LEN(Tabela1[[#This Row],[7]])-LEN(SUBSTITUTE(Tabela1[[#This Row],[7]],",",""))+1,1),"")</f>
        <v/>
      </c>
      <c r="AG649" t="str">
        <f>IF(Tabela1[[#This Row],[8]]&lt;&gt;"",IF(ISNUMBER(FIND(",",Tabela1[[#This Row],[8]])),LEN(Tabela1[[#This Row],[8]])-LEN(SUBSTITUTE(Tabela1[[#This Row],[8]],",",""))+1,1),"")</f>
        <v/>
      </c>
      <c r="AH649" t="str">
        <f>IF(Tabela1[[#This Row],[9]]&lt;&gt;"",IF(ISNUMBER(FIND(",",Tabela1[[#This Row],[9]])),LEN(Tabela1[[#This Row],[9]])-LEN(SUBSTITUTE(Tabela1[[#This Row],[9]],",",""))+1,1),"")</f>
        <v/>
      </c>
      <c r="AI649" t="str">
        <f>IF(Tabela1[[#This Row],[10]]&lt;&gt;"",IF(ISNUMBER(FIND(",",Tabela1[[#This Row],[10]])),LEN(Tabela1[[#This Row],[10]])-LEN(SUBSTITUTE(Tabela1[[#This Row],[10]],",",""))+1,1),"")</f>
        <v/>
      </c>
      <c r="AJ649" t="str">
        <f>IF(Tabela1[[#This Row],[11]]&lt;&gt;"",IF(ISNUMBER(FIND(",",Tabela1[[#This Row],[11]])),LEN(Tabela1[[#This Row],[11]])-LEN(SUBSTITUTE(Tabela1[[#This Row],[11]],",",""))+1,1),"")</f>
        <v/>
      </c>
      <c r="AK649" t="str">
        <f>IF(Tabela1[[#This Row],[12]]&lt;&gt;"",IF(ISNUMBER(FIND(",",Tabela1[[#This Row],[12]])),LEN(Tabela1[[#This Row],[12]])-LEN(SUBSTITUTE(Tabela1[[#This Row],[12]],",",""))+1,1),"")</f>
        <v/>
      </c>
      <c r="AL649" t="str">
        <f>IF(Tabela1[[#This Row],[13]]&lt;&gt;"",IF(ISNUMBER(FIND(",",Tabela1[[#This Row],[13]])),LEN(Tabela1[[#This Row],[13]])-LEN(SUBSTITUTE(Tabela1[[#This Row],[13]],",",""))+1,1),"")</f>
        <v/>
      </c>
      <c r="AM649" t="str">
        <f>IF(Tabela1[[#This Row],[14]]&lt;&gt;"",IF(ISNUMBER(FIND(",",Tabela1[[#This Row],[14]])),LEN(Tabela1[[#This Row],[14]])-LEN(SUBSTITUTE(Tabela1[[#This Row],[14]],",",""))+1,1),"")</f>
        <v/>
      </c>
      <c r="AN649" t="str">
        <f>IF(Tabela1[[#This Row],[15]]&lt;&gt;"",IF(ISNUMBER(FIND(",",Tabela1[[#This Row],[15]])),LEN(Tabela1[[#This Row],[15]])-LEN(SUBSTITUTE(Tabela1[[#This Row],[15]],",",""))+1,1),"")</f>
        <v/>
      </c>
      <c r="AO649" t="str">
        <f>IF(Tabela1[[#This Row],[16]]&lt;&gt;"",IF(ISNUMBER(FIND(",",Tabela1[[#This Row],[16]])),LEN(Tabela1[[#This Row],[16]])-LEN(SUBSTITUTE(Tabela1[[#This Row],[16]],",",""))+1,1),"")</f>
        <v/>
      </c>
      <c r="AP649" t="str">
        <f>IF(Tabela1[[#This Row],[17]]&lt;&gt;"",IF(ISNUMBER(FIND(",",Tabela1[[#This Row],[17]])),LEN(Tabela1[[#This Row],[17]])-LEN(SUBSTITUTE(Tabela1[[#This Row],[17]],",",""))+1,1),"")</f>
        <v/>
      </c>
      <c r="AQ649" t="str">
        <f>IF(Tabela1[[#This Row],[18]]&lt;&gt;"",IF(ISNUMBER(FIND(",",Tabela1[[#This Row],[18]])),LEN(Tabela1[[#This Row],[18]])-LEN(SUBSTITUTE(Tabela1[[#This Row],[18]],",",""))+1,1),"")</f>
        <v/>
      </c>
      <c r="AR649" s="13" t="str">
        <f>IF(Tabela1[[#This Row],[19_LENGTH]]&lt;&gt;"",IF(ISNUMBER(FIND(",",Tabela1[[#This Row],[19_LENGTH]])),LEN(Tabela1[[#This Row],[19_LENGTH]])-LEN(SUBSTITUTE(Tabela1[[#This Row],[19_LENGTH]],",",""))+1,1),"")</f>
        <v/>
      </c>
      <c r="AS649" s="21">
        <f>SUM(Tabela1[[#This Row],[1_]:[19_]])</f>
        <v>1</v>
      </c>
    </row>
    <row r="650" spans="1:45" x14ac:dyDescent="0.25">
      <c r="A650" s="27" t="s">
        <v>1332</v>
      </c>
      <c r="B650" s="19" t="s">
        <v>644</v>
      </c>
      <c r="C650" s="19">
        <v>101</v>
      </c>
      <c r="D650" s="19" t="s">
        <v>1314</v>
      </c>
      <c r="E650" s="20">
        <v>43549</v>
      </c>
      <c r="F650" s="19"/>
      <c r="G650" s="19"/>
      <c r="H650" s="19" t="s">
        <v>245</v>
      </c>
      <c r="I650" s="19"/>
      <c r="J650" s="19">
        <v>24</v>
      </c>
      <c r="K650" s="19"/>
      <c r="L650" s="19"/>
      <c r="M650" s="19"/>
      <c r="N650" s="19"/>
      <c r="O650" s="19"/>
      <c r="P650" s="19"/>
      <c r="Q650" s="19"/>
      <c r="R650" s="19"/>
      <c r="S650" s="19"/>
      <c r="T650" s="19"/>
      <c r="U650" s="19"/>
      <c r="V650" s="19"/>
      <c r="W650" s="19" t="s">
        <v>246</v>
      </c>
      <c r="X650" s="19"/>
      <c r="Y650" s="19"/>
      <c r="Z650" t="str">
        <f>IF(Tabela1[[#This Row],[1]]&lt;&gt;"",IF(ISNUMBER(FIND(",",Tabela1[[#This Row],[1]])),LEN(Tabela1[[#This Row],[1]])-LEN(SUBSTITUTE(Tabela1[[#This Row],[1]],",",""))+1,1),"")</f>
        <v/>
      </c>
      <c r="AA650" t="str">
        <f>IF(Tabela1[[#This Row],[2]]&lt;&gt;"",IF(ISNUMBER(FIND(",",Tabela1[[#This Row],[2]])),LEN(Tabela1[[#This Row],[2]])-LEN(SUBSTITUTE(Tabela1[[#This Row],[2]],",",""))+1,1),"")</f>
        <v/>
      </c>
      <c r="AB650">
        <f>IF(Tabela1[[#This Row],[3]]&lt;&gt;"",IF(ISNUMBER(FIND(",",Tabela1[[#This Row],[3]])),LEN(Tabela1[[#This Row],[3]])-LEN(SUBSTITUTE(Tabela1[[#This Row],[3]],",",""))+1,1),"")</f>
        <v>2</v>
      </c>
      <c r="AC650" t="str">
        <f>IF(Tabela1[[#This Row],[4]]&lt;&gt;"",IF(ISNUMBER(FIND(",",Tabela1[[#This Row],[4]])),LEN(Tabela1[[#This Row],[4]])-LEN(SUBSTITUTE(Tabela1[[#This Row],[4]],",",""))+1,1),"")</f>
        <v/>
      </c>
      <c r="AD650">
        <f>IF(Tabela1[[#This Row],[5]]&lt;&gt;"",IF(ISNUMBER(FIND(",",Tabela1[[#This Row],[5]])),LEN(Tabela1[[#This Row],[5]])-LEN(SUBSTITUTE(Tabela1[[#This Row],[5]],",",""))+1,1),"")</f>
        <v>1</v>
      </c>
      <c r="AE650" t="str">
        <f>IF(Tabela1[[#This Row],[6]]&lt;&gt;"",IF(ISNUMBER(FIND(",",Tabela1[[#This Row],[6]])),LEN(Tabela1[[#This Row],[6]])-LEN(SUBSTITUTE(Tabela1[[#This Row],[6]],",",""))+1,1),"")</f>
        <v/>
      </c>
      <c r="AF650" t="str">
        <f>IF(Tabela1[[#This Row],[7]]&lt;&gt;"",IF(ISNUMBER(FIND(",",Tabela1[[#This Row],[7]])),LEN(Tabela1[[#This Row],[7]])-LEN(SUBSTITUTE(Tabela1[[#This Row],[7]],",",""))+1,1),"")</f>
        <v/>
      </c>
      <c r="AG650" t="str">
        <f>IF(Tabela1[[#This Row],[8]]&lt;&gt;"",IF(ISNUMBER(FIND(",",Tabela1[[#This Row],[8]])),LEN(Tabela1[[#This Row],[8]])-LEN(SUBSTITUTE(Tabela1[[#This Row],[8]],",",""))+1,1),"")</f>
        <v/>
      </c>
      <c r="AH650" t="str">
        <f>IF(Tabela1[[#This Row],[9]]&lt;&gt;"",IF(ISNUMBER(FIND(",",Tabela1[[#This Row],[9]])),LEN(Tabela1[[#This Row],[9]])-LEN(SUBSTITUTE(Tabela1[[#This Row],[9]],",",""))+1,1),"")</f>
        <v/>
      </c>
      <c r="AI650" t="str">
        <f>IF(Tabela1[[#This Row],[10]]&lt;&gt;"",IF(ISNUMBER(FIND(",",Tabela1[[#This Row],[10]])),LEN(Tabela1[[#This Row],[10]])-LEN(SUBSTITUTE(Tabela1[[#This Row],[10]],",",""))+1,1),"")</f>
        <v/>
      </c>
      <c r="AJ650" t="str">
        <f>IF(Tabela1[[#This Row],[11]]&lt;&gt;"",IF(ISNUMBER(FIND(",",Tabela1[[#This Row],[11]])),LEN(Tabela1[[#This Row],[11]])-LEN(SUBSTITUTE(Tabela1[[#This Row],[11]],",",""))+1,1),"")</f>
        <v/>
      </c>
      <c r="AK650" t="str">
        <f>IF(Tabela1[[#This Row],[12]]&lt;&gt;"",IF(ISNUMBER(FIND(",",Tabela1[[#This Row],[12]])),LEN(Tabela1[[#This Row],[12]])-LEN(SUBSTITUTE(Tabela1[[#This Row],[12]],",",""))+1,1),"")</f>
        <v/>
      </c>
      <c r="AL650" t="str">
        <f>IF(Tabela1[[#This Row],[13]]&lt;&gt;"",IF(ISNUMBER(FIND(",",Tabela1[[#This Row],[13]])),LEN(Tabela1[[#This Row],[13]])-LEN(SUBSTITUTE(Tabela1[[#This Row],[13]],",",""))+1,1),"")</f>
        <v/>
      </c>
      <c r="AM650" t="str">
        <f>IF(Tabela1[[#This Row],[14]]&lt;&gt;"",IF(ISNUMBER(FIND(",",Tabela1[[#This Row],[14]])),LEN(Tabela1[[#This Row],[14]])-LEN(SUBSTITUTE(Tabela1[[#This Row],[14]],",",""))+1,1),"")</f>
        <v/>
      </c>
      <c r="AN650" t="str">
        <f>IF(Tabela1[[#This Row],[15]]&lt;&gt;"",IF(ISNUMBER(FIND(",",Tabela1[[#This Row],[15]])),LEN(Tabela1[[#This Row],[15]])-LEN(SUBSTITUTE(Tabela1[[#This Row],[15]],",",""))+1,1),"")</f>
        <v/>
      </c>
      <c r="AO650" t="str">
        <f>IF(Tabela1[[#This Row],[16]]&lt;&gt;"",IF(ISNUMBER(FIND(",",Tabela1[[#This Row],[16]])),LEN(Tabela1[[#This Row],[16]])-LEN(SUBSTITUTE(Tabela1[[#This Row],[16]],",",""))+1,1),"")</f>
        <v/>
      </c>
      <c r="AP650" t="str">
        <f>IF(Tabela1[[#This Row],[17]]&lt;&gt;"",IF(ISNUMBER(FIND(",",Tabela1[[#This Row],[17]])),LEN(Tabela1[[#This Row],[17]])-LEN(SUBSTITUTE(Tabela1[[#This Row],[17]],",",""))+1,1),"")</f>
        <v/>
      </c>
      <c r="AQ650">
        <f>IF(Tabela1[[#This Row],[18]]&lt;&gt;"",IF(ISNUMBER(FIND(",",Tabela1[[#This Row],[18]])),LEN(Tabela1[[#This Row],[18]])-LEN(SUBSTITUTE(Tabela1[[#This Row],[18]],",",""))+1,1),"")</f>
        <v>2</v>
      </c>
      <c r="AR650" s="13" t="str">
        <f>IF(Tabela1[[#This Row],[19_LENGTH]]&lt;&gt;"",IF(ISNUMBER(FIND(",",Tabela1[[#This Row],[19_LENGTH]])),LEN(Tabela1[[#This Row],[19_LENGTH]])-LEN(SUBSTITUTE(Tabela1[[#This Row],[19_LENGTH]],",",""))+1,1),"")</f>
        <v/>
      </c>
      <c r="AS650" s="21">
        <f>SUM(Tabela1[[#This Row],[1_]:[19_]])</f>
        <v>5</v>
      </c>
    </row>
    <row r="651" spans="1:45" x14ac:dyDescent="0.25">
      <c r="A651" s="27" t="s">
        <v>1332</v>
      </c>
      <c r="B651" s="19" t="s">
        <v>645</v>
      </c>
      <c r="C651" s="19">
        <v>84</v>
      </c>
      <c r="D651" s="19" t="s">
        <v>1314</v>
      </c>
      <c r="E651" s="20">
        <v>43549</v>
      </c>
      <c r="F651" s="19"/>
      <c r="G651" s="19"/>
      <c r="H651" s="19" t="s">
        <v>247</v>
      </c>
      <c r="I651" s="19"/>
      <c r="J651" s="19"/>
      <c r="K651" s="19"/>
      <c r="L651" s="19"/>
      <c r="M651" s="19"/>
      <c r="N651" s="19"/>
      <c r="O651" s="19"/>
      <c r="P651" s="19"/>
      <c r="Q651" s="19"/>
      <c r="R651" s="19"/>
      <c r="S651" s="19"/>
      <c r="T651" s="19"/>
      <c r="U651" s="19"/>
      <c r="V651" s="19"/>
      <c r="W651" s="19"/>
      <c r="X651" s="19"/>
      <c r="Y651" s="19"/>
      <c r="Z651" t="str">
        <f>IF(Tabela1[[#This Row],[1]]&lt;&gt;"",IF(ISNUMBER(FIND(",",Tabela1[[#This Row],[1]])),LEN(Tabela1[[#This Row],[1]])-LEN(SUBSTITUTE(Tabela1[[#This Row],[1]],",",""))+1,1),"")</f>
        <v/>
      </c>
      <c r="AA651" t="str">
        <f>IF(Tabela1[[#This Row],[2]]&lt;&gt;"",IF(ISNUMBER(FIND(",",Tabela1[[#This Row],[2]])),LEN(Tabela1[[#This Row],[2]])-LEN(SUBSTITUTE(Tabela1[[#This Row],[2]],",",""))+1,1),"")</f>
        <v/>
      </c>
      <c r="AB651">
        <f>IF(Tabela1[[#This Row],[3]]&lt;&gt;"",IF(ISNUMBER(FIND(",",Tabela1[[#This Row],[3]])),LEN(Tabela1[[#This Row],[3]])-LEN(SUBSTITUTE(Tabela1[[#This Row],[3]],",",""))+1,1),"")</f>
        <v>3</v>
      </c>
      <c r="AC651" t="str">
        <f>IF(Tabela1[[#This Row],[4]]&lt;&gt;"",IF(ISNUMBER(FIND(",",Tabela1[[#This Row],[4]])),LEN(Tabela1[[#This Row],[4]])-LEN(SUBSTITUTE(Tabela1[[#This Row],[4]],",",""))+1,1),"")</f>
        <v/>
      </c>
      <c r="AD651" t="str">
        <f>IF(Tabela1[[#This Row],[5]]&lt;&gt;"",IF(ISNUMBER(FIND(",",Tabela1[[#This Row],[5]])),LEN(Tabela1[[#This Row],[5]])-LEN(SUBSTITUTE(Tabela1[[#This Row],[5]],",",""))+1,1),"")</f>
        <v/>
      </c>
      <c r="AE651" t="str">
        <f>IF(Tabela1[[#This Row],[6]]&lt;&gt;"",IF(ISNUMBER(FIND(",",Tabela1[[#This Row],[6]])),LEN(Tabela1[[#This Row],[6]])-LEN(SUBSTITUTE(Tabela1[[#This Row],[6]],",",""))+1,1),"")</f>
        <v/>
      </c>
      <c r="AF651" t="str">
        <f>IF(Tabela1[[#This Row],[7]]&lt;&gt;"",IF(ISNUMBER(FIND(",",Tabela1[[#This Row],[7]])),LEN(Tabela1[[#This Row],[7]])-LEN(SUBSTITUTE(Tabela1[[#This Row],[7]],",",""))+1,1),"")</f>
        <v/>
      </c>
      <c r="AG651" t="str">
        <f>IF(Tabela1[[#This Row],[8]]&lt;&gt;"",IF(ISNUMBER(FIND(",",Tabela1[[#This Row],[8]])),LEN(Tabela1[[#This Row],[8]])-LEN(SUBSTITUTE(Tabela1[[#This Row],[8]],",",""))+1,1),"")</f>
        <v/>
      </c>
      <c r="AH651" t="str">
        <f>IF(Tabela1[[#This Row],[9]]&lt;&gt;"",IF(ISNUMBER(FIND(",",Tabela1[[#This Row],[9]])),LEN(Tabela1[[#This Row],[9]])-LEN(SUBSTITUTE(Tabela1[[#This Row],[9]],",",""))+1,1),"")</f>
        <v/>
      </c>
      <c r="AI651" t="str">
        <f>IF(Tabela1[[#This Row],[10]]&lt;&gt;"",IF(ISNUMBER(FIND(",",Tabela1[[#This Row],[10]])),LEN(Tabela1[[#This Row],[10]])-LEN(SUBSTITUTE(Tabela1[[#This Row],[10]],",",""))+1,1),"")</f>
        <v/>
      </c>
      <c r="AJ651" t="str">
        <f>IF(Tabela1[[#This Row],[11]]&lt;&gt;"",IF(ISNUMBER(FIND(",",Tabela1[[#This Row],[11]])),LEN(Tabela1[[#This Row],[11]])-LEN(SUBSTITUTE(Tabela1[[#This Row],[11]],",",""))+1,1),"")</f>
        <v/>
      </c>
      <c r="AK651" t="str">
        <f>IF(Tabela1[[#This Row],[12]]&lt;&gt;"",IF(ISNUMBER(FIND(",",Tabela1[[#This Row],[12]])),LEN(Tabela1[[#This Row],[12]])-LEN(SUBSTITUTE(Tabela1[[#This Row],[12]],",",""))+1,1),"")</f>
        <v/>
      </c>
      <c r="AL651" t="str">
        <f>IF(Tabela1[[#This Row],[13]]&lt;&gt;"",IF(ISNUMBER(FIND(",",Tabela1[[#This Row],[13]])),LEN(Tabela1[[#This Row],[13]])-LEN(SUBSTITUTE(Tabela1[[#This Row],[13]],",",""))+1,1),"")</f>
        <v/>
      </c>
      <c r="AM651" t="str">
        <f>IF(Tabela1[[#This Row],[14]]&lt;&gt;"",IF(ISNUMBER(FIND(",",Tabela1[[#This Row],[14]])),LEN(Tabela1[[#This Row],[14]])-LEN(SUBSTITUTE(Tabela1[[#This Row],[14]],",",""))+1,1),"")</f>
        <v/>
      </c>
      <c r="AN651" t="str">
        <f>IF(Tabela1[[#This Row],[15]]&lt;&gt;"",IF(ISNUMBER(FIND(",",Tabela1[[#This Row],[15]])),LEN(Tabela1[[#This Row],[15]])-LEN(SUBSTITUTE(Tabela1[[#This Row],[15]],",",""))+1,1),"")</f>
        <v/>
      </c>
      <c r="AO651" t="str">
        <f>IF(Tabela1[[#This Row],[16]]&lt;&gt;"",IF(ISNUMBER(FIND(",",Tabela1[[#This Row],[16]])),LEN(Tabela1[[#This Row],[16]])-LEN(SUBSTITUTE(Tabela1[[#This Row],[16]],",",""))+1,1),"")</f>
        <v/>
      </c>
      <c r="AP651" t="str">
        <f>IF(Tabela1[[#This Row],[17]]&lt;&gt;"",IF(ISNUMBER(FIND(",",Tabela1[[#This Row],[17]])),LEN(Tabela1[[#This Row],[17]])-LEN(SUBSTITUTE(Tabela1[[#This Row],[17]],",",""))+1,1),"")</f>
        <v/>
      </c>
      <c r="AQ651" t="str">
        <f>IF(Tabela1[[#This Row],[18]]&lt;&gt;"",IF(ISNUMBER(FIND(",",Tabela1[[#This Row],[18]])),LEN(Tabela1[[#This Row],[18]])-LEN(SUBSTITUTE(Tabela1[[#This Row],[18]],",",""))+1,1),"")</f>
        <v/>
      </c>
      <c r="AR651" s="13" t="str">
        <f>IF(Tabela1[[#This Row],[19_LENGTH]]&lt;&gt;"",IF(ISNUMBER(FIND(",",Tabela1[[#This Row],[19_LENGTH]])),LEN(Tabela1[[#This Row],[19_LENGTH]])-LEN(SUBSTITUTE(Tabela1[[#This Row],[19_LENGTH]],",",""))+1,1),"")</f>
        <v/>
      </c>
      <c r="AS651" s="21">
        <f>SUM(Tabela1[[#This Row],[1_]:[19_]])</f>
        <v>3</v>
      </c>
    </row>
    <row r="652" spans="1:45" x14ac:dyDescent="0.25">
      <c r="A652" s="27" t="s">
        <v>1332</v>
      </c>
      <c r="B652" s="19" t="s">
        <v>646</v>
      </c>
      <c r="C652" s="19">
        <v>102</v>
      </c>
      <c r="D652" s="19" t="s">
        <v>1314</v>
      </c>
      <c r="E652" s="20">
        <v>43549</v>
      </c>
      <c r="F652" s="19"/>
      <c r="G652" s="19"/>
      <c r="H652" s="19" t="s">
        <v>248</v>
      </c>
      <c r="I652" s="19">
        <v>24</v>
      </c>
      <c r="J652" s="19"/>
      <c r="K652" s="19"/>
      <c r="L652" s="19"/>
      <c r="M652" s="19"/>
      <c r="N652" s="19"/>
      <c r="O652" s="19"/>
      <c r="P652" s="19"/>
      <c r="Q652" s="19"/>
      <c r="R652" s="19"/>
      <c r="S652" s="19"/>
      <c r="T652" s="19"/>
      <c r="U652" s="19"/>
      <c r="V652" s="19"/>
      <c r="W652" s="19"/>
      <c r="X652" s="19"/>
      <c r="Y652" s="19"/>
      <c r="Z652" t="str">
        <f>IF(Tabela1[[#This Row],[1]]&lt;&gt;"",IF(ISNUMBER(FIND(",",Tabela1[[#This Row],[1]])),LEN(Tabela1[[#This Row],[1]])-LEN(SUBSTITUTE(Tabela1[[#This Row],[1]],",",""))+1,1),"")</f>
        <v/>
      </c>
      <c r="AA652" t="str">
        <f>IF(Tabela1[[#This Row],[2]]&lt;&gt;"",IF(ISNUMBER(FIND(",",Tabela1[[#This Row],[2]])),LEN(Tabela1[[#This Row],[2]])-LEN(SUBSTITUTE(Tabela1[[#This Row],[2]],",",""))+1,1),"")</f>
        <v/>
      </c>
      <c r="AB652">
        <f>IF(Tabela1[[#This Row],[3]]&lt;&gt;"",IF(ISNUMBER(FIND(",",Tabela1[[#This Row],[3]])),LEN(Tabela1[[#This Row],[3]])-LEN(SUBSTITUTE(Tabela1[[#This Row],[3]],",",""))+1,1),"")</f>
        <v>2</v>
      </c>
      <c r="AC652">
        <f>IF(Tabela1[[#This Row],[4]]&lt;&gt;"",IF(ISNUMBER(FIND(",",Tabela1[[#This Row],[4]])),LEN(Tabela1[[#This Row],[4]])-LEN(SUBSTITUTE(Tabela1[[#This Row],[4]],",",""))+1,1),"")</f>
        <v>1</v>
      </c>
      <c r="AD652" t="str">
        <f>IF(Tabela1[[#This Row],[5]]&lt;&gt;"",IF(ISNUMBER(FIND(",",Tabela1[[#This Row],[5]])),LEN(Tabela1[[#This Row],[5]])-LEN(SUBSTITUTE(Tabela1[[#This Row],[5]],",",""))+1,1),"")</f>
        <v/>
      </c>
      <c r="AE652" t="str">
        <f>IF(Tabela1[[#This Row],[6]]&lt;&gt;"",IF(ISNUMBER(FIND(",",Tabela1[[#This Row],[6]])),LEN(Tabela1[[#This Row],[6]])-LEN(SUBSTITUTE(Tabela1[[#This Row],[6]],",",""))+1,1),"")</f>
        <v/>
      </c>
      <c r="AF652" t="str">
        <f>IF(Tabela1[[#This Row],[7]]&lt;&gt;"",IF(ISNUMBER(FIND(",",Tabela1[[#This Row],[7]])),LEN(Tabela1[[#This Row],[7]])-LEN(SUBSTITUTE(Tabela1[[#This Row],[7]],",",""))+1,1),"")</f>
        <v/>
      </c>
      <c r="AG652" t="str">
        <f>IF(Tabela1[[#This Row],[8]]&lt;&gt;"",IF(ISNUMBER(FIND(",",Tabela1[[#This Row],[8]])),LEN(Tabela1[[#This Row],[8]])-LEN(SUBSTITUTE(Tabela1[[#This Row],[8]],",",""))+1,1),"")</f>
        <v/>
      </c>
      <c r="AH652" t="str">
        <f>IF(Tabela1[[#This Row],[9]]&lt;&gt;"",IF(ISNUMBER(FIND(",",Tabela1[[#This Row],[9]])),LEN(Tabela1[[#This Row],[9]])-LEN(SUBSTITUTE(Tabela1[[#This Row],[9]],",",""))+1,1),"")</f>
        <v/>
      </c>
      <c r="AI652" t="str">
        <f>IF(Tabela1[[#This Row],[10]]&lt;&gt;"",IF(ISNUMBER(FIND(",",Tabela1[[#This Row],[10]])),LEN(Tabela1[[#This Row],[10]])-LEN(SUBSTITUTE(Tabela1[[#This Row],[10]],",",""))+1,1),"")</f>
        <v/>
      </c>
      <c r="AJ652" t="str">
        <f>IF(Tabela1[[#This Row],[11]]&lt;&gt;"",IF(ISNUMBER(FIND(",",Tabela1[[#This Row],[11]])),LEN(Tabela1[[#This Row],[11]])-LEN(SUBSTITUTE(Tabela1[[#This Row],[11]],",",""))+1,1),"")</f>
        <v/>
      </c>
      <c r="AK652" t="str">
        <f>IF(Tabela1[[#This Row],[12]]&lt;&gt;"",IF(ISNUMBER(FIND(",",Tabela1[[#This Row],[12]])),LEN(Tabela1[[#This Row],[12]])-LEN(SUBSTITUTE(Tabela1[[#This Row],[12]],",",""))+1,1),"")</f>
        <v/>
      </c>
      <c r="AL652" t="str">
        <f>IF(Tabela1[[#This Row],[13]]&lt;&gt;"",IF(ISNUMBER(FIND(",",Tabela1[[#This Row],[13]])),LEN(Tabela1[[#This Row],[13]])-LEN(SUBSTITUTE(Tabela1[[#This Row],[13]],",",""))+1,1),"")</f>
        <v/>
      </c>
      <c r="AM652" t="str">
        <f>IF(Tabela1[[#This Row],[14]]&lt;&gt;"",IF(ISNUMBER(FIND(",",Tabela1[[#This Row],[14]])),LEN(Tabela1[[#This Row],[14]])-LEN(SUBSTITUTE(Tabela1[[#This Row],[14]],",",""))+1,1),"")</f>
        <v/>
      </c>
      <c r="AN652" t="str">
        <f>IF(Tabela1[[#This Row],[15]]&lt;&gt;"",IF(ISNUMBER(FIND(",",Tabela1[[#This Row],[15]])),LEN(Tabela1[[#This Row],[15]])-LEN(SUBSTITUTE(Tabela1[[#This Row],[15]],",",""))+1,1),"")</f>
        <v/>
      </c>
      <c r="AO652" t="str">
        <f>IF(Tabela1[[#This Row],[16]]&lt;&gt;"",IF(ISNUMBER(FIND(",",Tabela1[[#This Row],[16]])),LEN(Tabela1[[#This Row],[16]])-LEN(SUBSTITUTE(Tabela1[[#This Row],[16]],",",""))+1,1),"")</f>
        <v/>
      </c>
      <c r="AP652" t="str">
        <f>IF(Tabela1[[#This Row],[17]]&lt;&gt;"",IF(ISNUMBER(FIND(",",Tabela1[[#This Row],[17]])),LEN(Tabela1[[#This Row],[17]])-LEN(SUBSTITUTE(Tabela1[[#This Row],[17]],",",""))+1,1),"")</f>
        <v/>
      </c>
      <c r="AQ652" t="str">
        <f>IF(Tabela1[[#This Row],[18]]&lt;&gt;"",IF(ISNUMBER(FIND(",",Tabela1[[#This Row],[18]])),LEN(Tabela1[[#This Row],[18]])-LEN(SUBSTITUTE(Tabela1[[#This Row],[18]],",",""))+1,1),"")</f>
        <v/>
      </c>
      <c r="AR652" s="13" t="str">
        <f>IF(Tabela1[[#This Row],[19_LENGTH]]&lt;&gt;"",IF(ISNUMBER(FIND(",",Tabela1[[#This Row],[19_LENGTH]])),LEN(Tabela1[[#This Row],[19_LENGTH]])-LEN(SUBSTITUTE(Tabela1[[#This Row],[19_LENGTH]],",",""))+1,1),"")</f>
        <v/>
      </c>
      <c r="AS652" s="21">
        <f>SUM(Tabela1[[#This Row],[1_]:[19_]])</f>
        <v>3</v>
      </c>
    </row>
    <row r="653" spans="1:45" x14ac:dyDescent="0.25">
      <c r="A653" s="27" t="s">
        <v>1332</v>
      </c>
      <c r="B653" s="19" t="s">
        <v>647</v>
      </c>
      <c r="C653" s="19">
        <v>102</v>
      </c>
      <c r="D653" s="19" t="s">
        <v>1314</v>
      </c>
      <c r="E653" s="20">
        <v>43549</v>
      </c>
      <c r="F653" s="19"/>
      <c r="G653" s="19"/>
      <c r="H653" s="19">
        <v>38</v>
      </c>
      <c r="I653" s="19"/>
      <c r="J653" s="19"/>
      <c r="K653" s="19">
        <v>92</v>
      </c>
      <c r="L653" s="19"/>
      <c r="M653" s="19">
        <v>22</v>
      </c>
      <c r="N653" s="19"/>
      <c r="O653" s="19"/>
      <c r="P653" s="19"/>
      <c r="Q653" s="19"/>
      <c r="R653" s="19"/>
      <c r="S653" s="19"/>
      <c r="T653" s="19"/>
      <c r="U653" s="19"/>
      <c r="V653" s="19"/>
      <c r="W653" s="19"/>
      <c r="X653" s="19"/>
      <c r="Y653" s="19"/>
      <c r="Z653" t="str">
        <f>IF(Tabela1[[#This Row],[1]]&lt;&gt;"",IF(ISNUMBER(FIND(",",Tabela1[[#This Row],[1]])),LEN(Tabela1[[#This Row],[1]])-LEN(SUBSTITUTE(Tabela1[[#This Row],[1]],",",""))+1,1),"")</f>
        <v/>
      </c>
      <c r="AA653" t="str">
        <f>IF(Tabela1[[#This Row],[2]]&lt;&gt;"",IF(ISNUMBER(FIND(",",Tabela1[[#This Row],[2]])),LEN(Tabela1[[#This Row],[2]])-LEN(SUBSTITUTE(Tabela1[[#This Row],[2]],",",""))+1,1),"")</f>
        <v/>
      </c>
      <c r="AB653">
        <f>IF(Tabela1[[#This Row],[3]]&lt;&gt;"",IF(ISNUMBER(FIND(",",Tabela1[[#This Row],[3]])),LEN(Tabela1[[#This Row],[3]])-LEN(SUBSTITUTE(Tabela1[[#This Row],[3]],",",""))+1,1),"")</f>
        <v>1</v>
      </c>
      <c r="AC653" t="str">
        <f>IF(Tabela1[[#This Row],[4]]&lt;&gt;"",IF(ISNUMBER(FIND(",",Tabela1[[#This Row],[4]])),LEN(Tabela1[[#This Row],[4]])-LEN(SUBSTITUTE(Tabela1[[#This Row],[4]],",",""))+1,1),"")</f>
        <v/>
      </c>
      <c r="AD653" t="str">
        <f>IF(Tabela1[[#This Row],[5]]&lt;&gt;"",IF(ISNUMBER(FIND(",",Tabela1[[#This Row],[5]])),LEN(Tabela1[[#This Row],[5]])-LEN(SUBSTITUTE(Tabela1[[#This Row],[5]],",",""))+1,1),"")</f>
        <v/>
      </c>
      <c r="AE653">
        <f>IF(Tabela1[[#This Row],[6]]&lt;&gt;"",IF(ISNUMBER(FIND(",",Tabela1[[#This Row],[6]])),LEN(Tabela1[[#This Row],[6]])-LEN(SUBSTITUTE(Tabela1[[#This Row],[6]],",",""))+1,1),"")</f>
        <v>1</v>
      </c>
      <c r="AF653" t="str">
        <f>IF(Tabela1[[#This Row],[7]]&lt;&gt;"",IF(ISNUMBER(FIND(",",Tabela1[[#This Row],[7]])),LEN(Tabela1[[#This Row],[7]])-LEN(SUBSTITUTE(Tabela1[[#This Row],[7]],",",""))+1,1),"")</f>
        <v/>
      </c>
      <c r="AG653">
        <f>IF(Tabela1[[#This Row],[8]]&lt;&gt;"",IF(ISNUMBER(FIND(",",Tabela1[[#This Row],[8]])),LEN(Tabela1[[#This Row],[8]])-LEN(SUBSTITUTE(Tabela1[[#This Row],[8]],",",""))+1,1),"")</f>
        <v>1</v>
      </c>
      <c r="AH653" t="str">
        <f>IF(Tabela1[[#This Row],[9]]&lt;&gt;"",IF(ISNUMBER(FIND(",",Tabela1[[#This Row],[9]])),LEN(Tabela1[[#This Row],[9]])-LEN(SUBSTITUTE(Tabela1[[#This Row],[9]],",",""))+1,1),"")</f>
        <v/>
      </c>
      <c r="AI653" t="str">
        <f>IF(Tabela1[[#This Row],[10]]&lt;&gt;"",IF(ISNUMBER(FIND(",",Tabela1[[#This Row],[10]])),LEN(Tabela1[[#This Row],[10]])-LEN(SUBSTITUTE(Tabela1[[#This Row],[10]],",",""))+1,1),"")</f>
        <v/>
      </c>
      <c r="AJ653" t="str">
        <f>IF(Tabela1[[#This Row],[11]]&lt;&gt;"",IF(ISNUMBER(FIND(",",Tabela1[[#This Row],[11]])),LEN(Tabela1[[#This Row],[11]])-LEN(SUBSTITUTE(Tabela1[[#This Row],[11]],",",""))+1,1),"")</f>
        <v/>
      </c>
      <c r="AK653" t="str">
        <f>IF(Tabela1[[#This Row],[12]]&lt;&gt;"",IF(ISNUMBER(FIND(",",Tabela1[[#This Row],[12]])),LEN(Tabela1[[#This Row],[12]])-LEN(SUBSTITUTE(Tabela1[[#This Row],[12]],",",""))+1,1),"")</f>
        <v/>
      </c>
      <c r="AL653" t="str">
        <f>IF(Tabela1[[#This Row],[13]]&lt;&gt;"",IF(ISNUMBER(FIND(",",Tabela1[[#This Row],[13]])),LEN(Tabela1[[#This Row],[13]])-LEN(SUBSTITUTE(Tabela1[[#This Row],[13]],",",""))+1,1),"")</f>
        <v/>
      </c>
      <c r="AM653" t="str">
        <f>IF(Tabela1[[#This Row],[14]]&lt;&gt;"",IF(ISNUMBER(FIND(",",Tabela1[[#This Row],[14]])),LEN(Tabela1[[#This Row],[14]])-LEN(SUBSTITUTE(Tabela1[[#This Row],[14]],",",""))+1,1),"")</f>
        <v/>
      </c>
      <c r="AN653" t="str">
        <f>IF(Tabela1[[#This Row],[15]]&lt;&gt;"",IF(ISNUMBER(FIND(",",Tabela1[[#This Row],[15]])),LEN(Tabela1[[#This Row],[15]])-LEN(SUBSTITUTE(Tabela1[[#This Row],[15]],",",""))+1,1),"")</f>
        <v/>
      </c>
      <c r="AO653" t="str">
        <f>IF(Tabela1[[#This Row],[16]]&lt;&gt;"",IF(ISNUMBER(FIND(",",Tabela1[[#This Row],[16]])),LEN(Tabela1[[#This Row],[16]])-LEN(SUBSTITUTE(Tabela1[[#This Row],[16]],",",""))+1,1),"")</f>
        <v/>
      </c>
      <c r="AP653" t="str">
        <f>IF(Tabela1[[#This Row],[17]]&lt;&gt;"",IF(ISNUMBER(FIND(",",Tabela1[[#This Row],[17]])),LEN(Tabela1[[#This Row],[17]])-LEN(SUBSTITUTE(Tabela1[[#This Row],[17]],",",""))+1,1),"")</f>
        <v/>
      </c>
      <c r="AQ653" t="str">
        <f>IF(Tabela1[[#This Row],[18]]&lt;&gt;"",IF(ISNUMBER(FIND(",",Tabela1[[#This Row],[18]])),LEN(Tabela1[[#This Row],[18]])-LEN(SUBSTITUTE(Tabela1[[#This Row],[18]],",",""))+1,1),"")</f>
        <v/>
      </c>
      <c r="AR653" s="13" t="str">
        <f>IF(Tabela1[[#This Row],[19_LENGTH]]&lt;&gt;"",IF(ISNUMBER(FIND(",",Tabela1[[#This Row],[19_LENGTH]])),LEN(Tabela1[[#This Row],[19_LENGTH]])-LEN(SUBSTITUTE(Tabela1[[#This Row],[19_LENGTH]],",",""))+1,1),"")</f>
        <v/>
      </c>
      <c r="AS653" s="21">
        <f>SUM(Tabela1[[#This Row],[1_]:[19_]])</f>
        <v>3</v>
      </c>
    </row>
    <row r="654" spans="1:45" x14ac:dyDescent="0.25">
      <c r="A654" s="27" t="s">
        <v>1332</v>
      </c>
      <c r="B654" s="19" t="s">
        <v>648</v>
      </c>
      <c r="C654" s="19">
        <v>102</v>
      </c>
      <c r="D654" s="19" t="s">
        <v>1314</v>
      </c>
      <c r="E654" s="20">
        <v>43549</v>
      </c>
      <c r="F654" s="19"/>
      <c r="G654" s="19" t="s">
        <v>249</v>
      </c>
      <c r="H654" s="19" t="s">
        <v>250</v>
      </c>
      <c r="I654" s="19">
        <v>62</v>
      </c>
      <c r="J654" s="19"/>
      <c r="K654" s="19"/>
      <c r="L654" s="19"/>
      <c r="M654" s="19"/>
      <c r="N654" s="19"/>
      <c r="O654" s="19"/>
      <c r="P654" s="19"/>
      <c r="Q654" s="19"/>
      <c r="R654" s="19"/>
      <c r="S654" s="19"/>
      <c r="T654" s="19"/>
      <c r="U654" s="19">
        <v>52</v>
      </c>
      <c r="V654" s="19"/>
      <c r="W654" s="19"/>
      <c r="X654" s="19"/>
      <c r="Y654" s="19"/>
      <c r="Z654" t="str">
        <f>IF(Tabela1[[#This Row],[1]]&lt;&gt;"",IF(ISNUMBER(FIND(",",Tabela1[[#This Row],[1]])),LEN(Tabela1[[#This Row],[1]])-LEN(SUBSTITUTE(Tabela1[[#This Row],[1]],",",""))+1,1),"")</f>
        <v/>
      </c>
      <c r="AA654">
        <f>IF(Tabela1[[#This Row],[2]]&lt;&gt;"",IF(ISNUMBER(FIND(",",Tabela1[[#This Row],[2]])),LEN(Tabela1[[#This Row],[2]])-LEN(SUBSTITUTE(Tabela1[[#This Row],[2]],",",""))+1,1),"")</f>
        <v>2</v>
      </c>
      <c r="AB654">
        <f>IF(Tabela1[[#This Row],[3]]&lt;&gt;"",IF(ISNUMBER(FIND(",",Tabela1[[#This Row],[3]])),LEN(Tabela1[[#This Row],[3]])-LEN(SUBSTITUTE(Tabela1[[#This Row],[3]],",",""))+1,1),"")</f>
        <v>3</v>
      </c>
      <c r="AC654">
        <f>IF(Tabela1[[#This Row],[4]]&lt;&gt;"",IF(ISNUMBER(FIND(",",Tabela1[[#This Row],[4]])),LEN(Tabela1[[#This Row],[4]])-LEN(SUBSTITUTE(Tabela1[[#This Row],[4]],",",""))+1,1),"")</f>
        <v>1</v>
      </c>
      <c r="AD654" t="str">
        <f>IF(Tabela1[[#This Row],[5]]&lt;&gt;"",IF(ISNUMBER(FIND(",",Tabela1[[#This Row],[5]])),LEN(Tabela1[[#This Row],[5]])-LEN(SUBSTITUTE(Tabela1[[#This Row],[5]],",",""))+1,1),"")</f>
        <v/>
      </c>
      <c r="AE654" t="str">
        <f>IF(Tabela1[[#This Row],[6]]&lt;&gt;"",IF(ISNUMBER(FIND(",",Tabela1[[#This Row],[6]])),LEN(Tabela1[[#This Row],[6]])-LEN(SUBSTITUTE(Tabela1[[#This Row],[6]],",",""))+1,1),"")</f>
        <v/>
      </c>
      <c r="AF654" t="str">
        <f>IF(Tabela1[[#This Row],[7]]&lt;&gt;"",IF(ISNUMBER(FIND(",",Tabela1[[#This Row],[7]])),LEN(Tabela1[[#This Row],[7]])-LEN(SUBSTITUTE(Tabela1[[#This Row],[7]],",",""))+1,1),"")</f>
        <v/>
      </c>
      <c r="AG654" t="str">
        <f>IF(Tabela1[[#This Row],[8]]&lt;&gt;"",IF(ISNUMBER(FIND(",",Tabela1[[#This Row],[8]])),LEN(Tabela1[[#This Row],[8]])-LEN(SUBSTITUTE(Tabela1[[#This Row],[8]],",",""))+1,1),"")</f>
        <v/>
      </c>
      <c r="AH654" t="str">
        <f>IF(Tabela1[[#This Row],[9]]&lt;&gt;"",IF(ISNUMBER(FIND(",",Tabela1[[#This Row],[9]])),LEN(Tabela1[[#This Row],[9]])-LEN(SUBSTITUTE(Tabela1[[#This Row],[9]],",",""))+1,1),"")</f>
        <v/>
      </c>
      <c r="AI654" t="str">
        <f>IF(Tabela1[[#This Row],[10]]&lt;&gt;"",IF(ISNUMBER(FIND(",",Tabela1[[#This Row],[10]])),LEN(Tabela1[[#This Row],[10]])-LEN(SUBSTITUTE(Tabela1[[#This Row],[10]],",",""))+1,1),"")</f>
        <v/>
      </c>
      <c r="AJ654" t="str">
        <f>IF(Tabela1[[#This Row],[11]]&lt;&gt;"",IF(ISNUMBER(FIND(",",Tabela1[[#This Row],[11]])),LEN(Tabela1[[#This Row],[11]])-LEN(SUBSTITUTE(Tabela1[[#This Row],[11]],",",""))+1,1),"")</f>
        <v/>
      </c>
      <c r="AK654" t="str">
        <f>IF(Tabela1[[#This Row],[12]]&lt;&gt;"",IF(ISNUMBER(FIND(",",Tabela1[[#This Row],[12]])),LEN(Tabela1[[#This Row],[12]])-LEN(SUBSTITUTE(Tabela1[[#This Row],[12]],",",""))+1,1),"")</f>
        <v/>
      </c>
      <c r="AL654" t="str">
        <f>IF(Tabela1[[#This Row],[13]]&lt;&gt;"",IF(ISNUMBER(FIND(",",Tabela1[[#This Row],[13]])),LEN(Tabela1[[#This Row],[13]])-LEN(SUBSTITUTE(Tabela1[[#This Row],[13]],",",""))+1,1),"")</f>
        <v/>
      </c>
      <c r="AM654" t="str">
        <f>IF(Tabela1[[#This Row],[14]]&lt;&gt;"",IF(ISNUMBER(FIND(",",Tabela1[[#This Row],[14]])),LEN(Tabela1[[#This Row],[14]])-LEN(SUBSTITUTE(Tabela1[[#This Row],[14]],",",""))+1,1),"")</f>
        <v/>
      </c>
      <c r="AN654" t="str">
        <f>IF(Tabela1[[#This Row],[15]]&lt;&gt;"",IF(ISNUMBER(FIND(",",Tabela1[[#This Row],[15]])),LEN(Tabela1[[#This Row],[15]])-LEN(SUBSTITUTE(Tabela1[[#This Row],[15]],",",""))+1,1),"")</f>
        <v/>
      </c>
      <c r="AO654">
        <f>IF(Tabela1[[#This Row],[16]]&lt;&gt;"",IF(ISNUMBER(FIND(",",Tabela1[[#This Row],[16]])),LEN(Tabela1[[#This Row],[16]])-LEN(SUBSTITUTE(Tabela1[[#This Row],[16]],",",""))+1,1),"")</f>
        <v>1</v>
      </c>
      <c r="AP654" t="str">
        <f>IF(Tabela1[[#This Row],[17]]&lt;&gt;"",IF(ISNUMBER(FIND(",",Tabela1[[#This Row],[17]])),LEN(Tabela1[[#This Row],[17]])-LEN(SUBSTITUTE(Tabela1[[#This Row],[17]],",",""))+1,1),"")</f>
        <v/>
      </c>
      <c r="AQ654" t="str">
        <f>IF(Tabela1[[#This Row],[18]]&lt;&gt;"",IF(ISNUMBER(FIND(",",Tabela1[[#This Row],[18]])),LEN(Tabela1[[#This Row],[18]])-LEN(SUBSTITUTE(Tabela1[[#This Row],[18]],",",""))+1,1),"")</f>
        <v/>
      </c>
      <c r="AR654" s="13" t="str">
        <f>IF(Tabela1[[#This Row],[19_LENGTH]]&lt;&gt;"",IF(ISNUMBER(FIND(",",Tabela1[[#This Row],[19_LENGTH]])),LEN(Tabela1[[#This Row],[19_LENGTH]])-LEN(SUBSTITUTE(Tabela1[[#This Row],[19_LENGTH]],",",""))+1,1),"")</f>
        <v/>
      </c>
      <c r="AS654" s="21">
        <f>SUM(Tabela1[[#This Row],[1_]:[19_]])</f>
        <v>7</v>
      </c>
    </row>
    <row r="655" spans="1:45" x14ac:dyDescent="0.25">
      <c r="A655" s="27" t="s">
        <v>1332</v>
      </c>
      <c r="B655" s="19" t="s">
        <v>649</v>
      </c>
      <c r="C655" s="19">
        <v>102</v>
      </c>
      <c r="D655" s="19" t="s">
        <v>1314</v>
      </c>
      <c r="E655" s="20">
        <v>43549</v>
      </c>
      <c r="F655" s="19"/>
      <c r="G655" s="19">
        <v>53</v>
      </c>
      <c r="H655" s="19">
        <v>44</v>
      </c>
      <c r="I655" s="19"/>
      <c r="J655" s="19"/>
      <c r="K655" s="19"/>
      <c r="L655" s="19"/>
      <c r="M655" s="19"/>
      <c r="N655" s="19"/>
      <c r="O655" s="19"/>
      <c r="P655" s="19"/>
      <c r="Q655" s="19"/>
      <c r="R655" s="19"/>
      <c r="S655" s="19"/>
      <c r="T655" s="19"/>
      <c r="U655" s="19"/>
      <c r="V655" s="19"/>
      <c r="W655" s="19"/>
      <c r="X655" s="19"/>
      <c r="Y655" s="19"/>
      <c r="Z655" t="str">
        <f>IF(Tabela1[[#This Row],[1]]&lt;&gt;"",IF(ISNUMBER(FIND(",",Tabela1[[#This Row],[1]])),LEN(Tabela1[[#This Row],[1]])-LEN(SUBSTITUTE(Tabela1[[#This Row],[1]],",",""))+1,1),"")</f>
        <v/>
      </c>
      <c r="AA655">
        <f>IF(Tabela1[[#This Row],[2]]&lt;&gt;"",IF(ISNUMBER(FIND(",",Tabela1[[#This Row],[2]])),LEN(Tabela1[[#This Row],[2]])-LEN(SUBSTITUTE(Tabela1[[#This Row],[2]],",",""))+1,1),"")</f>
        <v>1</v>
      </c>
      <c r="AB655">
        <f>IF(Tabela1[[#This Row],[3]]&lt;&gt;"",IF(ISNUMBER(FIND(",",Tabela1[[#This Row],[3]])),LEN(Tabela1[[#This Row],[3]])-LEN(SUBSTITUTE(Tabela1[[#This Row],[3]],",",""))+1,1),"")</f>
        <v>1</v>
      </c>
      <c r="AC655" t="str">
        <f>IF(Tabela1[[#This Row],[4]]&lt;&gt;"",IF(ISNUMBER(FIND(",",Tabela1[[#This Row],[4]])),LEN(Tabela1[[#This Row],[4]])-LEN(SUBSTITUTE(Tabela1[[#This Row],[4]],",",""))+1,1),"")</f>
        <v/>
      </c>
      <c r="AD655" t="str">
        <f>IF(Tabela1[[#This Row],[5]]&lt;&gt;"",IF(ISNUMBER(FIND(",",Tabela1[[#This Row],[5]])),LEN(Tabela1[[#This Row],[5]])-LEN(SUBSTITUTE(Tabela1[[#This Row],[5]],",",""))+1,1),"")</f>
        <v/>
      </c>
      <c r="AE655" t="str">
        <f>IF(Tabela1[[#This Row],[6]]&lt;&gt;"",IF(ISNUMBER(FIND(",",Tabela1[[#This Row],[6]])),LEN(Tabela1[[#This Row],[6]])-LEN(SUBSTITUTE(Tabela1[[#This Row],[6]],",",""))+1,1),"")</f>
        <v/>
      </c>
      <c r="AF655" t="str">
        <f>IF(Tabela1[[#This Row],[7]]&lt;&gt;"",IF(ISNUMBER(FIND(",",Tabela1[[#This Row],[7]])),LEN(Tabela1[[#This Row],[7]])-LEN(SUBSTITUTE(Tabela1[[#This Row],[7]],",",""))+1,1),"")</f>
        <v/>
      </c>
      <c r="AG655" t="str">
        <f>IF(Tabela1[[#This Row],[8]]&lt;&gt;"",IF(ISNUMBER(FIND(",",Tabela1[[#This Row],[8]])),LEN(Tabela1[[#This Row],[8]])-LEN(SUBSTITUTE(Tabela1[[#This Row],[8]],",",""))+1,1),"")</f>
        <v/>
      </c>
      <c r="AH655" t="str">
        <f>IF(Tabela1[[#This Row],[9]]&lt;&gt;"",IF(ISNUMBER(FIND(",",Tabela1[[#This Row],[9]])),LEN(Tabela1[[#This Row],[9]])-LEN(SUBSTITUTE(Tabela1[[#This Row],[9]],",",""))+1,1),"")</f>
        <v/>
      </c>
      <c r="AI655" t="str">
        <f>IF(Tabela1[[#This Row],[10]]&lt;&gt;"",IF(ISNUMBER(FIND(",",Tabela1[[#This Row],[10]])),LEN(Tabela1[[#This Row],[10]])-LEN(SUBSTITUTE(Tabela1[[#This Row],[10]],",",""))+1,1),"")</f>
        <v/>
      </c>
      <c r="AJ655" t="str">
        <f>IF(Tabela1[[#This Row],[11]]&lt;&gt;"",IF(ISNUMBER(FIND(",",Tabela1[[#This Row],[11]])),LEN(Tabela1[[#This Row],[11]])-LEN(SUBSTITUTE(Tabela1[[#This Row],[11]],",",""))+1,1),"")</f>
        <v/>
      </c>
      <c r="AK655" t="str">
        <f>IF(Tabela1[[#This Row],[12]]&lt;&gt;"",IF(ISNUMBER(FIND(",",Tabela1[[#This Row],[12]])),LEN(Tabela1[[#This Row],[12]])-LEN(SUBSTITUTE(Tabela1[[#This Row],[12]],",",""))+1,1),"")</f>
        <v/>
      </c>
      <c r="AL655" t="str">
        <f>IF(Tabela1[[#This Row],[13]]&lt;&gt;"",IF(ISNUMBER(FIND(",",Tabela1[[#This Row],[13]])),LEN(Tabela1[[#This Row],[13]])-LEN(SUBSTITUTE(Tabela1[[#This Row],[13]],",",""))+1,1),"")</f>
        <v/>
      </c>
      <c r="AM655" t="str">
        <f>IF(Tabela1[[#This Row],[14]]&lt;&gt;"",IF(ISNUMBER(FIND(",",Tabela1[[#This Row],[14]])),LEN(Tabela1[[#This Row],[14]])-LEN(SUBSTITUTE(Tabela1[[#This Row],[14]],",",""))+1,1),"")</f>
        <v/>
      </c>
      <c r="AN655" t="str">
        <f>IF(Tabela1[[#This Row],[15]]&lt;&gt;"",IF(ISNUMBER(FIND(",",Tabela1[[#This Row],[15]])),LEN(Tabela1[[#This Row],[15]])-LEN(SUBSTITUTE(Tabela1[[#This Row],[15]],",",""))+1,1),"")</f>
        <v/>
      </c>
      <c r="AO655" t="str">
        <f>IF(Tabela1[[#This Row],[16]]&lt;&gt;"",IF(ISNUMBER(FIND(",",Tabela1[[#This Row],[16]])),LEN(Tabela1[[#This Row],[16]])-LEN(SUBSTITUTE(Tabela1[[#This Row],[16]],",",""))+1,1),"")</f>
        <v/>
      </c>
      <c r="AP655" t="str">
        <f>IF(Tabela1[[#This Row],[17]]&lt;&gt;"",IF(ISNUMBER(FIND(",",Tabela1[[#This Row],[17]])),LEN(Tabela1[[#This Row],[17]])-LEN(SUBSTITUTE(Tabela1[[#This Row],[17]],",",""))+1,1),"")</f>
        <v/>
      </c>
      <c r="AQ655" t="str">
        <f>IF(Tabela1[[#This Row],[18]]&lt;&gt;"",IF(ISNUMBER(FIND(",",Tabela1[[#This Row],[18]])),LEN(Tabela1[[#This Row],[18]])-LEN(SUBSTITUTE(Tabela1[[#This Row],[18]],",",""))+1,1),"")</f>
        <v/>
      </c>
      <c r="AR655" s="13" t="str">
        <f>IF(Tabela1[[#This Row],[19_LENGTH]]&lt;&gt;"",IF(ISNUMBER(FIND(",",Tabela1[[#This Row],[19_LENGTH]])),LEN(Tabela1[[#This Row],[19_LENGTH]])-LEN(SUBSTITUTE(Tabela1[[#This Row],[19_LENGTH]],",",""))+1,1),"")</f>
        <v/>
      </c>
      <c r="AS655" s="21">
        <f>SUM(Tabela1[[#This Row],[1_]:[19_]])</f>
        <v>2</v>
      </c>
    </row>
    <row r="656" spans="1:45" x14ac:dyDescent="0.25">
      <c r="A656" s="27" t="s">
        <v>1332</v>
      </c>
      <c r="B656" s="19" t="s">
        <v>650</v>
      </c>
      <c r="C656" s="19">
        <v>102</v>
      </c>
      <c r="D656" s="19" t="s">
        <v>1314</v>
      </c>
      <c r="E656" s="20">
        <v>43549</v>
      </c>
      <c r="F656" s="19"/>
      <c r="G656" s="19"/>
      <c r="H656" s="19" t="s">
        <v>251</v>
      </c>
      <c r="I656" s="19"/>
      <c r="J656" s="19"/>
      <c r="K656" s="19"/>
      <c r="L656" s="19"/>
      <c r="M656" s="19"/>
      <c r="N656" s="19"/>
      <c r="O656" s="19"/>
      <c r="P656" s="19"/>
      <c r="Q656" s="19"/>
      <c r="R656" s="19"/>
      <c r="S656" s="19"/>
      <c r="T656" s="19"/>
      <c r="U656" s="19"/>
      <c r="V656" s="19"/>
      <c r="W656" s="19"/>
      <c r="X656" s="19"/>
      <c r="Y656" s="19"/>
      <c r="Z656" t="str">
        <f>IF(Tabela1[[#This Row],[1]]&lt;&gt;"",IF(ISNUMBER(FIND(",",Tabela1[[#This Row],[1]])),LEN(Tabela1[[#This Row],[1]])-LEN(SUBSTITUTE(Tabela1[[#This Row],[1]],",",""))+1,1),"")</f>
        <v/>
      </c>
      <c r="AA656" t="str">
        <f>IF(Tabela1[[#This Row],[2]]&lt;&gt;"",IF(ISNUMBER(FIND(",",Tabela1[[#This Row],[2]])),LEN(Tabela1[[#This Row],[2]])-LEN(SUBSTITUTE(Tabela1[[#This Row],[2]],",",""))+1,1),"")</f>
        <v/>
      </c>
      <c r="AB656">
        <f>IF(Tabela1[[#This Row],[3]]&lt;&gt;"",IF(ISNUMBER(FIND(",",Tabela1[[#This Row],[3]])),LEN(Tabela1[[#This Row],[3]])-LEN(SUBSTITUTE(Tabela1[[#This Row],[3]],",",""))+1,1),"")</f>
        <v>1</v>
      </c>
      <c r="AC656" t="str">
        <f>IF(Tabela1[[#This Row],[4]]&lt;&gt;"",IF(ISNUMBER(FIND(",",Tabela1[[#This Row],[4]])),LEN(Tabela1[[#This Row],[4]])-LEN(SUBSTITUTE(Tabela1[[#This Row],[4]],",",""))+1,1),"")</f>
        <v/>
      </c>
      <c r="AD656" t="str">
        <f>IF(Tabela1[[#This Row],[5]]&lt;&gt;"",IF(ISNUMBER(FIND(",",Tabela1[[#This Row],[5]])),LEN(Tabela1[[#This Row],[5]])-LEN(SUBSTITUTE(Tabela1[[#This Row],[5]],",",""))+1,1),"")</f>
        <v/>
      </c>
      <c r="AE656" t="str">
        <f>IF(Tabela1[[#This Row],[6]]&lt;&gt;"",IF(ISNUMBER(FIND(",",Tabela1[[#This Row],[6]])),LEN(Tabela1[[#This Row],[6]])-LEN(SUBSTITUTE(Tabela1[[#This Row],[6]],",",""))+1,1),"")</f>
        <v/>
      </c>
      <c r="AF656" t="str">
        <f>IF(Tabela1[[#This Row],[7]]&lt;&gt;"",IF(ISNUMBER(FIND(",",Tabela1[[#This Row],[7]])),LEN(Tabela1[[#This Row],[7]])-LEN(SUBSTITUTE(Tabela1[[#This Row],[7]],",",""))+1,1),"")</f>
        <v/>
      </c>
      <c r="AG656" t="str">
        <f>IF(Tabela1[[#This Row],[8]]&lt;&gt;"",IF(ISNUMBER(FIND(",",Tabela1[[#This Row],[8]])),LEN(Tabela1[[#This Row],[8]])-LEN(SUBSTITUTE(Tabela1[[#This Row],[8]],",",""))+1,1),"")</f>
        <v/>
      </c>
      <c r="AH656" t="str">
        <f>IF(Tabela1[[#This Row],[9]]&lt;&gt;"",IF(ISNUMBER(FIND(",",Tabela1[[#This Row],[9]])),LEN(Tabela1[[#This Row],[9]])-LEN(SUBSTITUTE(Tabela1[[#This Row],[9]],",",""))+1,1),"")</f>
        <v/>
      </c>
      <c r="AI656" t="str">
        <f>IF(Tabela1[[#This Row],[10]]&lt;&gt;"",IF(ISNUMBER(FIND(",",Tabela1[[#This Row],[10]])),LEN(Tabela1[[#This Row],[10]])-LEN(SUBSTITUTE(Tabela1[[#This Row],[10]],",",""))+1,1),"")</f>
        <v/>
      </c>
      <c r="AJ656" t="str">
        <f>IF(Tabela1[[#This Row],[11]]&lt;&gt;"",IF(ISNUMBER(FIND(",",Tabela1[[#This Row],[11]])),LEN(Tabela1[[#This Row],[11]])-LEN(SUBSTITUTE(Tabela1[[#This Row],[11]],",",""))+1,1),"")</f>
        <v/>
      </c>
      <c r="AK656" t="str">
        <f>IF(Tabela1[[#This Row],[12]]&lt;&gt;"",IF(ISNUMBER(FIND(",",Tabela1[[#This Row],[12]])),LEN(Tabela1[[#This Row],[12]])-LEN(SUBSTITUTE(Tabela1[[#This Row],[12]],",",""))+1,1),"")</f>
        <v/>
      </c>
      <c r="AL656" t="str">
        <f>IF(Tabela1[[#This Row],[13]]&lt;&gt;"",IF(ISNUMBER(FIND(",",Tabela1[[#This Row],[13]])),LEN(Tabela1[[#This Row],[13]])-LEN(SUBSTITUTE(Tabela1[[#This Row],[13]],",",""))+1,1),"")</f>
        <v/>
      </c>
      <c r="AM656" t="str">
        <f>IF(Tabela1[[#This Row],[14]]&lt;&gt;"",IF(ISNUMBER(FIND(",",Tabela1[[#This Row],[14]])),LEN(Tabela1[[#This Row],[14]])-LEN(SUBSTITUTE(Tabela1[[#This Row],[14]],",",""))+1,1),"")</f>
        <v/>
      </c>
      <c r="AN656" t="str">
        <f>IF(Tabela1[[#This Row],[15]]&lt;&gt;"",IF(ISNUMBER(FIND(",",Tabela1[[#This Row],[15]])),LEN(Tabela1[[#This Row],[15]])-LEN(SUBSTITUTE(Tabela1[[#This Row],[15]],",",""))+1,1),"")</f>
        <v/>
      </c>
      <c r="AO656" t="str">
        <f>IF(Tabela1[[#This Row],[16]]&lt;&gt;"",IF(ISNUMBER(FIND(",",Tabela1[[#This Row],[16]])),LEN(Tabela1[[#This Row],[16]])-LEN(SUBSTITUTE(Tabela1[[#This Row],[16]],",",""))+1,1),"")</f>
        <v/>
      </c>
      <c r="AP656" t="str">
        <f>IF(Tabela1[[#This Row],[17]]&lt;&gt;"",IF(ISNUMBER(FIND(",",Tabela1[[#This Row],[17]])),LEN(Tabela1[[#This Row],[17]])-LEN(SUBSTITUTE(Tabela1[[#This Row],[17]],",",""))+1,1),"")</f>
        <v/>
      </c>
      <c r="AQ656" t="str">
        <f>IF(Tabela1[[#This Row],[18]]&lt;&gt;"",IF(ISNUMBER(FIND(",",Tabela1[[#This Row],[18]])),LEN(Tabela1[[#This Row],[18]])-LEN(SUBSTITUTE(Tabela1[[#This Row],[18]],",",""))+1,1),"")</f>
        <v/>
      </c>
      <c r="AR656" s="13" t="str">
        <f>IF(Tabela1[[#This Row],[19_LENGTH]]&lt;&gt;"",IF(ISNUMBER(FIND(",",Tabela1[[#This Row],[19_LENGTH]])),LEN(Tabela1[[#This Row],[19_LENGTH]])-LEN(SUBSTITUTE(Tabela1[[#This Row],[19_LENGTH]],",",""))+1,1),"")</f>
        <v/>
      </c>
      <c r="AS656" s="21">
        <f>SUM(Tabela1[[#This Row],[1_]:[19_]])</f>
        <v>1</v>
      </c>
    </row>
    <row r="657" spans="1:45" x14ac:dyDescent="0.25">
      <c r="A657" s="27" t="s">
        <v>1332</v>
      </c>
      <c r="B657" s="19" t="s">
        <v>651</v>
      </c>
      <c r="C657" s="19">
        <v>102</v>
      </c>
      <c r="D657" s="19" t="s">
        <v>1314</v>
      </c>
      <c r="E657" s="20">
        <v>43549</v>
      </c>
      <c r="F657" s="19"/>
      <c r="G657" s="19">
        <v>39</v>
      </c>
      <c r="H657" s="19">
        <v>83</v>
      </c>
      <c r="I657" s="19">
        <v>59</v>
      </c>
      <c r="J657" s="19"/>
      <c r="K657" s="19"/>
      <c r="L657" s="19"/>
      <c r="M657" s="19"/>
      <c r="N657" s="19"/>
      <c r="O657" s="19"/>
      <c r="P657" s="19"/>
      <c r="Q657" s="19"/>
      <c r="R657" s="19"/>
      <c r="S657" s="19"/>
      <c r="T657" s="19"/>
      <c r="U657" s="19"/>
      <c r="V657" s="19"/>
      <c r="W657" s="19"/>
      <c r="X657" s="19"/>
      <c r="Y657" s="19"/>
      <c r="Z657" t="str">
        <f>IF(Tabela1[[#This Row],[1]]&lt;&gt;"",IF(ISNUMBER(FIND(",",Tabela1[[#This Row],[1]])),LEN(Tabela1[[#This Row],[1]])-LEN(SUBSTITUTE(Tabela1[[#This Row],[1]],",",""))+1,1),"")</f>
        <v/>
      </c>
      <c r="AA657">
        <f>IF(Tabela1[[#This Row],[2]]&lt;&gt;"",IF(ISNUMBER(FIND(",",Tabela1[[#This Row],[2]])),LEN(Tabela1[[#This Row],[2]])-LEN(SUBSTITUTE(Tabela1[[#This Row],[2]],",",""))+1,1),"")</f>
        <v>1</v>
      </c>
      <c r="AB657">
        <f>IF(Tabela1[[#This Row],[3]]&lt;&gt;"",IF(ISNUMBER(FIND(",",Tabela1[[#This Row],[3]])),LEN(Tabela1[[#This Row],[3]])-LEN(SUBSTITUTE(Tabela1[[#This Row],[3]],",",""))+1,1),"")</f>
        <v>1</v>
      </c>
      <c r="AC657">
        <f>IF(Tabela1[[#This Row],[4]]&lt;&gt;"",IF(ISNUMBER(FIND(",",Tabela1[[#This Row],[4]])),LEN(Tabela1[[#This Row],[4]])-LEN(SUBSTITUTE(Tabela1[[#This Row],[4]],",",""))+1,1),"")</f>
        <v>1</v>
      </c>
      <c r="AD657" t="str">
        <f>IF(Tabela1[[#This Row],[5]]&lt;&gt;"",IF(ISNUMBER(FIND(",",Tabela1[[#This Row],[5]])),LEN(Tabela1[[#This Row],[5]])-LEN(SUBSTITUTE(Tabela1[[#This Row],[5]],",",""))+1,1),"")</f>
        <v/>
      </c>
      <c r="AE657" t="str">
        <f>IF(Tabela1[[#This Row],[6]]&lt;&gt;"",IF(ISNUMBER(FIND(",",Tabela1[[#This Row],[6]])),LEN(Tabela1[[#This Row],[6]])-LEN(SUBSTITUTE(Tabela1[[#This Row],[6]],",",""))+1,1),"")</f>
        <v/>
      </c>
      <c r="AF657" t="str">
        <f>IF(Tabela1[[#This Row],[7]]&lt;&gt;"",IF(ISNUMBER(FIND(",",Tabela1[[#This Row],[7]])),LEN(Tabela1[[#This Row],[7]])-LEN(SUBSTITUTE(Tabela1[[#This Row],[7]],",",""))+1,1),"")</f>
        <v/>
      </c>
      <c r="AG657" t="str">
        <f>IF(Tabela1[[#This Row],[8]]&lt;&gt;"",IF(ISNUMBER(FIND(",",Tabela1[[#This Row],[8]])),LEN(Tabela1[[#This Row],[8]])-LEN(SUBSTITUTE(Tabela1[[#This Row],[8]],",",""))+1,1),"")</f>
        <v/>
      </c>
      <c r="AH657" t="str">
        <f>IF(Tabela1[[#This Row],[9]]&lt;&gt;"",IF(ISNUMBER(FIND(",",Tabela1[[#This Row],[9]])),LEN(Tabela1[[#This Row],[9]])-LEN(SUBSTITUTE(Tabela1[[#This Row],[9]],",",""))+1,1),"")</f>
        <v/>
      </c>
      <c r="AI657" t="str">
        <f>IF(Tabela1[[#This Row],[10]]&lt;&gt;"",IF(ISNUMBER(FIND(",",Tabela1[[#This Row],[10]])),LEN(Tabela1[[#This Row],[10]])-LEN(SUBSTITUTE(Tabela1[[#This Row],[10]],",",""))+1,1),"")</f>
        <v/>
      </c>
      <c r="AJ657" t="str">
        <f>IF(Tabela1[[#This Row],[11]]&lt;&gt;"",IF(ISNUMBER(FIND(",",Tabela1[[#This Row],[11]])),LEN(Tabela1[[#This Row],[11]])-LEN(SUBSTITUTE(Tabela1[[#This Row],[11]],",",""))+1,1),"")</f>
        <v/>
      </c>
      <c r="AK657" t="str">
        <f>IF(Tabela1[[#This Row],[12]]&lt;&gt;"",IF(ISNUMBER(FIND(",",Tabela1[[#This Row],[12]])),LEN(Tabela1[[#This Row],[12]])-LEN(SUBSTITUTE(Tabela1[[#This Row],[12]],",",""))+1,1),"")</f>
        <v/>
      </c>
      <c r="AL657" t="str">
        <f>IF(Tabela1[[#This Row],[13]]&lt;&gt;"",IF(ISNUMBER(FIND(",",Tabela1[[#This Row],[13]])),LEN(Tabela1[[#This Row],[13]])-LEN(SUBSTITUTE(Tabela1[[#This Row],[13]],",",""))+1,1),"")</f>
        <v/>
      </c>
      <c r="AM657" t="str">
        <f>IF(Tabela1[[#This Row],[14]]&lt;&gt;"",IF(ISNUMBER(FIND(",",Tabela1[[#This Row],[14]])),LEN(Tabela1[[#This Row],[14]])-LEN(SUBSTITUTE(Tabela1[[#This Row],[14]],",",""))+1,1),"")</f>
        <v/>
      </c>
      <c r="AN657" t="str">
        <f>IF(Tabela1[[#This Row],[15]]&lt;&gt;"",IF(ISNUMBER(FIND(",",Tabela1[[#This Row],[15]])),LEN(Tabela1[[#This Row],[15]])-LEN(SUBSTITUTE(Tabela1[[#This Row],[15]],",",""))+1,1),"")</f>
        <v/>
      </c>
      <c r="AO657" t="str">
        <f>IF(Tabela1[[#This Row],[16]]&lt;&gt;"",IF(ISNUMBER(FIND(",",Tabela1[[#This Row],[16]])),LEN(Tabela1[[#This Row],[16]])-LEN(SUBSTITUTE(Tabela1[[#This Row],[16]],",",""))+1,1),"")</f>
        <v/>
      </c>
      <c r="AP657" t="str">
        <f>IF(Tabela1[[#This Row],[17]]&lt;&gt;"",IF(ISNUMBER(FIND(",",Tabela1[[#This Row],[17]])),LEN(Tabela1[[#This Row],[17]])-LEN(SUBSTITUTE(Tabela1[[#This Row],[17]],",",""))+1,1),"")</f>
        <v/>
      </c>
      <c r="AQ657" t="str">
        <f>IF(Tabela1[[#This Row],[18]]&lt;&gt;"",IF(ISNUMBER(FIND(",",Tabela1[[#This Row],[18]])),LEN(Tabela1[[#This Row],[18]])-LEN(SUBSTITUTE(Tabela1[[#This Row],[18]],",",""))+1,1),"")</f>
        <v/>
      </c>
      <c r="AR657" s="13" t="str">
        <f>IF(Tabela1[[#This Row],[19_LENGTH]]&lt;&gt;"",IF(ISNUMBER(FIND(",",Tabela1[[#This Row],[19_LENGTH]])),LEN(Tabela1[[#This Row],[19_LENGTH]])-LEN(SUBSTITUTE(Tabela1[[#This Row],[19_LENGTH]],",",""))+1,1),"")</f>
        <v/>
      </c>
      <c r="AS657" s="21">
        <f>SUM(Tabela1[[#This Row],[1_]:[19_]])</f>
        <v>3</v>
      </c>
    </row>
    <row r="658" spans="1:45" x14ac:dyDescent="0.25">
      <c r="A658" s="27" t="s">
        <v>1328</v>
      </c>
      <c r="B658" s="19" t="s">
        <v>939</v>
      </c>
      <c r="C658" s="19">
        <v>96</v>
      </c>
      <c r="D658" s="19" t="s">
        <v>1300</v>
      </c>
      <c r="E658" s="20">
        <v>43550</v>
      </c>
      <c r="F658" s="19"/>
      <c r="G658" s="19"/>
      <c r="H658" s="19"/>
      <c r="I658" s="19"/>
      <c r="J658" s="19"/>
      <c r="K658" s="19"/>
      <c r="L658" s="19"/>
      <c r="M658" s="19"/>
      <c r="N658" s="19"/>
      <c r="O658" s="19"/>
      <c r="P658" s="19"/>
      <c r="Q658" s="19"/>
      <c r="R658" s="19"/>
      <c r="S658" s="19"/>
      <c r="T658" s="19"/>
      <c r="U658" s="19" t="s">
        <v>252</v>
      </c>
      <c r="V658" s="19" t="s">
        <v>253</v>
      </c>
      <c r="W658" s="19"/>
      <c r="X658" s="19"/>
      <c r="Y658" s="19"/>
      <c r="Z658" t="str">
        <f>IF(Tabela1[[#This Row],[1]]&lt;&gt;"",IF(ISNUMBER(FIND(",",Tabela1[[#This Row],[1]])),LEN(Tabela1[[#This Row],[1]])-LEN(SUBSTITUTE(Tabela1[[#This Row],[1]],",",""))+1,1),"")</f>
        <v/>
      </c>
      <c r="AA658" t="str">
        <f>IF(Tabela1[[#This Row],[2]]&lt;&gt;"",IF(ISNUMBER(FIND(",",Tabela1[[#This Row],[2]])),LEN(Tabela1[[#This Row],[2]])-LEN(SUBSTITUTE(Tabela1[[#This Row],[2]],",",""))+1,1),"")</f>
        <v/>
      </c>
      <c r="AB658" t="str">
        <f>IF(Tabela1[[#This Row],[3]]&lt;&gt;"",IF(ISNUMBER(FIND(",",Tabela1[[#This Row],[3]])),LEN(Tabela1[[#This Row],[3]])-LEN(SUBSTITUTE(Tabela1[[#This Row],[3]],",",""))+1,1),"")</f>
        <v/>
      </c>
      <c r="AC658" t="str">
        <f>IF(Tabela1[[#This Row],[4]]&lt;&gt;"",IF(ISNUMBER(FIND(",",Tabela1[[#This Row],[4]])),LEN(Tabela1[[#This Row],[4]])-LEN(SUBSTITUTE(Tabela1[[#This Row],[4]],",",""))+1,1),"")</f>
        <v/>
      </c>
      <c r="AD658" t="str">
        <f>IF(Tabela1[[#This Row],[5]]&lt;&gt;"",IF(ISNUMBER(FIND(",",Tabela1[[#This Row],[5]])),LEN(Tabela1[[#This Row],[5]])-LEN(SUBSTITUTE(Tabela1[[#This Row],[5]],",",""))+1,1),"")</f>
        <v/>
      </c>
      <c r="AE658" t="str">
        <f>IF(Tabela1[[#This Row],[6]]&lt;&gt;"",IF(ISNUMBER(FIND(",",Tabela1[[#This Row],[6]])),LEN(Tabela1[[#This Row],[6]])-LEN(SUBSTITUTE(Tabela1[[#This Row],[6]],",",""))+1,1),"")</f>
        <v/>
      </c>
      <c r="AF658" t="str">
        <f>IF(Tabela1[[#This Row],[7]]&lt;&gt;"",IF(ISNUMBER(FIND(",",Tabela1[[#This Row],[7]])),LEN(Tabela1[[#This Row],[7]])-LEN(SUBSTITUTE(Tabela1[[#This Row],[7]],",",""))+1,1),"")</f>
        <v/>
      </c>
      <c r="AG658" t="str">
        <f>IF(Tabela1[[#This Row],[8]]&lt;&gt;"",IF(ISNUMBER(FIND(",",Tabela1[[#This Row],[8]])),LEN(Tabela1[[#This Row],[8]])-LEN(SUBSTITUTE(Tabela1[[#This Row],[8]],",",""))+1,1),"")</f>
        <v/>
      </c>
      <c r="AH658" t="str">
        <f>IF(Tabela1[[#This Row],[9]]&lt;&gt;"",IF(ISNUMBER(FIND(",",Tabela1[[#This Row],[9]])),LEN(Tabela1[[#This Row],[9]])-LEN(SUBSTITUTE(Tabela1[[#This Row],[9]],",",""))+1,1),"")</f>
        <v/>
      </c>
      <c r="AI658" t="str">
        <f>IF(Tabela1[[#This Row],[10]]&lt;&gt;"",IF(ISNUMBER(FIND(",",Tabela1[[#This Row],[10]])),LEN(Tabela1[[#This Row],[10]])-LEN(SUBSTITUTE(Tabela1[[#This Row],[10]],",",""))+1,1),"")</f>
        <v/>
      </c>
      <c r="AJ658" t="str">
        <f>IF(Tabela1[[#This Row],[11]]&lt;&gt;"",IF(ISNUMBER(FIND(",",Tabela1[[#This Row],[11]])),LEN(Tabela1[[#This Row],[11]])-LEN(SUBSTITUTE(Tabela1[[#This Row],[11]],",",""))+1,1),"")</f>
        <v/>
      </c>
      <c r="AK658" t="str">
        <f>IF(Tabela1[[#This Row],[12]]&lt;&gt;"",IF(ISNUMBER(FIND(",",Tabela1[[#This Row],[12]])),LEN(Tabela1[[#This Row],[12]])-LEN(SUBSTITUTE(Tabela1[[#This Row],[12]],",",""))+1,1),"")</f>
        <v/>
      </c>
      <c r="AL658" t="str">
        <f>IF(Tabela1[[#This Row],[13]]&lt;&gt;"",IF(ISNUMBER(FIND(",",Tabela1[[#This Row],[13]])),LEN(Tabela1[[#This Row],[13]])-LEN(SUBSTITUTE(Tabela1[[#This Row],[13]],",",""))+1,1),"")</f>
        <v/>
      </c>
      <c r="AM658" t="str">
        <f>IF(Tabela1[[#This Row],[14]]&lt;&gt;"",IF(ISNUMBER(FIND(",",Tabela1[[#This Row],[14]])),LEN(Tabela1[[#This Row],[14]])-LEN(SUBSTITUTE(Tabela1[[#This Row],[14]],",",""))+1,1),"")</f>
        <v/>
      </c>
      <c r="AN658" t="str">
        <f>IF(Tabela1[[#This Row],[15]]&lt;&gt;"",IF(ISNUMBER(FIND(",",Tabela1[[#This Row],[15]])),LEN(Tabela1[[#This Row],[15]])-LEN(SUBSTITUTE(Tabela1[[#This Row],[15]],",",""))+1,1),"")</f>
        <v/>
      </c>
      <c r="AO658">
        <f>IF(Tabela1[[#This Row],[16]]&lt;&gt;"",IF(ISNUMBER(FIND(",",Tabela1[[#This Row],[16]])),LEN(Tabela1[[#This Row],[16]])-LEN(SUBSTITUTE(Tabela1[[#This Row],[16]],",",""))+1,1),"")</f>
        <v>2</v>
      </c>
      <c r="AP658">
        <f>IF(Tabela1[[#This Row],[17]]&lt;&gt;"",IF(ISNUMBER(FIND(",",Tabela1[[#This Row],[17]])),LEN(Tabela1[[#This Row],[17]])-LEN(SUBSTITUTE(Tabela1[[#This Row],[17]],",",""))+1,1),"")</f>
        <v>3</v>
      </c>
      <c r="AQ658" t="str">
        <f>IF(Tabela1[[#This Row],[18]]&lt;&gt;"",IF(ISNUMBER(FIND(",",Tabela1[[#This Row],[18]])),LEN(Tabela1[[#This Row],[18]])-LEN(SUBSTITUTE(Tabela1[[#This Row],[18]],",",""))+1,1),"")</f>
        <v/>
      </c>
      <c r="AR658" s="13" t="str">
        <f>IF(Tabela1[[#This Row],[19_LENGTH]]&lt;&gt;"",IF(ISNUMBER(FIND(",",Tabela1[[#This Row],[19_LENGTH]])),LEN(Tabela1[[#This Row],[19_LENGTH]])-LEN(SUBSTITUTE(Tabela1[[#This Row],[19_LENGTH]],",",""))+1,1),"")</f>
        <v/>
      </c>
      <c r="AS658" s="21">
        <f>SUM(Tabela1[[#This Row],[1_]:[19_]])</f>
        <v>5</v>
      </c>
    </row>
    <row r="659" spans="1:45" x14ac:dyDescent="0.25">
      <c r="A659" s="27" t="s">
        <v>1328</v>
      </c>
      <c r="B659" s="19" t="s">
        <v>940</v>
      </c>
      <c r="C659" s="19">
        <v>89</v>
      </c>
      <c r="D659" s="19" t="s">
        <v>1300</v>
      </c>
      <c r="E659" s="20">
        <v>43547</v>
      </c>
      <c r="F659" s="19"/>
      <c r="G659" s="19">
        <v>66</v>
      </c>
      <c r="H659" s="19"/>
      <c r="I659" s="19"/>
      <c r="J659" s="19"/>
      <c r="K659" s="19"/>
      <c r="L659" s="19"/>
      <c r="M659" s="19"/>
      <c r="N659" s="19"/>
      <c r="O659" s="19"/>
      <c r="P659" s="19"/>
      <c r="Q659" s="19"/>
      <c r="R659" s="19"/>
      <c r="S659" s="19"/>
      <c r="T659" s="19"/>
      <c r="U659" s="19"/>
      <c r="V659" s="19"/>
      <c r="W659" s="19"/>
      <c r="X659" s="19"/>
      <c r="Y659" s="19"/>
      <c r="Z659" t="str">
        <f>IF(Tabela1[[#This Row],[1]]&lt;&gt;"",IF(ISNUMBER(FIND(",",Tabela1[[#This Row],[1]])),LEN(Tabela1[[#This Row],[1]])-LEN(SUBSTITUTE(Tabela1[[#This Row],[1]],",",""))+1,1),"")</f>
        <v/>
      </c>
      <c r="AA659">
        <f>IF(Tabela1[[#This Row],[2]]&lt;&gt;"",IF(ISNUMBER(FIND(",",Tabela1[[#This Row],[2]])),LEN(Tabela1[[#This Row],[2]])-LEN(SUBSTITUTE(Tabela1[[#This Row],[2]],",",""))+1,1),"")</f>
        <v>1</v>
      </c>
      <c r="AB659" t="str">
        <f>IF(Tabela1[[#This Row],[3]]&lt;&gt;"",IF(ISNUMBER(FIND(",",Tabela1[[#This Row],[3]])),LEN(Tabela1[[#This Row],[3]])-LEN(SUBSTITUTE(Tabela1[[#This Row],[3]],",",""))+1,1),"")</f>
        <v/>
      </c>
      <c r="AC659" t="str">
        <f>IF(Tabela1[[#This Row],[4]]&lt;&gt;"",IF(ISNUMBER(FIND(",",Tabela1[[#This Row],[4]])),LEN(Tabela1[[#This Row],[4]])-LEN(SUBSTITUTE(Tabela1[[#This Row],[4]],",",""))+1,1),"")</f>
        <v/>
      </c>
      <c r="AD659" t="str">
        <f>IF(Tabela1[[#This Row],[5]]&lt;&gt;"",IF(ISNUMBER(FIND(",",Tabela1[[#This Row],[5]])),LEN(Tabela1[[#This Row],[5]])-LEN(SUBSTITUTE(Tabela1[[#This Row],[5]],",",""))+1,1),"")</f>
        <v/>
      </c>
      <c r="AE659" t="str">
        <f>IF(Tabela1[[#This Row],[6]]&lt;&gt;"",IF(ISNUMBER(FIND(",",Tabela1[[#This Row],[6]])),LEN(Tabela1[[#This Row],[6]])-LEN(SUBSTITUTE(Tabela1[[#This Row],[6]],",",""))+1,1),"")</f>
        <v/>
      </c>
      <c r="AF659" t="str">
        <f>IF(Tabela1[[#This Row],[7]]&lt;&gt;"",IF(ISNUMBER(FIND(",",Tabela1[[#This Row],[7]])),LEN(Tabela1[[#This Row],[7]])-LEN(SUBSTITUTE(Tabela1[[#This Row],[7]],",",""))+1,1),"")</f>
        <v/>
      </c>
      <c r="AG659" t="str">
        <f>IF(Tabela1[[#This Row],[8]]&lt;&gt;"",IF(ISNUMBER(FIND(",",Tabela1[[#This Row],[8]])),LEN(Tabela1[[#This Row],[8]])-LEN(SUBSTITUTE(Tabela1[[#This Row],[8]],",",""))+1,1),"")</f>
        <v/>
      </c>
      <c r="AH659" t="str">
        <f>IF(Tabela1[[#This Row],[9]]&lt;&gt;"",IF(ISNUMBER(FIND(",",Tabela1[[#This Row],[9]])),LEN(Tabela1[[#This Row],[9]])-LEN(SUBSTITUTE(Tabela1[[#This Row],[9]],",",""))+1,1),"")</f>
        <v/>
      </c>
      <c r="AI659" t="str">
        <f>IF(Tabela1[[#This Row],[10]]&lt;&gt;"",IF(ISNUMBER(FIND(",",Tabela1[[#This Row],[10]])),LEN(Tabela1[[#This Row],[10]])-LEN(SUBSTITUTE(Tabela1[[#This Row],[10]],",",""))+1,1),"")</f>
        <v/>
      </c>
      <c r="AJ659" t="str">
        <f>IF(Tabela1[[#This Row],[11]]&lt;&gt;"",IF(ISNUMBER(FIND(",",Tabela1[[#This Row],[11]])),LEN(Tabela1[[#This Row],[11]])-LEN(SUBSTITUTE(Tabela1[[#This Row],[11]],",",""))+1,1),"")</f>
        <v/>
      </c>
      <c r="AK659" t="str">
        <f>IF(Tabela1[[#This Row],[12]]&lt;&gt;"",IF(ISNUMBER(FIND(",",Tabela1[[#This Row],[12]])),LEN(Tabela1[[#This Row],[12]])-LEN(SUBSTITUTE(Tabela1[[#This Row],[12]],",",""))+1,1),"")</f>
        <v/>
      </c>
      <c r="AL659" t="str">
        <f>IF(Tabela1[[#This Row],[13]]&lt;&gt;"",IF(ISNUMBER(FIND(",",Tabela1[[#This Row],[13]])),LEN(Tabela1[[#This Row],[13]])-LEN(SUBSTITUTE(Tabela1[[#This Row],[13]],",",""))+1,1),"")</f>
        <v/>
      </c>
      <c r="AM659" t="str">
        <f>IF(Tabela1[[#This Row],[14]]&lt;&gt;"",IF(ISNUMBER(FIND(",",Tabela1[[#This Row],[14]])),LEN(Tabela1[[#This Row],[14]])-LEN(SUBSTITUTE(Tabela1[[#This Row],[14]],",",""))+1,1),"")</f>
        <v/>
      </c>
      <c r="AN659" t="str">
        <f>IF(Tabela1[[#This Row],[15]]&lt;&gt;"",IF(ISNUMBER(FIND(",",Tabela1[[#This Row],[15]])),LEN(Tabela1[[#This Row],[15]])-LEN(SUBSTITUTE(Tabela1[[#This Row],[15]],",",""))+1,1),"")</f>
        <v/>
      </c>
      <c r="AO659" t="str">
        <f>IF(Tabela1[[#This Row],[16]]&lt;&gt;"",IF(ISNUMBER(FIND(",",Tabela1[[#This Row],[16]])),LEN(Tabela1[[#This Row],[16]])-LEN(SUBSTITUTE(Tabela1[[#This Row],[16]],",",""))+1,1),"")</f>
        <v/>
      </c>
      <c r="AP659" t="str">
        <f>IF(Tabela1[[#This Row],[17]]&lt;&gt;"",IF(ISNUMBER(FIND(",",Tabela1[[#This Row],[17]])),LEN(Tabela1[[#This Row],[17]])-LEN(SUBSTITUTE(Tabela1[[#This Row],[17]],",",""))+1,1),"")</f>
        <v/>
      </c>
      <c r="AQ659" t="str">
        <f>IF(Tabela1[[#This Row],[18]]&lt;&gt;"",IF(ISNUMBER(FIND(",",Tabela1[[#This Row],[18]])),LEN(Tabela1[[#This Row],[18]])-LEN(SUBSTITUTE(Tabela1[[#This Row],[18]],",",""))+1,1),"")</f>
        <v/>
      </c>
      <c r="AR659" s="13" t="str">
        <f>IF(Tabela1[[#This Row],[19_LENGTH]]&lt;&gt;"",IF(ISNUMBER(FIND(",",Tabela1[[#This Row],[19_LENGTH]])),LEN(Tabela1[[#This Row],[19_LENGTH]])-LEN(SUBSTITUTE(Tabela1[[#This Row],[19_LENGTH]],",",""))+1,1),"")</f>
        <v/>
      </c>
      <c r="AS659" s="21">
        <f>SUM(Tabela1[[#This Row],[1_]:[19_]])</f>
        <v>1</v>
      </c>
    </row>
    <row r="660" spans="1:45" x14ac:dyDescent="0.25">
      <c r="A660" s="27" t="s">
        <v>1328</v>
      </c>
      <c r="B660" s="19" t="s">
        <v>941</v>
      </c>
      <c r="C660" s="19">
        <v>74</v>
      </c>
      <c r="D660" s="19" t="s">
        <v>1300</v>
      </c>
      <c r="E660" s="20">
        <v>43550</v>
      </c>
      <c r="F660" s="19"/>
      <c r="G660" s="19"/>
      <c r="H660" s="19"/>
      <c r="I660" s="19"/>
      <c r="J660" s="19"/>
      <c r="K660" s="19"/>
      <c r="L660" s="19"/>
      <c r="M660" s="19"/>
      <c r="N660" s="19"/>
      <c r="O660" s="19"/>
      <c r="P660" s="19"/>
      <c r="Q660" s="19"/>
      <c r="R660" s="19"/>
      <c r="S660" s="19"/>
      <c r="T660" s="19"/>
      <c r="U660" s="19"/>
      <c r="V660" s="19"/>
      <c r="W660" s="19">
        <v>21</v>
      </c>
      <c r="X660" s="19" t="s">
        <v>43</v>
      </c>
      <c r="Y660" s="19">
        <v>67</v>
      </c>
      <c r="Z660" t="str">
        <f>IF(Tabela1[[#This Row],[1]]&lt;&gt;"",IF(ISNUMBER(FIND(",",Tabela1[[#This Row],[1]])),LEN(Tabela1[[#This Row],[1]])-LEN(SUBSTITUTE(Tabela1[[#This Row],[1]],",",""))+1,1),"")</f>
        <v/>
      </c>
      <c r="AA660" t="str">
        <f>IF(Tabela1[[#This Row],[2]]&lt;&gt;"",IF(ISNUMBER(FIND(",",Tabela1[[#This Row],[2]])),LEN(Tabela1[[#This Row],[2]])-LEN(SUBSTITUTE(Tabela1[[#This Row],[2]],",",""))+1,1),"")</f>
        <v/>
      </c>
      <c r="AB660" t="str">
        <f>IF(Tabela1[[#This Row],[3]]&lt;&gt;"",IF(ISNUMBER(FIND(",",Tabela1[[#This Row],[3]])),LEN(Tabela1[[#This Row],[3]])-LEN(SUBSTITUTE(Tabela1[[#This Row],[3]],",",""))+1,1),"")</f>
        <v/>
      </c>
      <c r="AC660" t="str">
        <f>IF(Tabela1[[#This Row],[4]]&lt;&gt;"",IF(ISNUMBER(FIND(",",Tabela1[[#This Row],[4]])),LEN(Tabela1[[#This Row],[4]])-LEN(SUBSTITUTE(Tabela1[[#This Row],[4]],",",""))+1,1),"")</f>
        <v/>
      </c>
      <c r="AD660" t="str">
        <f>IF(Tabela1[[#This Row],[5]]&lt;&gt;"",IF(ISNUMBER(FIND(",",Tabela1[[#This Row],[5]])),LEN(Tabela1[[#This Row],[5]])-LEN(SUBSTITUTE(Tabela1[[#This Row],[5]],",",""))+1,1),"")</f>
        <v/>
      </c>
      <c r="AE660" t="str">
        <f>IF(Tabela1[[#This Row],[6]]&lt;&gt;"",IF(ISNUMBER(FIND(",",Tabela1[[#This Row],[6]])),LEN(Tabela1[[#This Row],[6]])-LEN(SUBSTITUTE(Tabela1[[#This Row],[6]],",",""))+1,1),"")</f>
        <v/>
      </c>
      <c r="AF660" t="str">
        <f>IF(Tabela1[[#This Row],[7]]&lt;&gt;"",IF(ISNUMBER(FIND(",",Tabela1[[#This Row],[7]])),LEN(Tabela1[[#This Row],[7]])-LEN(SUBSTITUTE(Tabela1[[#This Row],[7]],",",""))+1,1),"")</f>
        <v/>
      </c>
      <c r="AG660" t="str">
        <f>IF(Tabela1[[#This Row],[8]]&lt;&gt;"",IF(ISNUMBER(FIND(",",Tabela1[[#This Row],[8]])),LEN(Tabela1[[#This Row],[8]])-LEN(SUBSTITUTE(Tabela1[[#This Row],[8]],",",""))+1,1),"")</f>
        <v/>
      </c>
      <c r="AH660" t="str">
        <f>IF(Tabela1[[#This Row],[9]]&lt;&gt;"",IF(ISNUMBER(FIND(",",Tabela1[[#This Row],[9]])),LEN(Tabela1[[#This Row],[9]])-LEN(SUBSTITUTE(Tabela1[[#This Row],[9]],",",""))+1,1),"")</f>
        <v/>
      </c>
      <c r="AI660" t="str">
        <f>IF(Tabela1[[#This Row],[10]]&lt;&gt;"",IF(ISNUMBER(FIND(",",Tabela1[[#This Row],[10]])),LEN(Tabela1[[#This Row],[10]])-LEN(SUBSTITUTE(Tabela1[[#This Row],[10]],",",""))+1,1),"")</f>
        <v/>
      </c>
      <c r="AJ660" t="str">
        <f>IF(Tabela1[[#This Row],[11]]&lt;&gt;"",IF(ISNUMBER(FIND(",",Tabela1[[#This Row],[11]])),LEN(Tabela1[[#This Row],[11]])-LEN(SUBSTITUTE(Tabela1[[#This Row],[11]],",",""))+1,1),"")</f>
        <v/>
      </c>
      <c r="AK660" t="str">
        <f>IF(Tabela1[[#This Row],[12]]&lt;&gt;"",IF(ISNUMBER(FIND(",",Tabela1[[#This Row],[12]])),LEN(Tabela1[[#This Row],[12]])-LEN(SUBSTITUTE(Tabela1[[#This Row],[12]],",",""))+1,1),"")</f>
        <v/>
      </c>
      <c r="AL660" t="str">
        <f>IF(Tabela1[[#This Row],[13]]&lt;&gt;"",IF(ISNUMBER(FIND(",",Tabela1[[#This Row],[13]])),LEN(Tabela1[[#This Row],[13]])-LEN(SUBSTITUTE(Tabela1[[#This Row],[13]],",",""))+1,1),"")</f>
        <v/>
      </c>
      <c r="AM660" t="str">
        <f>IF(Tabela1[[#This Row],[14]]&lt;&gt;"",IF(ISNUMBER(FIND(",",Tabela1[[#This Row],[14]])),LEN(Tabela1[[#This Row],[14]])-LEN(SUBSTITUTE(Tabela1[[#This Row],[14]],",",""))+1,1),"")</f>
        <v/>
      </c>
      <c r="AN660" t="str">
        <f>IF(Tabela1[[#This Row],[15]]&lt;&gt;"",IF(ISNUMBER(FIND(",",Tabela1[[#This Row],[15]])),LEN(Tabela1[[#This Row],[15]])-LEN(SUBSTITUTE(Tabela1[[#This Row],[15]],",",""))+1,1),"")</f>
        <v/>
      </c>
      <c r="AO660" t="str">
        <f>IF(Tabela1[[#This Row],[16]]&lt;&gt;"",IF(ISNUMBER(FIND(",",Tabela1[[#This Row],[16]])),LEN(Tabela1[[#This Row],[16]])-LEN(SUBSTITUTE(Tabela1[[#This Row],[16]],",",""))+1,1),"")</f>
        <v/>
      </c>
      <c r="AP660" t="str">
        <f>IF(Tabela1[[#This Row],[17]]&lt;&gt;"",IF(ISNUMBER(FIND(",",Tabela1[[#This Row],[17]])),LEN(Tabela1[[#This Row],[17]])-LEN(SUBSTITUTE(Tabela1[[#This Row],[17]],",",""))+1,1),"")</f>
        <v/>
      </c>
      <c r="AQ660">
        <f>IF(Tabela1[[#This Row],[18]]&lt;&gt;"",IF(ISNUMBER(FIND(",",Tabela1[[#This Row],[18]])),LEN(Tabela1[[#This Row],[18]])-LEN(SUBSTITUTE(Tabela1[[#This Row],[18]],",",""))+1,1),"")</f>
        <v>1</v>
      </c>
      <c r="AR660" s="13">
        <f>IF(Tabela1[[#This Row],[19_LENGTH]]&lt;&gt;"",IF(ISNUMBER(FIND(",",Tabela1[[#This Row],[19_LENGTH]])),LEN(Tabela1[[#This Row],[19_LENGTH]])-LEN(SUBSTITUTE(Tabela1[[#This Row],[19_LENGTH]],",",""))+1,1),"")</f>
        <v>1</v>
      </c>
      <c r="AS660" s="21">
        <f>SUM(Tabela1[[#This Row],[1_]:[19_]])</f>
        <v>2</v>
      </c>
    </row>
    <row r="661" spans="1:45" x14ac:dyDescent="0.25">
      <c r="A661" s="27" t="s">
        <v>1328</v>
      </c>
      <c r="B661" s="19" t="s">
        <v>942</v>
      </c>
      <c r="C661" s="19">
        <v>102</v>
      </c>
      <c r="D661" s="19" t="s">
        <v>1300</v>
      </c>
      <c r="E661" s="20">
        <v>43550</v>
      </c>
      <c r="F661" s="19"/>
      <c r="G661" s="19"/>
      <c r="H661" s="19"/>
      <c r="I661" s="19"/>
      <c r="J661" s="19"/>
      <c r="K661" s="19"/>
      <c r="L661" s="19"/>
      <c r="M661" s="19"/>
      <c r="N661" s="19"/>
      <c r="O661" s="19"/>
      <c r="P661" s="19"/>
      <c r="Q661" s="19"/>
      <c r="R661" s="19"/>
      <c r="S661" s="19"/>
      <c r="T661" s="19"/>
      <c r="U661" s="19"/>
      <c r="V661" s="19" t="s">
        <v>254</v>
      </c>
      <c r="W661" s="19"/>
      <c r="X661" s="19"/>
      <c r="Y661" s="19"/>
      <c r="Z661" t="str">
        <f>IF(Tabela1[[#This Row],[1]]&lt;&gt;"",IF(ISNUMBER(FIND(",",Tabela1[[#This Row],[1]])),LEN(Tabela1[[#This Row],[1]])-LEN(SUBSTITUTE(Tabela1[[#This Row],[1]],",",""))+1,1),"")</f>
        <v/>
      </c>
      <c r="AA661" t="str">
        <f>IF(Tabela1[[#This Row],[2]]&lt;&gt;"",IF(ISNUMBER(FIND(",",Tabela1[[#This Row],[2]])),LEN(Tabela1[[#This Row],[2]])-LEN(SUBSTITUTE(Tabela1[[#This Row],[2]],",",""))+1,1),"")</f>
        <v/>
      </c>
      <c r="AB661" t="str">
        <f>IF(Tabela1[[#This Row],[3]]&lt;&gt;"",IF(ISNUMBER(FIND(",",Tabela1[[#This Row],[3]])),LEN(Tabela1[[#This Row],[3]])-LEN(SUBSTITUTE(Tabela1[[#This Row],[3]],",",""))+1,1),"")</f>
        <v/>
      </c>
      <c r="AC661" t="str">
        <f>IF(Tabela1[[#This Row],[4]]&lt;&gt;"",IF(ISNUMBER(FIND(",",Tabela1[[#This Row],[4]])),LEN(Tabela1[[#This Row],[4]])-LEN(SUBSTITUTE(Tabela1[[#This Row],[4]],",",""))+1,1),"")</f>
        <v/>
      </c>
      <c r="AD661" t="str">
        <f>IF(Tabela1[[#This Row],[5]]&lt;&gt;"",IF(ISNUMBER(FIND(",",Tabela1[[#This Row],[5]])),LEN(Tabela1[[#This Row],[5]])-LEN(SUBSTITUTE(Tabela1[[#This Row],[5]],",",""))+1,1),"")</f>
        <v/>
      </c>
      <c r="AE661" t="str">
        <f>IF(Tabela1[[#This Row],[6]]&lt;&gt;"",IF(ISNUMBER(FIND(",",Tabela1[[#This Row],[6]])),LEN(Tabela1[[#This Row],[6]])-LEN(SUBSTITUTE(Tabela1[[#This Row],[6]],",",""))+1,1),"")</f>
        <v/>
      </c>
      <c r="AF661" t="str">
        <f>IF(Tabela1[[#This Row],[7]]&lt;&gt;"",IF(ISNUMBER(FIND(",",Tabela1[[#This Row],[7]])),LEN(Tabela1[[#This Row],[7]])-LEN(SUBSTITUTE(Tabela1[[#This Row],[7]],",",""))+1,1),"")</f>
        <v/>
      </c>
      <c r="AG661" t="str">
        <f>IF(Tabela1[[#This Row],[8]]&lt;&gt;"",IF(ISNUMBER(FIND(",",Tabela1[[#This Row],[8]])),LEN(Tabela1[[#This Row],[8]])-LEN(SUBSTITUTE(Tabela1[[#This Row],[8]],",",""))+1,1),"")</f>
        <v/>
      </c>
      <c r="AH661" t="str">
        <f>IF(Tabela1[[#This Row],[9]]&lt;&gt;"",IF(ISNUMBER(FIND(",",Tabela1[[#This Row],[9]])),LEN(Tabela1[[#This Row],[9]])-LEN(SUBSTITUTE(Tabela1[[#This Row],[9]],",",""))+1,1),"")</f>
        <v/>
      </c>
      <c r="AI661" t="str">
        <f>IF(Tabela1[[#This Row],[10]]&lt;&gt;"",IF(ISNUMBER(FIND(",",Tabela1[[#This Row],[10]])),LEN(Tabela1[[#This Row],[10]])-LEN(SUBSTITUTE(Tabela1[[#This Row],[10]],",",""))+1,1),"")</f>
        <v/>
      </c>
      <c r="AJ661" t="str">
        <f>IF(Tabela1[[#This Row],[11]]&lt;&gt;"",IF(ISNUMBER(FIND(",",Tabela1[[#This Row],[11]])),LEN(Tabela1[[#This Row],[11]])-LEN(SUBSTITUTE(Tabela1[[#This Row],[11]],",",""))+1,1),"")</f>
        <v/>
      </c>
      <c r="AK661" t="str">
        <f>IF(Tabela1[[#This Row],[12]]&lt;&gt;"",IF(ISNUMBER(FIND(",",Tabela1[[#This Row],[12]])),LEN(Tabela1[[#This Row],[12]])-LEN(SUBSTITUTE(Tabela1[[#This Row],[12]],",",""))+1,1),"")</f>
        <v/>
      </c>
      <c r="AL661" t="str">
        <f>IF(Tabela1[[#This Row],[13]]&lt;&gt;"",IF(ISNUMBER(FIND(",",Tabela1[[#This Row],[13]])),LEN(Tabela1[[#This Row],[13]])-LEN(SUBSTITUTE(Tabela1[[#This Row],[13]],",",""))+1,1),"")</f>
        <v/>
      </c>
      <c r="AM661" t="str">
        <f>IF(Tabela1[[#This Row],[14]]&lt;&gt;"",IF(ISNUMBER(FIND(",",Tabela1[[#This Row],[14]])),LEN(Tabela1[[#This Row],[14]])-LEN(SUBSTITUTE(Tabela1[[#This Row],[14]],",",""))+1,1),"")</f>
        <v/>
      </c>
      <c r="AN661" t="str">
        <f>IF(Tabela1[[#This Row],[15]]&lt;&gt;"",IF(ISNUMBER(FIND(",",Tabela1[[#This Row],[15]])),LEN(Tabela1[[#This Row],[15]])-LEN(SUBSTITUTE(Tabela1[[#This Row],[15]],",",""))+1,1),"")</f>
        <v/>
      </c>
      <c r="AO661" t="str">
        <f>IF(Tabela1[[#This Row],[16]]&lt;&gt;"",IF(ISNUMBER(FIND(",",Tabela1[[#This Row],[16]])),LEN(Tabela1[[#This Row],[16]])-LEN(SUBSTITUTE(Tabela1[[#This Row],[16]],",",""))+1,1),"")</f>
        <v/>
      </c>
      <c r="AP661">
        <f>IF(Tabela1[[#This Row],[17]]&lt;&gt;"",IF(ISNUMBER(FIND(",",Tabela1[[#This Row],[17]])),LEN(Tabela1[[#This Row],[17]])-LEN(SUBSTITUTE(Tabela1[[#This Row],[17]],",",""))+1,1),"")</f>
        <v>4</v>
      </c>
      <c r="AQ661" t="str">
        <f>IF(Tabela1[[#This Row],[18]]&lt;&gt;"",IF(ISNUMBER(FIND(",",Tabela1[[#This Row],[18]])),LEN(Tabela1[[#This Row],[18]])-LEN(SUBSTITUTE(Tabela1[[#This Row],[18]],",",""))+1,1),"")</f>
        <v/>
      </c>
      <c r="AR661" s="13" t="str">
        <f>IF(Tabela1[[#This Row],[19_LENGTH]]&lt;&gt;"",IF(ISNUMBER(FIND(",",Tabela1[[#This Row],[19_LENGTH]])),LEN(Tabela1[[#This Row],[19_LENGTH]])-LEN(SUBSTITUTE(Tabela1[[#This Row],[19_LENGTH]],",",""))+1,1),"")</f>
        <v/>
      </c>
      <c r="AS661" s="21">
        <f>SUM(Tabela1[[#This Row],[1_]:[19_]])</f>
        <v>4</v>
      </c>
    </row>
    <row r="662" spans="1:45" x14ac:dyDescent="0.25">
      <c r="A662" s="27" t="s">
        <v>1328</v>
      </c>
      <c r="B662" s="19" t="s">
        <v>943</v>
      </c>
      <c r="C662" s="19">
        <v>102</v>
      </c>
      <c r="D662" s="19" t="s">
        <v>1300</v>
      </c>
      <c r="E662" s="20">
        <v>43550</v>
      </c>
      <c r="F662" s="19"/>
      <c r="G662" s="19"/>
      <c r="H662" s="19"/>
      <c r="I662" s="19" t="s">
        <v>255</v>
      </c>
      <c r="J662" s="19"/>
      <c r="K662" s="19"/>
      <c r="L662" s="19"/>
      <c r="M662" s="19"/>
      <c r="N662" s="19"/>
      <c r="O662" s="19"/>
      <c r="P662" s="19"/>
      <c r="Q662" s="19"/>
      <c r="R662" s="19"/>
      <c r="S662" s="19"/>
      <c r="T662" s="19"/>
      <c r="U662" s="19"/>
      <c r="V662" s="19" t="s">
        <v>256</v>
      </c>
      <c r="W662" s="19"/>
      <c r="X662" s="19"/>
      <c r="Y662" s="19"/>
      <c r="Z662" t="str">
        <f>IF(Tabela1[[#This Row],[1]]&lt;&gt;"",IF(ISNUMBER(FIND(",",Tabela1[[#This Row],[1]])),LEN(Tabela1[[#This Row],[1]])-LEN(SUBSTITUTE(Tabela1[[#This Row],[1]],",",""))+1,1),"")</f>
        <v/>
      </c>
      <c r="AA662" t="str">
        <f>IF(Tabela1[[#This Row],[2]]&lt;&gt;"",IF(ISNUMBER(FIND(",",Tabela1[[#This Row],[2]])),LEN(Tabela1[[#This Row],[2]])-LEN(SUBSTITUTE(Tabela1[[#This Row],[2]],",",""))+1,1),"")</f>
        <v/>
      </c>
      <c r="AB662" t="str">
        <f>IF(Tabela1[[#This Row],[3]]&lt;&gt;"",IF(ISNUMBER(FIND(",",Tabela1[[#This Row],[3]])),LEN(Tabela1[[#This Row],[3]])-LEN(SUBSTITUTE(Tabela1[[#This Row],[3]],",",""))+1,1),"")</f>
        <v/>
      </c>
      <c r="AC662">
        <f>IF(Tabela1[[#This Row],[4]]&lt;&gt;"",IF(ISNUMBER(FIND(",",Tabela1[[#This Row],[4]])),LEN(Tabela1[[#This Row],[4]])-LEN(SUBSTITUTE(Tabela1[[#This Row],[4]],",",""))+1,1),"")</f>
        <v>2</v>
      </c>
      <c r="AD662" t="str">
        <f>IF(Tabela1[[#This Row],[5]]&lt;&gt;"",IF(ISNUMBER(FIND(",",Tabela1[[#This Row],[5]])),LEN(Tabela1[[#This Row],[5]])-LEN(SUBSTITUTE(Tabela1[[#This Row],[5]],",",""))+1,1),"")</f>
        <v/>
      </c>
      <c r="AE662" t="str">
        <f>IF(Tabela1[[#This Row],[6]]&lt;&gt;"",IF(ISNUMBER(FIND(",",Tabela1[[#This Row],[6]])),LEN(Tabela1[[#This Row],[6]])-LEN(SUBSTITUTE(Tabela1[[#This Row],[6]],",",""))+1,1),"")</f>
        <v/>
      </c>
      <c r="AF662" t="str">
        <f>IF(Tabela1[[#This Row],[7]]&lt;&gt;"",IF(ISNUMBER(FIND(",",Tabela1[[#This Row],[7]])),LEN(Tabela1[[#This Row],[7]])-LEN(SUBSTITUTE(Tabela1[[#This Row],[7]],",",""))+1,1),"")</f>
        <v/>
      </c>
      <c r="AG662" t="str">
        <f>IF(Tabela1[[#This Row],[8]]&lt;&gt;"",IF(ISNUMBER(FIND(",",Tabela1[[#This Row],[8]])),LEN(Tabela1[[#This Row],[8]])-LEN(SUBSTITUTE(Tabela1[[#This Row],[8]],",",""))+1,1),"")</f>
        <v/>
      </c>
      <c r="AH662" t="str">
        <f>IF(Tabela1[[#This Row],[9]]&lt;&gt;"",IF(ISNUMBER(FIND(",",Tabela1[[#This Row],[9]])),LEN(Tabela1[[#This Row],[9]])-LEN(SUBSTITUTE(Tabela1[[#This Row],[9]],",",""))+1,1),"")</f>
        <v/>
      </c>
      <c r="AI662" t="str">
        <f>IF(Tabela1[[#This Row],[10]]&lt;&gt;"",IF(ISNUMBER(FIND(",",Tabela1[[#This Row],[10]])),LEN(Tabela1[[#This Row],[10]])-LEN(SUBSTITUTE(Tabela1[[#This Row],[10]],",",""))+1,1),"")</f>
        <v/>
      </c>
      <c r="AJ662" t="str">
        <f>IF(Tabela1[[#This Row],[11]]&lt;&gt;"",IF(ISNUMBER(FIND(",",Tabela1[[#This Row],[11]])),LEN(Tabela1[[#This Row],[11]])-LEN(SUBSTITUTE(Tabela1[[#This Row],[11]],",",""))+1,1),"")</f>
        <v/>
      </c>
      <c r="AK662" t="str">
        <f>IF(Tabela1[[#This Row],[12]]&lt;&gt;"",IF(ISNUMBER(FIND(",",Tabela1[[#This Row],[12]])),LEN(Tabela1[[#This Row],[12]])-LEN(SUBSTITUTE(Tabela1[[#This Row],[12]],",",""))+1,1),"")</f>
        <v/>
      </c>
      <c r="AL662" t="str">
        <f>IF(Tabela1[[#This Row],[13]]&lt;&gt;"",IF(ISNUMBER(FIND(",",Tabela1[[#This Row],[13]])),LEN(Tabela1[[#This Row],[13]])-LEN(SUBSTITUTE(Tabela1[[#This Row],[13]],",",""))+1,1),"")</f>
        <v/>
      </c>
      <c r="AM662" t="str">
        <f>IF(Tabela1[[#This Row],[14]]&lt;&gt;"",IF(ISNUMBER(FIND(",",Tabela1[[#This Row],[14]])),LEN(Tabela1[[#This Row],[14]])-LEN(SUBSTITUTE(Tabela1[[#This Row],[14]],",",""))+1,1),"")</f>
        <v/>
      </c>
      <c r="AN662" t="str">
        <f>IF(Tabela1[[#This Row],[15]]&lt;&gt;"",IF(ISNUMBER(FIND(",",Tabela1[[#This Row],[15]])),LEN(Tabela1[[#This Row],[15]])-LEN(SUBSTITUTE(Tabela1[[#This Row],[15]],",",""))+1,1),"")</f>
        <v/>
      </c>
      <c r="AO662" t="str">
        <f>IF(Tabela1[[#This Row],[16]]&lt;&gt;"",IF(ISNUMBER(FIND(",",Tabela1[[#This Row],[16]])),LEN(Tabela1[[#This Row],[16]])-LEN(SUBSTITUTE(Tabela1[[#This Row],[16]],",",""))+1,1),"")</f>
        <v/>
      </c>
      <c r="AP662">
        <f>IF(Tabela1[[#This Row],[17]]&lt;&gt;"",IF(ISNUMBER(FIND(",",Tabela1[[#This Row],[17]])),LEN(Tabela1[[#This Row],[17]])-LEN(SUBSTITUTE(Tabela1[[#This Row],[17]],",",""))+1,1),"")</f>
        <v>2</v>
      </c>
      <c r="AQ662" t="str">
        <f>IF(Tabela1[[#This Row],[18]]&lt;&gt;"",IF(ISNUMBER(FIND(",",Tabela1[[#This Row],[18]])),LEN(Tabela1[[#This Row],[18]])-LEN(SUBSTITUTE(Tabela1[[#This Row],[18]],",",""))+1,1),"")</f>
        <v/>
      </c>
      <c r="AR662" s="13" t="str">
        <f>IF(Tabela1[[#This Row],[19_LENGTH]]&lt;&gt;"",IF(ISNUMBER(FIND(",",Tabela1[[#This Row],[19_LENGTH]])),LEN(Tabela1[[#This Row],[19_LENGTH]])-LEN(SUBSTITUTE(Tabela1[[#This Row],[19_LENGTH]],",",""))+1,1),"")</f>
        <v/>
      </c>
      <c r="AS662" s="21">
        <f>SUM(Tabela1[[#This Row],[1_]:[19_]])</f>
        <v>4</v>
      </c>
    </row>
    <row r="663" spans="1:45" x14ac:dyDescent="0.25">
      <c r="A663" s="27" t="s">
        <v>1328</v>
      </c>
      <c r="B663" s="19" t="s">
        <v>944</v>
      </c>
      <c r="C663" s="19">
        <v>102</v>
      </c>
      <c r="D663" s="19" t="s">
        <v>1300</v>
      </c>
      <c r="E663" s="20">
        <v>43549</v>
      </c>
      <c r="F663" s="19"/>
      <c r="G663" s="19"/>
      <c r="H663" s="19"/>
      <c r="I663" s="19"/>
      <c r="J663" s="19"/>
      <c r="K663" s="19"/>
      <c r="L663" s="19"/>
      <c r="M663" s="19"/>
      <c r="N663" s="19"/>
      <c r="O663" s="19"/>
      <c r="P663" s="19"/>
      <c r="Q663" s="19"/>
      <c r="R663" s="19"/>
      <c r="S663" s="19"/>
      <c r="T663" s="19"/>
      <c r="U663" s="19"/>
      <c r="V663" s="19" t="s">
        <v>257</v>
      </c>
      <c r="W663" s="19"/>
      <c r="X663" s="19" t="s">
        <v>43</v>
      </c>
      <c r="Y663" s="19">
        <v>61</v>
      </c>
      <c r="Z663" t="str">
        <f>IF(Tabela1[[#This Row],[1]]&lt;&gt;"",IF(ISNUMBER(FIND(",",Tabela1[[#This Row],[1]])),LEN(Tabela1[[#This Row],[1]])-LEN(SUBSTITUTE(Tabela1[[#This Row],[1]],",",""))+1,1),"")</f>
        <v/>
      </c>
      <c r="AA663" t="str">
        <f>IF(Tabela1[[#This Row],[2]]&lt;&gt;"",IF(ISNUMBER(FIND(",",Tabela1[[#This Row],[2]])),LEN(Tabela1[[#This Row],[2]])-LEN(SUBSTITUTE(Tabela1[[#This Row],[2]],",",""))+1,1),"")</f>
        <v/>
      </c>
      <c r="AB663" t="str">
        <f>IF(Tabela1[[#This Row],[3]]&lt;&gt;"",IF(ISNUMBER(FIND(",",Tabela1[[#This Row],[3]])),LEN(Tabela1[[#This Row],[3]])-LEN(SUBSTITUTE(Tabela1[[#This Row],[3]],",",""))+1,1),"")</f>
        <v/>
      </c>
      <c r="AC663" t="str">
        <f>IF(Tabela1[[#This Row],[4]]&lt;&gt;"",IF(ISNUMBER(FIND(",",Tabela1[[#This Row],[4]])),LEN(Tabela1[[#This Row],[4]])-LEN(SUBSTITUTE(Tabela1[[#This Row],[4]],",",""))+1,1),"")</f>
        <v/>
      </c>
      <c r="AD663" t="str">
        <f>IF(Tabela1[[#This Row],[5]]&lt;&gt;"",IF(ISNUMBER(FIND(",",Tabela1[[#This Row],[5]])),LEN(Tabela1[[#This Row],[5]])-LEN(SUBSTITUTE(Tabela1[[#This Row],[5]],",",""))+1,1),"")</f>
        <v/>
      </c>
      <c r="AE663" t="str">
        <f>IF(Tabela1[[#This Row],[6]]&lt;&gt;"",IF(ISNUMBER(FIND(",",Tabela1[[#This Row],[6]])),LEN(Tabela1[[#This Row],[6]])-LEN(SUBSTITUTE(Tabela1[[#This Row],[6]],",",""))+1,1),"")</f>
        <v/>
      </c>
      <c r="AF663" t="str">
        <f>IF(Tabela1[[#This Row],[7]]&lt;&gt;"",IF(ISNUMBER(FIND(",",Tabela1[[#This Row],[7]])),LEN(Tabela1[[#This Row],[7]])-LEN(SUBSTITUTE(Tabela1[[#This Row],[7]],",",""))+1,1),"")</f>
        <v/>
      </c>
      <c r="AG663" t="str">
        <f>IF(Tabela1[[#This Row],[8]]&lt;&gt;"",IF(ISNUMBER(FIND(",",Tabela1[[#This Row],[8]])),LEN(Tabela1[[#This Row],[8]])-LEN(SUBSTITUTE(Tabela1[[#This Row],[8]],",",""))+1,1),"")</f>
        <v/>
      </c>
      <c r="AH663" t="str">
        <f>IF(Tabela1[[#This Row],[9]]&lt;&gt;"",IF(ISNUMBER(FIND(",",Tabela1[[#This Row],[9]])),LEN(Tabela1[[#This Row],[9]])-LEN(SUBSTITUTE(Tabela1[[#This Row],[9]],",",""))+1,1),"")</f>
        <v/>
      </c>
      <c r="AI663" t="str">
        <f>IF(Tabela1[[#This Row],[10]]&lt;&gt;"",IF(ISNUMBER(FIND(",",Tabela1[[#This Row],[10]])),LEN(Tabela1[[#This Row],[10]])-LEN(SUBSTITUTE(Tabela1[[#This Row],[10]],",",""))+1,1),"")</f>
        <v/>
      </c>
      <c r="AJ663" t="str">
        <f>IF(Tabela1[[#This Row],[11]]&lt;&gt;"",IF(ISNUMBER(FIND(",",Tabela1[[#This Row],[11]])),LEN(Tabela1[[#This Row],[11]])-LEN(SUBSTITUTE(Tabela1[[#This Row],[11]],",",""))+1,1),"")</f>
        <v/>
      </c>
      <c r="AK663" t="str">
        <f>IF(Tabela1[[#This Row],[12]]&lt;&gt;"",IF(ISNUMBER(FIND(",",Tabela1[[#This Row],[12]])),LEN(Tabela1[[#This Row],[12]])-LEN(SUBSTITUTE(Tabela1[[#This Row],[12]],",",""))+1,1),"")</f>
        <v/>
      </c>
      <c r="AL663" t="str">
        <f>IF(Tabela1[[#This Row],[13]]&lt;&gt;"",IF(ISNUMBER(FIND(",",Tabela1[[#This Row],[13]])),LEN(Tabela1[[#This Row],[13]])-LEN(SUBSTITUTE(Tabela1[[#This Row],[13]],",",""))+1,1),"")</f>
        <v/>
      </c>
      <c r="AM663" t="str">
        <f>IF(Tabela1[[#This Row],[14]]&lt;&gt;"",IF(ISNUMBER(FIND(",",Tabela1[[#This Row],[14]])),LEN(Tabela1[[#This Row],[14]])-LEN(SUBSTITUTE(Tabela1[[#This Row],[14]],",",""))+1,1),"")</f>
        <v/>
      </c>
      <c r="AN663" t="str">
        <f>IF(Tabela1[[#This Row],[15]]&lt;&gt;"",IF(ISNUMBER(FIND(",",Tabela1[[#This Row],[15]])),LEN(Tabela1[[#This Row],[15]])-LEN(SUBSTITUTE(Tabela1[[#This Row],[15]],",",""))+1,1),"")</f>
        <v/>
      </c>
      <c r="AO663" t="str">
        <f>IF(Tabela1[[#This Row],[16]]&lt;&gt;"",IF(ISNUMBER(FIND(",",Tabela1[[#This Row],[16]])),LEN(Tabela1[[#This Row],[16]])-LEN(SUBSTITUTE(Tabela1[[#This Row],[16]],",",""))+1,1),"")</f>
        <v/>
      </c>
      <c r="AP663">
        <f>IF(Tabela1[[#This Row],[17]]&lt;&gt;"",IF(ISNUMBER(FIND(",",Tabela1[[#This Row],[17]])),LEN(Tabela1[[#This Row],[17]])-LEN(SUBSTITUTE(Tabela1[[#This Row],[17]],",",""))+1,1),"")</f>
        <v>2</v>
      </c>
      <c r="AQ663" t="str">
        <f>IF(Tabela1[[#This Row],[18]]&lt;&gt;"",IF(ISNUMBER(FIND(",",Tabela1[[#This Row],[18]])),LEN(Tabela1[[#This Row],[18]])-LEN(SUBSTITUTE(Tabela1[[#This Row],[18]],",",""))+1,1),"")</f>
        <v/>
      </c>
      <c r="AR663" s="13">
        <f>IF(Tabela1[[#This Row],[19_LENGTH]]&lt;&gt;"",IF(ISNUMBER(FIND(",",Tabela1[[#This Row],[19_LENGTH]])),LEN(Tabela1[[#This Row],[19_LENGTH]])-LEN(SUBSTITUTE(Tabela1[[#This Row],[19_LENGTH]],",",""))+1,1),"")</f>
        <v>1</v>
      </c>
      <c r="AS663" s="21">
        <f>SUM(Tabela1[[#This Row],[1_]:[19_]])</f>
        <v>3</v>
      </c>
    </row>
    <row r="664" spans="1:45" x14ac:dyDescent="0.25">
      <c r="A664" s="27" t="s">
        <v>1328</v>
      </c>
      <c r="B664" s="19" t="s">
        <v>949</v>
      </c>
      <c r="C664" s="19">
        <v>126</v>
      </c>
      <c r="D664" s="19" t="s">
        <v>1300</v>
      </c>
      <c r="E664" s="20">
        <v>43551</v>
      </c>
      <c r="F664" s="19"/>
      <c r="G664" s="19"/>
      <c r="H664" s="19"/>
      <c r="I664" s="19"/>
      <c r="J664" s="19">
        <v>37</v>
      </c>
      <c r="K664" s="19"/>
      <c r="L664" s="19"/>
      <c r="M664" s="19"/>
      <c r="N664" s="19"/>
      <c r="O664" s="19"/>
      <c r="P664" s="19"/>
      <c r="Q664" s="19"/>
      <c r="R664" s="19"/>
      <c r="S664" s="19"/>
      <c r="T664" s="19"/>
      <c r="U664" s="19"/>
      <c r="V664" s="19"/>
      <c r="W664" s="19"/>
      <c r="X664" s="19"/>
      <c r="Y664" s="19"/>
      <c r="Z664" t="str">
        <f>IF(Tabela1[[#This Row],[1]]&lt;&gt;"",IF(ISNUMBER(FIND(",",Tabela1[[#This Row],[1]])),LEN(Tabela1[[#This Row],[1]])-LEN(SUBSTITUTE(Tabela1[[#This Row],[1]],",",""))+1,1),"")</f>
        <v/>
      </c>
      <c r="AA664" t="str">
        <f>IF(Tabela1[[#This Row],[2]]&lt;&gt;"",IF(ISNUMBER(FIND(",",Tabela1[[#This Row],[2]])),LEN(Tabela1[[#This Row],[2]])-LEN(SUBSTITUTE(Tabela1[[#This Row],[2]],",",""))+1,1),"")</f>
        <v/>
      </c>
      <c r="AB664" t="str">
        <f>IF(Tabela1[[#This Row],[3]]&lt;&gt;"",IF(ISNUMBER(FIND(",",Tabela1[[#This Row],[3]])),LEN(Tabela1[[#This Row],[3]])-LEN(SUBSTITUTE(Tabela1[[#This Row],[3]],",",""))+1,1),"")</f>
        <v/>
      </c>
      <c r="AC664" t="str">
        <f>IF(Tabela1[[#This Row],[4]]&lt;&gt;"",IF(ISNUMBER(FIND(",",Tabela1[[#This Row],[4]])),LEN(Tabela1[[#This Row],[4]])-LEN(SUBSTITUTE(Tabela1[[#This Row],[4]],",",""))+1,1),"")</f>
        <v/>
      </c>
      <c r="AD664">
        <f>IF(Tabela1[[#This Row],[5]]&lt;&gt;"",IF(ISNUMBER(FIND(",",Tabela1[[#This Row],[5]])),LEN(Tabela1[[#This Row],[5]])-LEN(SUBSTITUTE(Tabela1[[#This Row],[5]],",",""))+1,1),"")</f>
        <v>1</v>
      </c>
      <c r="AE664" t="str">
        <f>IF(Tabela1[[#This Row],[6]]&lt;&gt;"",IF(ISNUMBER(FIND(",",Tabela1[[#This Row],[6]])),LEN(Tabela1[[#This Row],[6]])-LEN(SUBSTITUTE(Tabela1[[#This Row],[6]],",",""))+1,1),"")</f>
        <v/>
      </c>
      <c r="AF664" t="str">
        <f>IF(Tabela1[[#This Row],[7]]&lt;&gt;"",IF(ISNUMBER(FIND(",",Tabela1[[#This Row],[7]])),LEN(Tabela1[[#This Row],[7]])-LEN(SUBSTITUTE(Tabela1[[#This Row],[7]],",",""))+1,1),"")</f>
        <v/>
      </c>
      <c r="AG664" t="str">
        <f>IF(Tabela1[[#This Row],[8]]&lt;&gt;"",IF(ISNUMBER(FIND(",",Tabela1[[#This Row],[8]])),LEN(Tabela1[[#This Row],[8]])-LEN(SUBSTITUTE(Tabela1[[#This Row],[8]],",",""))+1,1),"")</f>
        <v/>
      </c>
      <c r="AH664" t="str">
        <f>IF(Tabela1[[#This Row],[9]]&lt;&gt;"",IF(ISNUMBER(FIND(",",Tabela1[[#This Row],[9]])),LEN(Tabela1[[#This Row],[9]])-LEN(SUBSTITUTE(Tabela1[[#This Row],[9]],",",""))+1,1),"")</f>
        <v/>
      </c>
      <c r="AI664" t="str">
        <f>IF(Tabela1[[#This Row],[10]]&lt;&gt;"",IF(ISNUMBER(FIND(",",Tabela1[[#This Row],[10]])),LEN(Tabela1[[#This Row],[10]])-LEN(SUBSTITUTE(Tabela1[[#This Row],[10]],",",""))+1,1),"")</f>
        <v/>
      </c>
      <c r="AJ664" t="str">
        <f>IF(Tabela1[[#This Row],[11]]&lt;&gt;"",IF(ISNUMBER(FIND(",",Tabela1[[#This Row],[11]])),LEN(Tabela1[[#This Row],[11]])-LEN(SUBSTITUTE(Tabela1[[#This Row],[11]],",",""))+1,1),"")</f>
        <v/>
      </c>
      <c r="AK664" t="str">
        <f>IF(Tabela1[[#This Row],[12]]&lt;&gt;"",IF(ISNUMBER(FIND(",",Tabela1[[#This Row],[12]])),LEN(Tabela1[[#This Row],[12]])-LEN(SUBSTITUTE(Tabela1[[#This Row],[12]],",",""))+1,1),"")</f>
        <v/>
      </c>
      <c r="AL664" t="str">
        <f>IF(Tabela1[[#This Row],[13]]&lt;&gt;"",IF(ISNUMBER(FIND(",",Tabela1[[#This Row],[13]])),LEN(Tabela1[[#This Row],[13]])-LEN(SUBSTITUTE(Tabela1[[#This Row],[13]],",",""))+1,1),"")</f>
        <v/>
      </c>
      <c r="AM664" t="str">
        <f>IF(Tabela1[[#This Row],[14]]&lt;&gt;"",IF(ISNUMBER(FIND(",",Tabela1[[#This Row],[14]])),LEN(Tabela1[[#This Row],[14]])-LEN(SUBSTITUTE(Tabela1[[#This Row],[14]],",",""))+1,1),"")</f>
        <v/>
      </c>
      <c r="AN664" t="str">
        <f>IF(Tabela1[[#This Row],[15]]&lt;&gt;"",IF(ISNUMBER(FIND(",",Tabela1[[#This Row],[15]])),LEN(Tabela1[[#This Row],[15]])-LEN(SUBSTITUTE(Tabela1[[#This Row],[15]],",",""))+1,1),"")</f>
        <v/>
      </c>
      <c r="AO664" t="str">
        <f>IF(Tabela1[[#This Row],[16]]&lt;&gt;"",IF(ISNUMBER(FIND(",",Tabela1[[#This Row],[16]])),LEN(Tabela1[[#This Row],[16]])-LEN(SUBSTITUTE(Tabela1[[#This Row],[16]],",",""))+1,1),"")</f>
        <v/>
      </c>
      <c r="AP664" t="str">
        <f>IF(Tabela1[[#This Row],[17]]&lt;&gt;"",IF(ISNUMBER(FIND(",",Tabela1[[#This Row],[17]])),LEN(Tabela1[[#This Row],[17]])-LEN(SUBSTITUTE(Tabela1[[#This Row],[17]],",",""))+1,1),"")</f>
        <v/>
      </c>
      <c r="AQ664" t="str">
        <f>IF(Tabela1[[#This Row],[18]]&lt;&gt;"",IF(ISNUMBER(FIND(",",Tabela1[[#This Row],[18]])),LEN(Tabela1[[#This Row],[18]])-LEN(SUBSTITUTE(Tabela1[[#This Row],[18]],",",""))+1,1),"")</f>
        <v/>
      </c>
      <c r="AR664" s="13" t="str">
        <f>IF(Tabela1[[#This Row],[19_LENGTH]]&lt;&gt;"",IF(ISNUMBER(FIND(",",Tabela1[[#This Row],[19_LENGTH]])),LEN(Tabela1[[#This Row],[19_LENGTH]])-LEN(SUBSTITUTE(Tabela1[[#This Row],[19_LENGTH]],",",""))+1,1),"")</f>
        <v/>
      </c>
      <c r="AS664" s="21">
        <f>SUM(Tabela1[[#This Row],[1_]:[19_]])</f>
        <v>1</v>
      </c>
    </row>
    <row r="665" spans="1:45" x14ac:dyDescent="0.25">
      <c r="A665" s="27" t="s">
        <v>1328</v>
      </c>
      <c r="B665" s="19" t="s">
        <v>950</v>
      </c>
      <c r="C665" s="19">
        <v>102</v>
      </c>
      <c r="D665" s="19" t="s">
        <v>1300</v>
      </c>
      <c r="E665" s="20">
        <v>43550</v>
      </c>
      <c r="F665" s="19"/>
      <c r="G665" s="19"/>
      <c r="H665" s="19"/>
      <c r="I665" s="19"/>
      <c r="J665" s="19"/>
      <c r="K665" s="19">
        <v>72</v>
      </c>
      <c r="L665" s="19"/>
      <c r="M665" s="19"/>
      <c r="N665" s="19"/>
      <c r="O665" s="19"/>
      <c r="P665" s="19"/>
      <c r="Q665" s="19"/>
      <c r="R665" s="19"/>
      <c r="S665" s="19"/>
      <c r="T665" s="19"/>
      <c r="U665" s="19"/>
      <c r="V665" s="19"/>
      <c r="W665" s="19"/>
      <c r="X665" s="19"/>
      <c r="Y665" s="19"/>
      <c r="Z665" t="str">
        <f>IF(Tabela1[[#This Row],[1]]&lt;&gt;"",IF(ISNUMBER(FIND(",",Tabela1[[#This Row],[1]])),LEN(Tabela1[[#This Row],[1]])-LEN(SUBSTITUTE(Tabela1[[#This Row],[1]],",",""))+1,1),"")</f>
        <v/>
      </c>
      <c r="AA665" t="str">
        <f>IF(Tabela1[[#This Row],[2]]&lt;&gt;"",IF(ISNUMBER(FIND(",",Tabela1[[#This Row],[2]])),LEN(Tabela1[[#This Row],[2]])-LEN(SUBSTITUTE(Tabela1[[#This Row],[2]],",",""))+1,1),"")</f>
        <v/>
      </c>
      <c r="AB665" t="str">
        <f>IF(Tabela1[[#This Row],[3]]&lt;&gt;"",IF(ISNUMBER(FIND(",",Tabela1[[#This Row],[3]])),LEN(Tabela1[[#This Row],[3]])-LEN(SUBSTITUTE(Tabela1[[#This Row],[3]],",",""))+1,1),"")</f>
        <v/>
      </c>
      <c r="AC665" t="str">
        <f>IF(Tabela1[[#This Row],[4]]&lt;&gt;"",IF(ISNUMBER(FIND(",",Tabela1[[#This Row],[4]])),LEN(Tabela1[[#This Row],[4]])-LEN(SUBSTITUTE(Tabela1[[#This Row],[4]],",",""))+1,1),"")</f>
        <v/>
      </c>
      <c r="AD665" t="str">
        <f>IF(Tabela1[[#This Row],[5]]&lt;&gt;"",IF(ISNUMBER(FIND(",",Tabela1[[#This Row],[5]])),LEN(Tabela1[[#This Row],[5]])-LEN(SUBSTITUTE(Tabela1[[#This Row],[5]],",",""))+1,1),"")</f>
        <v/>
      </c>
      <c r="AE665">
        <f>IF(Tabela1[[#This Row],[6]]&lt;&gt;"",IF(ISNUMBER(FIND(",",Tabela1[[#This Row],[6]])),LEN(Tabela1[[#This Row],[6]])-LEN(SUBSTITUTE(Tabela1[[#This Row],[6]],",",""))+1,1),"")</f>
        <v>1</v>
      </c>
      <c r="AF665" t="str">
        <f>IF(Tabela1[[#This Row],[7]]&lt;&gt;"",IF(ISNUMBER(FIND(",",Tabela1[[#This Row],[7]])),LEN(Tabela1[[#This Row],[7]])-LEN(SUBSTITUTE(Tabela1[[#This Row],[7]],",",""))+1,1),"")</f>
        <v/>
      </c>
      <c r="AG665" t="str">
        <f>IF(Tabela1[[#This Row],[8]]&lt;&gt;"",IF(ISNUMBER(FIND(",",Tabela1[[#This Row],[8]])),LEN(Tabela1[[#This Row],[8]])-LEN(SUBSTITUTE(Tabela1[[#This Row],[8]],",",""))+1,1),"")</f>
        <v/>
      </c>
      <c r="AH665" t="str">
        <f>IF(Tabela1[[#This Row],[9]]&lt;&gt;"",IF(ISNUMBER(FIND(",",Tabela1[[#This Row],[9]])),LEN(Tabela1[[#This Row],[9]])-LEN(SUBSTITUTE(Tabela1[[#This Row],[9]],",",""))+1,1),"")</f>
        <v/>
      </c>
      <c r="AI665" t="str">
        <f>IF(Tabela1[[#This Row],[10]]&lt;&gt;"",IF(ISNUMBER(FIND(",",Tabela1[[#This Row],[10]])),LEN(Tabela1[[#This Row],[10]])-LEN(SUBSTITUTE(Tabela1[[#This Row],[10]],",",""))+1,1),"")</f>
        <v/>
      </c>
      <c r="AJ665" t="str">
        <f>IF(Tabela1[[#This Row],[11]]&lt;&gt;"",IF(ISNUMBER(FIND(",",Tabela1[[#This Row],[11]])),LEN(Tabela1[[#This Row],[11]])-LEN(SUBSTITUTE(Tabela1[[#This Row],[11]],",",""))+1,1),"")</f>
        <v/>
      </c>
      <c r="AK665" t="str">
        <f>IF(Tabela1[[#This Row],[12]]&lt;&gt;"",IF(ISNUMBER(FIND(",",Tabela1[[#This Row],[12]])),LEN(Tabela1[[#This Row],[12]])-LEN(SUBSTITUTE(Tabela1[[#This Row],[12]],",",""))+1,1),"")</f>
        <v/>
      </c>
      <c r="AL665" t="str">
        <f>IF(Tabela1[[#This Row],[13]]&lt;&gt;"",IF(ISNUMBER(FIND(",",Tabela1[[#This Row],[13]])),LEN(Tabela1[[#This Row],[13]])-LEN(SUBSTITUTE(Tabela1[[#This Row],[13]],",",""))+1,1),"")</f>
        <v/>
      </c>
      <c r="AM665" t="str">
        <f>IF(Tabela1[[#This Row],[14]]&lt;&gt;"",IF(ISNUMBER(FIND(",",Tabela1[[#This Row],[14]])),LEN(Tabela1[[#This Row],[14]])-LEN(SUBSTITUTE(Tabela1[[#This Row],[14]],",",""))+1,1),"")</f>
        <v/>
      </c>
      <c r="AN665" t="str">
        <f>IF(Tabela1[[#This Row],[15]]&lt;&gt;"",IF(ISNUMBER(FIND(",",Tabela1[[#This Row],[15]])),LEN(Tabela1[[#This Row],[15]])-LEN(SUBSTITUTE(Tabela1[[#This Row],[15]],",",""))+1,1),"")</f>
        <v/>
      </c>
      <c r="AO665" t="str">
        <f>IF(Tabela1[[#This Row],[16]]&lt;&gt;"",IF(ISNUMBER(FIND(",",Tabela1[[#This Row],[16]])),LEN(Tabela1[[#This Row],[16]])-LEN(SUBSTITUTE(Tabela1[[#This Row],[16]],",",""))+1,1),"")</f>
        <v/>
      </c>
      <c r="AP665" t="str">
        <f>IF(Tabela1[[#This Row],[17]]&lt;&gt;"",IF(ISNUMBER(FIND(",",Tabela1[[#This Row],[17]])),LEN(Tabela1[[#This Row],[17]])-LEN(SUBSTITUTE(Tabela1[[#This Row],[17]],",",""))+1,1),"")</f>
        <v/>
      </c>
      <c r="AQ665" t="str">
        <f>IF(Tabela1[[#This Row],[18]]&lt;&gt;"",IF(ISNUMBER(FIND(",",Tabela1[[#This Row],[18]])),LEN(Tabela1[[#This Row],[18]])-LEN(SUBSTITUTE(Tabela1[[#This Row],[18]],",",""))+1,1),"")</f>
        <v/>
      </c>
      <c r="AR665" s="13" t="str">
        <f>IF(Tabela1[[#This Row],[19_LENGTH]]&lt;&gt;"",IF(ISNUMBER(FIND(",",Tabela1[[#This Row],[19_LENGTH]])),LEN(Tabela1[[#This Row],[19_LENGTH]])-LEN(SUBSTITUTE(Tabela1[[#This Row],[19_LENGTH]],",",""))+1,1),"")</f>
        <v/>
      </c>
      <c r="AS665" s="21">
        <f>SUM(Tabela1[[#This Row],[1_]:[19_]])</f>
        <v>1</v>
      </c>
    </row>
    <row r="666" spans="1:45" x14ac:dyDescent="0.25">
      <c r="A666" s="27" t="s">
        <v>1328</v>
      </c>
      <c r="B666" s="19" t="s">
        <v>951</v>
      </c>
      <c r="C666" s="19">
        <v>102</v>
      </c>
      <c r="D666" s="19" t="s">
        <v>1300</v>
      </c>
      <c r="E666" s="20">
        <v>43550</v>
      </c>
      <c r="F666" s="19"/>
      <c r="G666" s="19"/>
      <c r="H666" s="19"/>
      <c r="I666" s="19"/>
      <c r="J666" s="19">
        <v>26</v>
      </c>
      <c r="K666" s="19"/>
      <c r="L666" s="19"/>
      <c r="M666" s="19"/>
      <c r="N666" s="19"/>
      <c r="O666" s="19"/>
      <c r="P666" s="19"/>
      <c r="Q666" s="19"/>
      <c r="R666" s="19"/>
      <c r="S666" s="19"/>
      <c r="T666" s="19"/>
      <c r="U666" s="19"/>
      <c r="V666" s="19"/>
      <c r="W666" s="19"/>
      <c r="X666" s="19"/>
      <c r="Y666" s="19"/>
      <c r="Z666" t="str">
        <f>IF(Tabela1[[#This Row],[1]]&lt;&gt;"",IF(ISNUMBER(FIND(",",Tabela1[[#This Row],[1]])),LEN(Tabela1[[#This Row],[1]])-LEN(SUBSTITUTE(Tabela1[[#This Row],[1]],",",""))+1,1),"")</f>
        <v/>
      </c>
      <c r="AA666" t="str">
        <f>IF(Tabela1[[#This Row],[2]]&lt;&gt;"",IF(ISNUMBER(FIND(",",Tabela1[[#This Row],[2]])),LEN(Tabela1[[#This Row],[2]])-LEN(SUBSTITUTE(Tabela1[[#This Row],[2]],",",""))+1,1),"")</f>
        <v/>
      </c>
      <c r="AB666" t="str">
        <f>IF(Tabela1[[#This Row],[3]]&lt;&gt;"",IF(ISNUMBER(FIND(",",Tabela1[[#This Row],[3]])),LEN(Tabela1[[#This Row],[3]])-LEN(SUBSTITUTE(Tabela1[[#This Row],[3]],",",""))+1,1),"")</f>
        <v/>
      </c>
      <c r="AC666" t="str">
        <f>IF(Tabela1[[#This Row],[4]]&lt;&gt;"",IF(ISNUMBER(FIND(",",Tabela1[[#This Row],[4]])),LEN(Tabela1[[#This Row],[4]])-LEN(SUBSTITUTE(Tabela1[[#This Row],[4]],",",""))+1,1),"")</f>
        <v/>
      </c>
      <c r="AD666">
        <f>IF(Tabela1[[#This Row],[5]]&lt;&gt;"",IF(ISNUMBER(FIND(",",Tabela1[[#This Row],[5]])),LEN(Tabela1[[#This Row],[5]])-LEN(SUBSTITUTE(Tabela1[[#This Row],[5]],",",""))+1,1),"")</f>
        <v>1</v>
      </c>
      <c r="AE666" t="str">
        <f>IF(Tabela1[[#This Row],[6]]&lt;&gt;"",IF(ISNUMBER(FIND(",",Tabela1[[#This Row],[6]])),LEN(Tabela1[[#This Row],[6]])-LEN(SUBSTITUTE(Tabela1[[#This Row],[6]],",",""))+1,1),"")</f>
        <v/>
      </c>
      <c r="AF666" t="str">
        <f>IF(Tabela1[[#This Row],[7]]&lt;&gt;"",IF(ISNUMBER(FIND(",",Tabela1[[#This Row],[7]])),LEN(Tabela1[[#This Row],[7]])-LEN(SUBSTITUTE(Tabela1[[#This Row],[7]],",",""))+1,1),"")</f>
        <v/>
      </c>
      <c r="AG666" t="str">
        <f>IF(Tabela1[[#This Row],[8]]&lt;&gt;"",IF(ISNUMBER(FIND(",",Tabela1[[#This Row],[8]])),LEN(Tabela1[[#This Row],[8]])-LEN(SUBSTITUTE(Tabela1[[#This Row],[8]],",",""))+1,1),"")</f>
        <v/>
      </c>
      <c r="AH666" t="str">
        <f>IF(Tabela1[[#This Row],[9]]&lt;&gt;"",IF(ISNUMBER(FIND(",",Tabela1[[#This Row],[9]])),LEN(Tabela1[[#This Row],[9]])-LEN(SUBSTITUTE(Tabela1[[#This Row],[9]],",",""))+1,1),"")</f>
        <v/>
      </c>
      <c r="AI666" t="str">
        <f>IF(Tabela1[[#This Row],[10]]&lt;&gt;"",IF(ISNUMBER(FIND(",",Tabela1[[#This Row],[10]])),LEN(Tabela1[[#This Row],[10]])-LEN(SUBSTITUTE(Tabela1[[#This Row],[10]],",",""))+1,1),"")</f>
        <v/>
      </c>
      <c r="AJ666" t="str">
        <f>IF(Tabela1[[#This Row],[11]]&lt;&gt;"",IF(ISNUMBER(FIND(",",Tabela1[[#This Row],[11]])),LEN(Tabela1[[#This Row],[11]])-LEN(SUBSTITUTE(Tabela1[[#This Row],[11]],",",""))+1,1),"")</f>
        <v/>
      </c>
      <c r="AK666" t="str">
        <f>IF(Tabela1[[#This Row],[12]]&lt;&gt;"",IF(ISNUMBER(FIND(",",Tabela1[[#This Row],[12]])),LEN(Tabela1[[#This Row],[12]])-LEN(SUBSTITUTE(Tabela1[[#This Row],[12]],",",""))+1,1),"")</f>
        <v/>
      </c>
      <c r="AL666" t="str">
        <f>IF(Tabela1[[#This Row],[13]]&lt;&gt;"",IF(ISNUMBER(FIND(",",Tabela1[[#This Row],[13]])),LEN(Tabela1[[#This Row],[13]])-LEN(SUBSTITUTE(Tabela1[[#This Row],[13]],",",""))+1,1),"")</f>
        <v/>
      </c>
      <c r="AM666" t="str">
        <f>IF(Tabela1[[#This Row],[14]]&lt;&gt;"",IF(ISNUMBER(FIND(",",Tabela1[[#This Row],[14]])),LEN(Tabela1[[#This Row],[14]])-LEN(SUBSTITUTE(Tabela1[[#This Row],[14]],",",""))+1,1),"")</f>
        <v/>
      </c>
      <c r="AN666" t="str">
        <f>IF(Tabela1[[#This Row],[15]]&lt;&gt;"",IF(ISNUMBER(FIND(",",Tabela1[[#This Row],[15]])),LEN(Tabela1[[#This Row],[15]])-LEN(SUBSTITUTE(Tabela1[[#This Row],[15]],",",""))+1,1),"")</f>
        <v/>
      </c>
      <c r="AO666" t="str">
        <f>IF(Tabela1[[#This Row],[16]]&lt;&gt;"",IF(ISNUMBER(FIND(",",Tabela1[[#This Row],[16]])),LEN(Tabela1[[#This Row],[16]])-LEN(SUBSTITUTE(Tabela1[[#This Row],[16]],",",""))+1,1),"")</f>
        <v/>
      </c>
      <c r="AP666" t="str">
        <f>IF(Tabela1[[#This Row],[17]]&lt;&gt;"",IF(ISNUMBER(FIND(",",Tabela1[[#This Row],[17]])),LEN(Tabela1[[#This Row],[17]])-LEN(SUBSTITUTE(Tabela1[[#This Row],[17]],",",""))+1,1),"")</f>
        <v/>
      </c>
      <c r="AQ666" t="str">
        <f>IF(Tabela1[[#This Row],[18]]&lt;&gt;"",IF(ISNUMBER(FIND(",",Tabela1[[#This Row],[18]])),LEN(Tabela1[[#This Row],[18]])-LEN(SUBSTITUTE(Tabela1[[#This Row],[18]],",",""))+1,1),"")</f>
        <v/>
      </c>
      <c r="AR666" s="13" t="str">
        <f>IF(Tabela1[[#This Row],[19_LENGTH]]&lt;&gt;"",IF(ISNUMBER(FIND(",",Tabela1[[#This Row],[19_LENGTH]])),LEN(Tabela1[[#This Row],[19_LENGTH]])-LEN(SUBSTITUTE(Tabela1[[#This Row],[19_LENGTH]],",",""))+1,1),"")</f>
        <v/>
      </c>
      <c r="AS666" s="21">
        <f>SUM(Tabela1[[#This Row],[1_]:[19_]])</f>
        <v>1</v>
      </c>
    </row>
    <row r="667" spans="1:45" x14ac:dyDescent="0.25">
      <c r="A667" s="27" t="s">
        <v>1331</v>
      </c>
      <c r="B667" s="19" t="s">
        <v>652</v>
      </c>
      <c r="C667" s="19">
        <v>94</v>
      </c>
      <c r="D667" s="19" t="s">
        <v>1314</v>
      </c>
      <c r="E667" s="20">
        <v>43550</v>
      </c>
      <c r="F667" s="19"/>
      <c r="G667" s="19"/>
      <c r="H667" s="19">
        <v>13</v>
      </c>
      <c r="I667" s="19"/>
      <c r="J667" s="19"/>
      <c r="K667" s="19"/>
      <c r="L667" s="19"/>
      <c r="M667" s="19"/>
      <c r="N667" s="19"/>
      <c r="O667" s="19"/>
      <c r="P667" s="19"/>
      <c r="Q667" s="19"/>
      <c r="R667" s="19"/>
      <c r="S667" s="19"/>
      <c r="T667" s="19"/>
      <c r="U667" s="19"/>
      <c r="V667" s="19"/>
      <c r="W667" s="19"/>
      <c r="X667" s="19"/>
      <c r="Y667" s="19"/>
      <c r="Z667" t="str">
        <f>IF(Tabela1[[#This Row],[1]]&lt;&gt;"",IF(ISNUMBER(FIND(",",Tabela1[[#This Row],[1]])),LEN(Tabela1[[#This Row],[1]])-LEN(SUBSTITUTE(Tabela1[[#This Row],[1]],",",""))+1,1),"")</f>
        <v/>
      </c>
      <c r="AA667" t="str">
        <f>IF(Tabela1[[#This Row],[2]]&lt;&gt;"",IF(ISNUMBER(FIND(",",Tabela1[[#This Row],[2]])),LEN(Tabela1[[#This Row],[2]])-LEN(SUBSTITUTE(Tabela1[[#This Row],[2]],",",""))+1,1),"")</f>
        <v/>
      </c>
      <c r="AB667">
        <f>IF(Tabela1[[#This Row],[3]]&lt;&gt;"",IF(ISNUMBER(FIND(",",Tabela1[[#This Row],[3]])),LEN(Tabela1[[#This Row],[3]])-LEN(SUBSTITUTE(Tabela1[[#This Row],[3]],",",""))+1,1),"")</f>
        <v>1</v>
      </c>
      <c r="AC667" t="str">
        <f>IF(Tabela1[[#This Row],[4]]&lt;&gt;"",IF(ISNUMBER(FIND(",",Tabela1[[#This Row],[4]])),LEN(Tabela1[[#This Row],[4]])-LEN(SUBSTITUTE(Tabela1[[#This Row],[4]],",",""))+1,1),"")</f>
        <v/>
      </c>
      <c r="AD667" t="str">
        <f>IF(Tabela1[[#This Row],[5]]&lt;&gt;"",IF(ISNUMBER(FIND(",",Tabela1[[#This Row],[5]])),LEN(Tabela1[[#This Row],[5]])-LEN(SUBSTITUTE(Tabela1[[#This Row],[5]],",",""))+1,1),"")</f>
        <v/>
      </c>
      <c r="AE667" t="str">
        <f>IF(Tabela1[[#This Row],[6]]&lt;&gt;"",IF(ISNUMBER(FIND(",",Tabela1[[#This Row],[6]])),LEN(Tabela1[[#This Row],[6]])-LEN(SUBSTITUTE(Tabela1[[#This Row],[6]],",",""))+1,1),"")</f>
        <v/>
      </c>
      <c r="AF667" t="str">
        <f>IF(Tabela1[[#This Row],[7]]&lt;&gt;"",IF(ISNUMBER(FIND(",",Tabela1[[#This Row],[7]])),LEN(Tabela1[[#This Row],[7]])-LEN(SUBSTITUTE(Tabela1[[#This Row],[7]],",",""))+1,1),"")</f>
        <v/>
      </c>
      <c r="AG667" t="str">
        <f>IF(Tabela1[[#This Row],[8]]&lt;&gt;"",IF(ISNUMBER(FIND(",",Tabela1[[#This Row],[8]])),LEN(Tabela1[[#This Row],[8]])-LEN(SUBSTITUTE(Tabela1[[#This Row],[8]],",",""))+1,1),"")</f>
        <v/>
      </c>
      <c r="AH667" t="str">
        <f>IF(Tabela1[[#This Row],[9]]&lt;&gt;"",IF(ISNUMBER(FIND(",",Tabela1[[#This Row],[9]])),LEN(Tabela1[[#This Row],[9]])-LEN(SUBSTITUTE(Tabela1[[#This Row],[9]],",",""))+1,1),"")</f>
        <v/>
      </c>
      <c r="AI667" t="str">
        <f>IF(Tabela1[[#This Row],[10]]&lt;&gt;"",IF(ISNUMBER(FIND(",",Tabela1[[#This Row],[10]])),LEN(Tabela1[[#This Row],[10]])-LEN(SUBSTITUTE(Tabela1[[#This Row],[10]],",",""))+1,1),"")</f>
        <v/>
      </c>
      <c r="AJ667" t="str">
        <f>IF(Tabela1[[#This Row],[11]]&lt;&gt;"",IF(ISNUMBER(FIND(",",Tabela1[[#This Row],[11]])),LEN(Tabela1[[#This Row],[11]])-LEN(SUBSTITUTE(Tabela1[[#This Row],[11]],",",""))+1,1),"")</f>
        <v/>
      </c>
      <c r="AK667" t="str">
        <f>IF(Tabela1[[#This Row],[12]]&lt;&gt;"",IF(ISNUMBER(FIND(",",Tabela1[[#This Row],[12]])),LEN(Tabela1[[#This Row],[12]])-LEN(SUBSTITUTE(Tabela1[[#This Row],[12]],",",""))+1,1),"")</f>
        <v/>
      </c>
      <c r="AL667" t="str">
        <f>IF(Tabela1[[#This Row],[13]]&lt;&gt;"",IF(ISNUMBER(FIND(",",Tabela1[[#This Row],[13]])),LEN(Tabela1[[#This Row],[13]])-LEN(SUBSTITUTE(Tabela1[[#This Row],[13]],",",""))+1,1),"")</f>
        <v/>
      </c>
      <c r="AM667" t="str">
        <f>IF(Tabela1[[#This Row],[14]]&lt;&gt;"",IF(ISNUMBER(FIND(",",Tabela1[[#This Row],[14]])),LEN(Tabela1[[#This Row],[14]])-LEN(SUBSTITUTE(Tabela1[[#This Row],[14]],",",""))+1,1),"")</f>
        <v/>
      </c>
      <c r="AN667" t="str">
        <f>IF(Tabela1[[#This Row],[15]]&lt;&gt;"",IF(ISNUMBER(FIND(",",Tabela1[[#This Row],[15]])),LEN(Tabela1[[#This Row],[15]])-LEN(SUBSTITUTE(Tabela1[[#This Row],[15]],",",""))+1,1),"")</f>
        <v/>
      </c>
      <c r="AO667" t="str">
        <f>IF(Tabela1[[#This Row],[16]]&lt;&gt;"",IF(ISNUMBER(FIND(",",Tabela1[[#This Row],[16]])),LEN(Tabela1[[#This Row],[16]])-LEN(SUBSTITUTE(Tabela1[[#This Row],[16]],",",""))+1,1),"")</f>
        <v/>
      </c>
      <c r="AP667" t="str">
        <f>IF(Tabela1[[#This Row],[17]]&lt;&gt;"",IF(ISNUMBER(FIND(",",Tabela1[[#This Row],[17]])),LEN(Tabela1[[#This Row],[17]])-LEN(SUBSTITUTE(Tabela1[[#This Row],[17]],",",""))+1,1),"")</f>
        <v/>
      </c>
      <c r="AQ667" t="str">
        <f>IF(Tabela1[[#This Row],[18]]&lt;&gt;"",IF(ISNUMBER(FIND(",",Tabela1[[#This Row],[18]])),LEN(Tabela1[[#This Row],[18]])-LEN(SUBSTITUTE(Tabela1[[#This Row],[18]],",",""))+1,1),"")</f>
        <v/>
      </c>
      <c r="AR667" s="13" t="str">
        <f>IF(Tabela1[[#This Row],[19_LENGTH]]&lt;&gt;"",IF(ISNUMBER(FIND(",",Tabela1[[#This Row],[19_LENGTH]])),LEN(Tabela1[[#This Row],[19_LENGTH]])-LEN(SUBSTITUTE(Tabela1[[#This Row],[19_LENGTH]],",",""))+1,1),"")</f>
        <v/>
      </c>
      <c r="AS667" s="21">
        <f>SUM(Tabela1[[#This Row],[1_]:[19_]])</f>
        <v>1</v>
      </c>
    </row>
    <row r="668" spans="1:45" x14ac:dyDescent="0.25">
      <c r="A668" s="27" t="s">
        <v>1331</v>
      </c>
      <c r="B668" s="19" t="s">
        <v>653</v>
      </c>
      <c r="C668" s="19">
        <v>102</v>
      </c>
      <c r="D668" s="19" t="s">
        <v>1314</v>
      </c>
      <c r="E668" s="20">
        <v>43550</v>
      </c>
      <c r="F668" s="19"/>
      <c r="G668" s="19"/>
      <c r="H668" s="19" t="s">
        <v>258</v>
      </c>
      <c r="I668" s="19"/>
      <c r="J668" s="19"/>
      <c r="K668" s="19"/>
      <c r="L668" s="19"/>
      <c r="M668" s="19"/>
      <c r="N668" s="19"/>
      <c r="O668" s="19"/>
      <c r="P668" s="19"/>
      <c r="Q668" s="19"/>
      <c r="R668" s="19"/>
      <c r="S668" s="19"/>
      <c r="T668" s="19"/>
      <c r="U668" s="19">
        <v>57</v>
      </c>
      <c r="V668" s="19"/>
      <c r="W668" s="19"/>
      <c r="X668" s="19"/>
      <c r="Y668" s="19"/>
      <c r="Z668" t="str">
        <f>IF(Tabela1[[#This Row],[1]]&lt;&gt;"",IF(ISNUMBER(FIND(",",Tabela1[[#This Row],[1]])),LEN(Tabela1[[#This Row],[1]])-LEN(SUBSTITUTE(Tabela1[[#This Row],[1]],",",""))+1,1),"")</f>
        <v/>
      </c>
      <c r="AA668" t="str">
        <f>IF(Tabela1[[#This Row],[2]]&lt;&gt;"",IF(ISNUMBER(FIND(",",Tabela1[[#This Row],[2]])),LEN(Tabela1[[#This Row],[2]])-LEN(SUBSTITUTE(Tabela1[[#This Row],[2]],",",""))+1,1),"")</f>
        <v/>
      </c>
      <c r="AB668">
        <f>IF(Tabela1[[#This Row],[3]]&lt;&gt;"",IF(ISNUMBER(FIND(",",Tabela1[[#This Row],[3]])),LEN(Tabela1[[#This Row],[3]])-LEN(SUBSTITUTE(Tabela1[[#This Row],[3]],",",""))+1,1),"")</f>
        <v>4</v>
      </c>
      <c r="AC668" t="str">
        <f>IF(Tabela1[[#This Row],[4]]&lt;&gt;"",IF(ISNUMBER(FIND(",",Tabela1[[#This Row],[4]])),LEN(Tabela1[[#This Row],[4]])-LEN(SUBSTITUTE(Tabela1[[#This Row],[4]],",",""))+1,1),"")</f>
        <v/>
      </c>
      <c r="AD668" t="str">
        <f>IF(Tabela1[[#This Row],[5]]&lt;&gt;"",IF(ISNUMBER(FIND(",",Tabela1[[#This Row],[5]])),LEN(Tabela1[[#This Row],[5]])-LEN(SUBSTITUTE(Tabela1[[#This Row],[5]],",",""))+1,1),"")</f>
        <v/>
      </c>
      <c r="AE668" t="str">
        <f>IF(Tabela1[[#This Row],[6]]&lt;&gt;"",IF(ISNUMBER(FIND(",",Tabela1[[#This Row],[6]])),LEN(Tabela1[[#This Row],[6]])-LEN(SUBSTITUTE(Tabela1[[#This Row],[6]],",",""))+1,1),"")</f>
        <v/>
      </c>
      <c r="AF668" t="str">
        <f>IF(Tabela1[[#This Row],[7]]&lt;&gt;"",IF(ISNUMBER(FIND(",",Tabela1[[#This Row],[7]])),LEN(Tabela1[[#This Row],[7]])-LEN(SUBSTITUTE(Tabela1[[#This Row],[7]],",",""))+1,1),"")</f>
        <v/>
      </c>
      <c r="AG668" t="str">
        <f>IF(Tabela1[[#This Row],[8]]&lt;&gt;"",IF(ISNUMBER(FIND(",",Tabela1[[#This Row],[8]])),LEN(Tabela1[[#This Row],[8]])-LEN(SUBSTITUTE(Tabela1[[#This Row],[8]],",",""))+1,1),"")</f>
        <v/>
      </c>
      <c r="AH668" t="str">
        <f>IF(Tabela1[[#This Row],[9]]&lt;&gt;"",IF(ISNUMBER(FIND(",",Tabela1[[#This Row],[9]])),LEN(Tabela1[[#This Row],[9]])-LEN(SUBSTITUTE(Tabela1[[#This Row],[9]],",",""))+1,1),"")</f>
        <v/>
      </c>
      <c r="AI668" t="str">
        <f>IF(Tabela1[[#This Row],[10]]&lt;&gt;"",IF(ISNUMBER(FIND(",",Tabela1[[#This Row],[10]])),LEN(Tabela1[[#This Row],[10]])-LEN(SUBSTITUTE(Tabela1[[#This Row],[10]],",",""))+1,1),"")</f>
        <v/>
      </c>
      <c r="AJ668" t="str">
        <f>IF(Tabela1[[#This Row],[11]]&lt;&gt;"",IF(ISNUMBER(FIND(",",Tabela1[[#This Row],[11]])),LEN(Tabela1[[#This Row],[11]])-LEN(SUBSTITUTE(Tabela1[[#This Row],[11]],",",""))+1,1),"")</f>
        <v/>
      </c>
      <c r="AK668" t="str">
        <f>IF(Tabela1[[#This Row],[12]]&lt;&gt;"",IF(ISNUMBER(FIND(",",Tabela1[[#This Row],[12]])),LEN(Tabela1[[#This Row],[12]])-LEN(SUBSTITUTE(Tabela1[[#This Row],[12]],",",""))+1,1),"")</f>
        <v/>
      </c>
      <c r="AL668" t="str">
        <f>IF(Tabela1[[#This Row],[13]]&lt;&gt;"",IF(ISNUMBER(FIND(",",Tabela1[[#This Row],[13]])),LEN(Tabela1[[#This Row],[13]])-LEN(SUBSTITUTE(Tabela1[[#This Row],[13]],",",""))+1,1),"")</f>
        <v/>
      </c>
      <c r="AM668" t="str">
        <f>IF(Tabela1[[#This Row],[14]]&lt;&gt;"",IF(ISNUMBER(FIND(",",Tabela1[[#This Row],[14]])),LEN(Tabela1[[#This Row],[14]])-LEN(SUBSTITUTE(Tabela1[[#This Row],[14]],",",""))+1,1),"")</f>
        <v/>
      </c>
      <c r="AN668" t="str">
        <f>IF(Tabela1[[#This Row],[15]]&lt;&gt;"",IF(ISNUMBER(FIND(",",Tabela1[[#This Row],[15]])),LEN(Tabela1[[#This Row],[15]])-LEN(SUBSTITUTE(Tabela1[[#This Row],[15]],",",""))+1,1),"")</f>
        <v/>
      </c>
      <c r="AO668">
        <f>IF(Tabela1[[#This Row],[16]]&lt;&gt;"",IF(ISNUMBER(FIND(",",Tabela1[[#This Row],[16]])),LEN(Tabela1[[#This Row],[16]])-LEN(SUBSTITUTE(Tabela1[[#This Row],[16]],",",""))+1,1),"")</f>
        <v>1</v>
      </c>
      <c r="AP668" t="str">
        <f>IF(Tabela1[[#This Row],[17]]&lt;&gt;"",IF(ISNUMBER(FIND(",",Tabela1[[#This Row],[17]])),LEN(Tabela1[[#This Row],[17]])-LEN(SUBSTITUTE(Tabela1[[#This Row],[17]],",",""))+1,1),"")</f>
        <v/>
      </c>
      <c r="AQ668" t="str">
        <f>IF(Tabela1[[#This Row],[18]]&lt;&gt;"",IF(ISNUMBER(FIND(",",Tabela1[[#This Row],[18]])),LEN(Tabela1[[#This Row],[18]])-LEN(SUBSTITUTE(Tabela1[[#This Row],[18]],",",""))+1,1),"")</f>
        <v/>
      </c>
      <c r="AR668" s="13" t="str">
        <f>IF(Tabela1[[#This Row],[19_LENGTH]]&lt;&gt;"",IF(ISNUMBER(FIND(",",Tabela1[[#This Row],[19_LENGTH]])),LEN(Tabela1[[#This Row],[19_LENGTH]])-LEN(SUBSTITUTE(Tabela1[[#This Row],[19_LENGTH]],",",""))+1,1),"")</f>
        <v/>
      </c>
      <c r="AS668" s="21">
        <f>SUM(Tabela1[[#This Row],[1_]:[19_]])</f>
        <v>5</v>
      </c>
    </row>
    <row r="669" spans="1:45" x14ac:dyDescent="0.25">
      <c r="A669" s="27" t="s">
        <v>1331</v>
      </c>
      <c r="B669" s="19" t="s">
        <v>654</v>
      </c>
      <c r="C669" s="19">
        <v>102</v>
      </c>
      <c r="D669" s="19" t="s">
        <v>1314</v>
      </c>
      <c r="E669" s="20">
        <v>43550</v>
      </c>
      <c r="F669" s="19"/>
      <c r="G669" s="19"/>
      <c r="H669" s="19"/>
      <c r="I669" s="19"/>
      <c r="J669" s="19"/>
      <c r="K669" s="19"/>
      <c r="L669" s="19"/>
      <c r="M669" s="19"/>
      <c r="N669" s="19"/>
      <c r="O669" s="19"/>
      <c r="P669" s="19"/>
      <c r="Q669" s="19"/>
      <c r="R669" s="19"/>
      <c r="S669" s="19"/>
      <c r="T669" s="19"/>
      <c r="U669" s="19"/>
      <c r="V669" s="19"/>
      <c r="W669" s="19">
        <v>50</v>
      </c>
      <c r="X669" s="19"/>
      <c r="Y669" s="19"/>
      <c r="Z669" t="str">
        <f>IF(Tabela1[[#This Row],[1]]&lt;&gt;"",IF(ISNUMBER(FIND(",",Tabela1[[#This Row],[1]])),LEN(Tabela1[[#This Row],[1]])-LEN(SUBSTITUTE(Tabela1[[#This Row],[1]],",",""))+1,1),"")</f>
        <v/>
      </c>
      <c r="AA669" t="str">
        <f>IF(Tabela1[[#This Row],[2]]&lt;&gt;"",IF(ISNUMBER(FIND(",",Tabela1[[#This Row],[2]])),LEN(Tabela1[[#This Row],[2]])-LEN(SUBSTITUTE(Tabela1[[#This Row],[2]],",",""))+1,1),"")</f>
        <v/>
      </c>
      <c r="AB669" t="str">
        <f>IF(Tabela1[[#This Row],[3]]&lt;&gt;"",IF(ISNUMBER(FIND(",",Tabela1[[#This Row],[3]])),LEN(Tabela1[[#This Row],[3]])-LEN(SUBSTITUTE(Tabela1[[#This Row],[3]],",",""))+1,1),"")</f>
        <v/>
      </c>
      <c r="AC669" t="str">
        <f>IF(Tabela1[[#This Row],[4]]&lt;&gt;"",IF(ISNUMBER(FIND(",",Tabela1[[#This Row],[4]])),LEN(Tabela1[[#This Row],[4]])-LEN(SUBSTITUTE(Tabela1[[#This Row],[4]],",",""))+1,1),"")</f>
        <v/>
      </c>
      <c r="AD669" t="str">
        <f>IF(Tabela1[[#This Row],[5]]&lt;&gt;"",IF(ISNUMBER(FIND(",",Tabela1[[#This Row],[5]])),LEN(Tabela1[[#This Row],[5]])-LEN(SUBSTITUTE(Tabela1[[#This Row],[5]],",",""))+1,1),"")</f>
        <v/>
      </c>
      <c r="AE669" t="str">
        <f>IF(Tabela1[[#This Row],[6]]&lt;&gt;"",IF(ISNUMBER(FIND(",",Tabela1[[#This Row],[6]])),LEN(Tabela1[[#This Row],[6]])-LEN(SUBSTITUTE(Tabela1[[#This Row],[6]],",",""))+1,1),"")</f>
        <v/>
      </c>
      <c r="AF669" t="str">
        <f>IF(Tabela1[[#This Row],[7]]&lt;&gt;"",IF(ISNUMBER(FIND(",",Tabela1[[#This Row],[7]])),LEN(Tabela1[[#This Row],[7]])-LEN(SUBSTITUTE(Tabela1[[#This Row],[7]],",",""))+1,1),"")</f>
        <v/>
      </c>
      <c r="AG669" t="str">
        <f>IF(Tabela1[[#This Row],[8]]&lt;&gt;"",IF(ISNUMBER(FIND(",",Tabela1[[#This Row],[8]])),LEN(Tabela1[[#This Row],[8]])-LEN(SUBSTITUTE(Tabela1[[#This Row],[8]],",",""))+1,1),"")</f>
        <v/>
      </c>
      <c r="AH669" t="str">
        <f>IF(Tabela1[[#This Row],[9]]&lt;&gt;"",IF(ISNUMBER(FIND(",",Tabela1[[#This Row],[9]])),LEN(Tabela1[[#This Row],[9]])-LEN(SUBSTITUTE(Tabela1[[#This Row],[9]],",",""))+1,1),"")</f>
        <v/>
      </c>
      <c r="AI669" t="str">
        <f>IF(Tabela1[[#This Row],[10]]&lt;&gt;"",IF(ISNUMBER(FIND(",",Tabela1[[#This Row],[10]])),LEN(Tabela1[[#This Row],[10]])-LEN(SUBSTITUTE(Tabela1[[#This Row],[10]],",",""))+1,1),"")</f>
        <v/>
      </c>
      <c r="AJ669" t="str">
        <f>IF(Tabela1[[#This Row],[11]]&lt;&gt;"",IF(ISNUMBER(FIND(",",Tabela1[[#This Row],[11]])),LEN(Tabela1[[#This Row],[11]])-LEN(SUBSTITUTE(Tabela1[[#This Row],[11]],",",""))+1,1),"")</f>
        <v/>
      </c>
      <c r="AK669" t="str">
        <f>IF(Tabela1[[#This Row],[12]]&lt;&gt;"",IF(ISNUMBER(FIND(",",Tabela1[[#This Row],[12]])),LEN(Tabela1[[#This Row],[12]])-LEN(SUBSTITUTE(Tabela1[[#This Row],[12]],",",""))+1,1),"")</f>
        <v/>
      </c>
      <c r="AL669" t="str">
        <f>IF(Tabela1[[#This Row],[13]]&lt;&gt;"",IF(ISNUMBER(FIND(",",Tabela1[[#This Row],[13]])),LEN(Tabela1[[#This Row],[13]])-LEN(SUBSTITUTE(Tabela1[[#This Row],[13]],",",""))+1,1),"")</f>
        <v/>
      </c>
      <c r="AM669" t="str">
        <f>IF(Tabela1[[#This Row],[14]]&lt;&gt;"",IF(ISNUMBER(FIND(",",Tabela1[[#This Row],[14]])),LEN(Tabela1[[#This Row],[14]])-LEN(SUBSTITUTE(Tabela1[[#This Row],[14]],",",""))+1,1),"")</f>
        <v/>
      </c>
      <c r="AN669" t="str">
        <f>IF(Tabela1[[#This Row],[15]]&lt;&gt;"",IF(ISNUMBER(FIND(",",Tabela1[[#This Row],[15]])),LEN(Tabela1[[#This Row],[15]])-LEN(SUBSTITUTE(Tabela1[[#This Row],[15]],",",""))+1,1),"")</f>
        <v/>
      </c>
      <c r="AO669" t="str">
        <f>IF(Tabela1[[#This Row],[16]]&lt;&gt;"",IF(ISNUMBER(FIND(",",Tabela1[[#This Row],[16]])),LEN(Tabela1[[#This Row],[16]])-LEN(SUBSTITUTE(Tabela1[[#This Row],[16]],",",""))+1,1),"")</f>
        <v/>
      </c>
      <c r="AP669" t="str">
        <f>IF(Tabela1[[#This Row],[17]]&lt;&gt;"",IF(ISNUMBER(FIND(",",Tabela1[[#This Row],[17]])),LEN(Tabela1[[#This Row],[17]])-LEN(SUBSTITUTE(Tabela1[[#This Row],[17]],",",""))+1,1),"")</f>
        <v/>
      </c>
      <c r="AQ669">
        <f>IF(Tabela1[[#This Row],[18]]&lt;&gt;"",IF(ISNUMBER(FIND(",",Tabela1[[#This Row],[18]])),LEN(Tabela1[[#This Row],[18]])-LEN(SUBSTITUTE(Tabela1[[#This Row],[18]],",",""))+1,1),"")</f>
        <v>1</v>
      </c>
      <c r="AR669" s="13" t="str">
        <f>IF(Tabela1[[#This Row],[19_LENGTH]]&lt;&gt;"",IF(ISNUMBER(FIND(",",Tabela1[[#This Row],[19_LENGTH]])),LEN(Tabela1[[#This Row],[19_LENGTH]])-LEN(SUBSTITUTE(Tabela1[[#This Row],[19_LENGTH]],",",""))+1,1),"")</f>
        <v/>
      </c>
      <c r="AS669" s="21">
        <f>SUM(Tabela1[[#This Row],[1_]:[19_]])</f>
        <v>1</v>
      </c>
    </row>
    <row r="670" spans="1:45" x14ac:dyDescent="0.25">
      <c r="A670" s="27" t="s">
        <v>1331</v>
      </c>
      <c r="B670" s="19" t="s">
        <v>655</v>
      </c>
      <c r="C670" s="19">
        <v>102</v>
      </c>
      <c r="D670" s="19" t="s">
        <v>1314</v>
      </c>
      <c r="E670" s="20">
        <v>43550</v>
      </c>
      <c r="F670" s="19"/>
      <c r="G670" s="19"/>
      <c r="H670" s="19">
        <v>19</v>
      </c>
      <c r="I670" s="19"/>
      <c r="J670" s="19"/>
      <c r="K670" s="19"/>
      <c r="L670" s="19"/>
      <c r="M670" s="19"/>
      <c r="N670" s="19"/>
      <c r="O670" s="19"/>
      <c r="P670" s="19"/>
      <c r="Q670" s="19"/>
      <c r="R670" s="19"/>
      <c r="S670" s="19"/>
      <c r="T670" s="19"/>
      <c r="U670" s="19"/>
      <c r="V670" s="19"/>
      <c r="W670" s="19"/>
      <c r="X670" s="19"/>
      <c r="Y670" s="19"/>
      <c r="Z670" t="str">
        <f>IF(Tabela1[[#This Row],[1]]&lt;&gt;"",IF(ISNUMBER(FIND(",",Tabela1[[#This Row],[1]])),LEN(Tabela1[[#This Row],[1]])-LEN(SUBSTITUTE(Tabela1[[#This Row],[1]],",",""))+1,1),"")</f>
        <v/>
      </c>
      <c r="AA670" t="str">
        <f>IF(Tabela1[[#This Row],[2]]&lt;&gt;"",IF(ISNUMBER(FIND(",",Tabela1[[#This Row],[2]])),LEN(Tabela1[[#This Row],[2]])-LEN(SUBSTITUTE(Tabela1[[#This Row],[2]],",",""))+1,1),"")</f>
        <v/>
      </c>
      <c r="AB670">
        <f>IF(Tabela1[[#This Row],[3]]&lt;&gt;"",IF(ISNUMBER(FIND(",",Tabela1[[#This Row],[3]])),LEN(Tabela1[[#This Row],[3]])-LEN(SUBSTITUTE(Tabela1[[#This Row],[3]],",",""))+1,1),"")</f>
        <v>1</v>
      </c>
      <c r="AC670" t="str">
        <f>IF(Tabela1[[#This Row],[4]]&lt;&gt;"",IF(ISNUMBER(FIND(",",Tabela1[[#This Row],[4]])),LEN(Tabela1[[#This Row],[4]])-LEN(SUBSTITUTE(Tabela1[[#This Row],[4]],",",""))+1,1),"")</f>
        <v/>
      </c>
      <c r="AD670" t="str">
        <f>IF(Tabela1[[#This Row],[5]]&lt;&gt;"",IF(ISNUMBER(FIND(",",Tabela1[[#This Row],[5]])),LEN(Tabela1[[#This Row],[5]])-LEN(SUBSTITUTE(Tabela1[[#This Row],[5]],",",""))+1,1),"")</f>
        <v/>
      </c>
      <c r="AE670" t="str">
        <f>IF(Tabela1[[#This Row],[6]]&lt;&gt;"",IF(ISNUMBER(FIND(",",Tabela1[[#This Row],[6]])),LEN(Tabela1[[#This Row],[6]])-LEN(SUBSTITUTE(Tabela1[[#This Row],[6]],",",""))+1,1),"")</f>
        <v/>
      </c>
      <c r="AF670" t="str">
        <f>IF(Tabela1[[#This Row],[7]]&lt;&gt;"",IF(ISNUMBER(FIND(",",Tabela1[[#This Row],[7]])),LEN(Tabela1[[#This Row],[7]])-LEN(SUBSTITUTE(Tabela1[[#This Row],[7]],",",""))+1,1),"")</f>
        <v/>
      </c>
      <c r="AG670" t="str">
        <f>IF(Tabela1[[#This Row],[8]]&lt;&gt;"",IF(ISNUMBER(FIND(",",Tabela1[[#This Row],[8]])),LEN(Tabela1[[#This Row],[8]])-LEN(SUBSTITUTE(Tabela1[[#This Row],[8]],",",""))+1,1),"")</f>
        <v/>
      </c>
      <c r="AH670" t="str">
        <f>IF(Tabela1[[#This Row],[9]]&lt;&gt;"",IF(ISNUMBER(FIND(",",Tabela1[[#This Row],[9]])),LEN(Tabela1[[#This Row],[9]])-LEN(SUBSTITUTE(Tabela1[[#This Row],[9]],",",""))+1,1),"")</f>
        <v/>
      </c>
      <c r="AI670" t="str">
        <f>IF(Tabela1[[#This Row],[10]]&lt;&gt;"",IF(ISNUMBER(FIND(",",Tabela1[[#This Row],[10]])),LEN(Tabela1[[#This Row],[10]])-LEN(SUBSTITUTE(Tabela1[[#This Row],[10]],",",""))+1,1),"")</f>
        <v/>
      </c>
      <c r="AJ670" t="str">
        <f>IF(Tabela1[[#This Row],[11]]&lt;&gt;"",IF(ISNUMBER(FIND(",",Tabela1[[#This Row],[11]])),LEN(Tabela1[[#This Row],[11]])-LEN(SUBSTITUTE(Tabela1[[#This Row],[11]],",",""))+1,1),"")</f>
        <v/>
      </c>
      <c r="AK670" t="str">
        <f>IF(Tabela1[[#This Row],[12]]&lt;&gt;"",IF(ISNUMBER(FIND(",",Tabela1[[#This Row],[12]])),LEN(Tabela1[[#This Row],[12]])-LEN(SUBSTITUTE(Tabela1[[#This Row],[12]],",",""))+1,1),"")</f>
        <v/>
      </c>
      <c r="AL670" t="str">
        <f>IF(Tabela1[[#This Row],[13]]&lt;&gt;"",IF(ISNUMBER(FIND(",",Tabela1[[#This Row],[13]])),LEN(Tabela1[[#This Row],[13]])-LEN(SUBSTITUTE(Tabela1[[#This Row],[13]],",",""))+1,1),"")</f>
        <v/>
      </c>
      <c r="AM670" t="str">
        <f>IF(Tabela1[[#This Row],[14]]&lt;&gt;"",IF(ISNUMBER(FIND(",",Tabela1[[#This Row],[14]])),LEN(Tabela1[[#This Row],[14]])-LEN(SUBSTITUTE(Tabela1[[#This Row],[14]],",",""))+1,1),"")</f>
        <v/>
      </c>
      <c r="AN670" t="str">
        <f>IF(Tabela1[[#This Row],[15]]&lt;&gt;"",IF(ISNUMBER(FIND(",",Tabela1[[#This Row],[15]])),LEN(Tabela1[[#This Row],[15]])-LEN(SUBSTITUTE(Tabela1[[#This Row],[15]],",",""))+1,1),"")</f>
        <v/>
      </c>
      <c r="AO670" t="str">
        <f>IF(Tabela1[[#This Row],[16]]&lt;&gt;"",IF(ISNUMBER(FIND(",",Tabela1[[#This Row],[16]])),LEN(Tabela1[[#This Row],[16]])-LEN(SUBSTITUTE(Tabela1[[#This Row],[16]],",",""))+1,1),"")</f>
        <v/>
      </c>
      <c r="AP670" t="str">
        <f>IF(Tabela1[[#This Row],[17]]&lt;&gt;"",IF(ISNUMBER(FIND(",",Tabela1[[#This Row],[17]])),LEN(Tabela1[[#This Row],[17]])-LEN(SUBSTITUTE(Tabela1[[#This Row],[17]],",",""))+1,1),"")</f>
        <v/>
      </c>
      <c r="AQ670" t="str">
        <f>IF(Tabela1[[#This Row],[18]]&lt;&gt;"",IF(ISNUMBER(FIND(",",Tabela1[[#This Row],[18]])),LEN(Tabela1[[#This Row],[18]])-LEN(SUBSTITUTE(Tabela1[[#This Row],[18]],",",""))+1,1),"")</f>
        <v/>
      </c>
      <c r="AR670" s="13" t="str">
        <f>IF(Tabela1[[#This Row],[19_LENGTH]]&lt;&gt;"",IF(ISNUMBER(FIND(",",Tabela1[[#This Row],[19_LENGTH]])),LEN(Tabela1[[#This Row],[19_LENGTH]])-LEN(SUBSTITUTE(Tabela1[[#This Row],[19_LENGTH]],",",""))+1,1),"")</f>
        <v/>
      </c>
      <c r="AS670" s="21">
        <f>SUM(Tabela1[[#This Row],[1_]:[19_]])</f>
        <v>1</v>
      </c>
    </row>
    <row r="671" spans="1:45" x14ac:dyDescent="0.25">
      <c r="A671" s="27" t="s">
        <v>1331</v>
      </c>
      <c r="B671" s="19" t="s">
        <v>656</v>
      </c>
      <c r="C671" s="19">
        <v>102</v>
      </c>
      <c r="D671" s="19" t="s">
        <v>1314</v>
      </c>
      <c r="E671" s="20">
        <v>43550</v>
      </c>
      <c r="F671" s="19"/>
      <c r="G671" s="19"/>
      <c r="H671" s="19" t="s">
        <v>259</v>
      </c>
      <c r="I671" s="19"/>
      <c r="J671" s="19"/>
      <c r="K671" s="19"/>
      <c r="L671" s="19"/>
      <c r="M671" s="19"/>
      <c r="N671" s="19"/>
      <c r="O671" s="19"/>
      <c r="P671" s="19"/>
      <c r="Q671" s="19"/>
      <c r="R671" s="19"/>
      <c r="S671" s="19"/>
      <c r="T671" s="19"/>
      <c r="U671" s="19"/>
      <c r="V671" s="19"/>
      <c r="W671" s="19"/>
      <c r="X671" s="19"/>
      <c r="Y671" s="19"/>
      <c r="Z671" t="str">
        <f>IF(Tabela1[[#This Row],[1]]&lt;&gt;"",IF(ISNUMBER(FIND(",",Tabela1[[#This Row],[1]])),LEN(Tabela1[[#This Row],[1]])-LEN(SUBSTITUTE(Tabela1[[#This Row],[1]],",",""))+1,1),"")</f>
        <v/>
      </c>
      <c r="AA671" t="str">
        <f>IF(Tabela1[[#This Row],[2]]&lt;&gt;"",IF(ISNUMBER(FIND(",",Tabela1[[#This Row],[2]])),LEN(Tabela1[[#This Row],[2]])-LEN(SUBSTITUTE(Tabela1[[#This Row],[2]],",",""))+1,1),"")</f>
        <v/>
      </c>
      <c r="AB671">
        <f>IF(Tabela1[[#This Row],[3]]&lt;&gt;"",IF(ISNUMBER(FIND(",",Tabela1[[#This Row],[3]])),LEN(Tabela1[[#This Row],[3]])-LEN(SUBSTITUTE(Tabela1[[#This Row],[3]],",",""))+1,1),"")</f>
        <v>2</v>
      </c>
      <c r="AC671" t="str">
        <f>IF(Tabela1[[#This Row],[4]]&lt;&gt;"",IF(ISNUMBER(FIND(",",Tabela1[[#This Row],[4]])),LEN(Tabela1[[#This Row],[4]])-LEN(SUBSTITUTE(Tabela1[[#This Row],[4]],",",""))+1,1),"")</f>
        <v/>
      </c>
      <c r="AD671" t="str">
        <f>IF(Tabela1[[#This Row],[5]]&lt;&gt;"",IF(ISNUMBER(FIND(",",Tabela1[[#This Row],[5]])),LEN(Tabela1[[#This Row],[5]])-LEN(SUBSTITUTE(Tabela1[[#This Row],[5]],",",""))+1,1),"")</f>
        <v/>
      </c>
      <c r="AE671" t="str">
        <f>IF(Tabela1[[#This Row],[6]]&lt;&gt;"",IF(ISNUMBER(FIND(",",Tabela1[[#This Row],[6]])),LEN(Tabela1[[#This Row],[6]])-LEN(SUBSTITUTE(Tabela1[[#This Row],[6]],",",""))+1,1),"")</f>
        <v/>
      </c>
      <c r="AF671" t="str">
        <f>IF(Tabela1[[#This Row],[7]]&lt;&gt;"",IF(ISNUMBER(FIND(",",Tabela1[[#This Row],[7]])),LEN(Tabela1[[#This Row],[7]])-LEN(SUBSTITUTE(Tabela1[[#This Row],[7]],",",""))+1,1),"")</f>
        <v/>
      </c>
      <c r="AG671" t="str">
        <f>IF(Tabela1[[#This Row],[8]]&lt;&gt;"",IF(ISNUMBER(FIND(",",Tabela1[[#This Row],[8]])),LEN(Tabela1[[#This Row],[8]])-LEN(SUBSTITUTE(Tabela1[[#This Row],[8]],",",""))+1,1),"")</f>
        <v/>
      </c>
      <c r="AH671" t="str">
        <f>IF(Tabela1[[#This Row],[9]]&lt;&gt;"",IF(ISNUMBER(FIND(",",Tabela1[[#This Row],[9]])),LEN(Tabela1[[#This Row],[9]])-LEN(SUBSTITUTE(Tabela1[[#This Row],[9]],",",""))+1,1),"")</f>
        <v/>
      </c>
      <c r="AI671" t="str">
        <f>IF(Tabela1[[#This Row],[10]]&lt;&gt;"",IF(ISNUMBER(FIND(",",Tabela1[[#This Row],[10]])),LEN(Tabela1[[#This Row],[10]])-LEN(SUBSTITUTE(Tabela1[[#This Row],[10]],",",""))+1,1),"")</f>
        <v/>
      </c>
      <c r="AJ671" t="str">
        <f>IF(Tabela1[[#This Row],[11]]&lt;&gt;"",IF(ISNUMBER(FIND(",",Tabela1[[#This Row],[11]])),LEN(Tabela1[[#This Row],[11]])-LEN(SUBSTITUTE(Tabela1[[#This Row],[11]],",",""))+1,1),"")</f>
        <v/>
      </c>
      <c r="AK671" t="str">
        <f>IF(Tabela1[[#This Row],[12]]&lt;&gt;"",IF(ISNUMBER(FIND(",",Tabela1[[#This Row],[12]])),LEN(Tabela1[[#This Row],[12]])-LEN(SUBSTITUTE(Tabela1[[#This Row],[12]],",",""))+1,1),"")</f>
        <v/>
      </c>
      <c r="AL671" t="str">
        <f>IF(Tabela1[[#This Row],[13]]&lt;&gt;"",IF(ISNUMBER(FIND(",",Tabela1[[#This Row],[13]])),LEN(Tabela1[[#This Row],[13]])-LEN(SUBSTITUTE(Tabela1[[#This Row],[13]],",",""))+1,1),"")</f>
        <v/>
      </c>
      <c r="AM671" t="str">
        <f>IF(Tabela1[[#This Row],[14]]&lt;&gt;"",IF(ISNUMBER(FIND(",",Tabela1[[#This Row],[14]])),LEN(Tabela1[[#This Row],[14]])-LEN(SUBSTITUTE(Tabela1[[#This Row],[14]],",",""))+1,1),"")</f>
        <v/>
      </c>
      <c r="AN671" t="str">
        <f>IF(Tabela1[[#This Row],[15]]&lt;&gt;"",IF(ISNUMBER(FIND(",",Tabela1[[#This Row],[15]])),LEN(Tabela1[[#This Row],[15]])-LEN(SUBSTITUTE(Tabela1[[#This Row],[15]],",",""))+1,1),"")</f>
        <v/>
      </c>
      <c r="AO671" t="str">
        <f>IF(Tabela1[[#This Row],[16]]&lt;&gt;"",IF(ISNUMBER(FIND(",",Tabela1[[#This Row],[16]])),LEN(Tabela1[[#This Row],[16]])-LEN(SUBSTITUTE(Tabela1[[#This Row],[16]],",",""))+1,1),"")</f>
        <v/>
      </c>
      <c r="AP671" t="str">
        <f>IF(Tabela1[[#This Row],[17]]&lt;&gt;"",IF(ISNUMBER(FIND(",",Tabela1[[#This Row],[17]])),LEN(Tabela1[[#This Row],[17]])-LEN(SUBSTITUTE(Tabela1[[#This Row],[17]],",",""))+1,1),"")</f>
        <v/>
      </c>
      <c r="AQ671" t="str">
        <f>IF(Tabela1[[#This Row],[18]]&lt;&gt;"",IF(ISNUMBER(FIND(",",Tabela1[[#This Row],[18]])),LEN(Tabela1[[#This Row],[18]])-LEN(SUBSTITUTE(Tabela1[[#This Row],[18]],",",""))+1,1),"")</f>
        <v/>
      </c>
      <c r="AR671" s="13" t="str">
        <f>IF(Tabela1[[#This Row],[19_LENGTH]]&lt;&gt;"",IF(ISNUMBER(FIND(",",Tabela1[[#This Row],[19_LENGTH]])),LEN(Tabela1[[#This Row],[19_LENGTH]])-LEN(SUBSTITUTE(Tabela1[[#This Row],[19_LENGTH]],",",""))+1,1),"")</f>
        <v/>
      </c>
      <c r="AS671" s="21">
        <f>SUM(Tabela1[[#This Row],[1_]:[19_]])</f>
        <v>2</v>
      </c>
    </row>
    <row r="672" spans="1:45" x14ac:dyDescent="0.25">
      <c r="A672" s="27" t="s">
        <v>1331</v>
      </c>
      <c r="B672" s="19" t="s">
        <v>657</v>
      </c>
      <c r="C672" s="19">
        <v>102</v>
      </c>
      <c r="D672" s="19" t="s">
        <v>1314</v>
      </c>
      <c r="E672" s="20">
        <v>43550</v>
      </c>
      <c r="F672" s="19"/>
      <c r="G672" s="19"/>
      <c r="H672" s="19">
        <v>6</v>
      </c>
      <c r="I672" s="19"/>
      <c r="J672" s="19"/>
      <c r="K672" s="19"/>
      <c r="L672" s="19"/>
      <c r="M672" s="19"/>
      <c r="N672" s="19"/>
      <c r="O672" s="19"/>
      <c r="P672" s="19"/>
      <c r="Q672" s="19"/>
      <c r="R672" s="19"/>
      <c r="S672" s="19"/>
      <c r="T672" s="19"/>
      <c r="U672" s="19"/>
      <c r="V672" s="19"/>
      <c r="W672" s="19"/>
      <c r="X672" s="19"/>
      <c r="Y672" s="19"/>
      <c r="Z672" t="str">
        <f>IF(Tabela1[[#This Row],[1]]&lt;&gt;"",IF(ISNUMBER(FIND(",",Tabela1[[#This Row],[1]])),LEN(Tabela1[[#This Row],[1]])-LEN(SUBSTITUTE(Tabela1[[#This Row],[1]],",",""))+1,1),"")</f>
        <v/>
      </c>
      <c r="AA672" t="str">
        <f>IF(Tabela1[[#This Row],[2]]&lt;&gt;"",IF(ISNUMBER(FIND(",",Tabela1[[#This Row],[2]])),LEN(Tabela1[[#This Row],[2]])-LEN(SUBSTITUTE(Tabela1[[#This Row],[2]],",",""))+1,1),"")</f>
        <v/>
      </c>
      <c r="AB672">
        <f>IF(Tabela1[[#This Row],[3]]&lt;&gt;"",IF(ISNUMBER(FIND(",",Tabela1[[#This Row],[3]])),LEN(Tabela1[[#This Row],[3]])-LEN(SUBSTITUTE(Tabela1[[#This Row],[3]],",",""))+1,1),"")</f>
        <v>1</v>
      </c>
      <c r="AC672" t="str">
        <f>IF(Tabela1[[#This Row],[4]]&lt;&gt;"",IF(ISNUMBER(FIND(",",Tabela1[[#This Row],[4]])),LEN(Tabela1[[#This Row],[4]])-LEN(SUBSTITUTE(Tabela1[[#This Row],[4]],",",""))+1,1),"")</f>
        <v/>
      </c>
      <c r="AD672" t="str">
        <f>IF(Tabela1[[#This Row],[5]]&lt;&gt;"",IF(ISNUMBER(FIND(",",Tabela1[[#This Row],[5]])),LEN(Tabela1[[#This Row],[5]])-LEN(SUBSTITUTE(Tabela1[[#This Row],[5]],",",""))+1,1),"")</f>
        <v/>
      </c>
      <c r="AE672" t="str">
        <f>IF(Tabela1[[#This Row],[6]]&lt;&gt;"",IF(ISNUMBER(FIND(",",Tabela1[[#This Row],[6]])),LEN(Tabela1[[#This Row],[6]])-LEN(SUBSTITUTE(Tabela1[[#This Row],[6]],",",""))+1,1),"")</f>
        <v/>
      </c>
      <c r="AF672" t="str">
        <f>IF(Tabela1[[#This Row],[7]]&lt;&gt;"",IF(ISNUMBER(FIND(",",Tabela1[[#This Row],[7]])),LEN(Tabela1[[#This Row],[7]])-LEN(SUBSTITUTE(Tabela1[[#This Row],[7]],",",""))+1,1),"")</f>
        <v/>
      </c>
      <c r="AG672" t="str">
        <f>IF(Tabela1[[#This Row],[8]]&lt;&gt;"",IF(ISNUMBER(FIND(",",Tabela1[[#This Row],[8]])),LEN(Tabela1[[#This Row],[8]])-LEN(SUBSTITUTE(Tabela1[[#This Row],[8]],",",""))+1,1),"")</f>
        <v/>
      </c>
      <c r="AH672" t="str">
        <f>IF(Tabela1[[#This Row],[9]]&lt;&gt;"",IF(ISNUMBER(FIND(",",Tabela1[[#This Row],[9]])),LEN(Tabela1[[#This Row],[9]])-LEN(SUBSTITUTE(Tabela1[[#This Row],[9]],",",""))+1,1),"")</f>
        <v/>
      </c>
      <c r="AI672" t="str">
        <f>IF(Tabela1[[#This Row],[10]]&lt;&gt;"",IF(ISNUMBER(FIND(",",Tabela1[[#This Row],[10]])),LEN(Tabela1[[#This Row],[10]])-LEN(SUBSTITUTE(Tabela1[[#This Row],[10]],",",""))+1,1),"")</f>
        <v/>
      </c>
      <c r="AJ672" t="str">
        <f>IF(Tabela1[[#This Row],[11]]&lt;&gt;"",IF(ISNUMBER(FIND(",",Tabela1[[#This Row],[11]])),LEN(Tabela1[[#This Row],[11]])-LEN(SUBSTITUTE(Tabela1[[#This Row],[11]],",",""))+1,1),"")</f>
        <v/>
      </c>
      <c r="AK672" t="str">
        <f>IF(Tabela1[[#This Row],[12]]&lt;&gt;"",IF(ISNUMBER(FIND(",",Tabela1[[#This Row],[12]])),LEN(Tabela1[[#This Row],[12]])-LEN(SUBSTITUTE(Tabela1[[#This Row],[12]],",",""))+1,1),"")</f>
        <v/>
      </c>
      <c r="AL672" t="str">
        <f>IF(Tabela1[[#This Row],[13]]&lt;&gt;"",IF(ISNUMBER(FIND(",",Tabela1[[#This Row],[13]])),LEN(Tabela1[[#This Row],[13]])-LEN(SUBSTITUTE(Tabela1[[#This Row],[13]],",",""))+1,1),"")</f>
        <v/>
      </c>
      <c r="AM672" t="str">
        <f>IF(Tabela1[[#This Row],[14]]&lt;&gt;"",IF(ISNUMBER(FIND(",",Tabela1[[#This Row],[14]])),LEN(Tabela1[[#This Row],[14]])-LEN(SUBSTITUTE(Tabela1[[#This Row],[14]],",",""))+1,1),"")</f>
        <v/>
      </c>
      <c r="AN672" t="str">
        <f>IF(Tabela1[[#This Row],[15]]&lt;&gt;"",IF(ISNUMBER(FIND(",",Tabela1[[#This Row],[15]])),LEN(Tabela1[[#This Row],[15]])-LEN(SUBSTITUTE(Tabela1[[#This Row],[15]],",",""))+1,1),"")</f>
        <v/>
      </c>
      <c r="AO672" t="str">
        <f>IF(Tabela1[[#This Row],[16]]&lt;&gt;"",IF(ISNUMBER(FIND(",",Tabela1[[#This Row],[16]])),LEN(Tabela1[[#This Row],[16]])-LEN(SUBSTITUTE(Tabela1[[#This Row],[16]],",",""))+1,1),"")</f>
        <v/>
      </c>
      <c r="AP672" t="str">
        <f>IF(Tabela1[[#This Row],[17]]&lt;&gt;"",IF(ISNUMBER(FIND(",",Tabela1[[#This Row],[17]])),LEN(Tabela1[[#This Row],[17]])-LEN(SUBSTITUTE(Tabela1[[#This Row],[17]],",",""))+1,1),"")</f>
        <v/>
      </c>
      <c r="AQ672" t="str">
        <f>IF(Tabela1[[#This Row],[18]]&lt;&gt;"",IF(ISNUMBER(FIND(",",Tabela1[[#This Row],[18]])),LEN(Tabela1[[#This Row],[18]])-LEN(SUBSTITUTE(Tabela1[[#This Row],[18]],",",""))+1,1),"")</f>
        <v/>
      </c>
      <c r="AR672" s="13" t="str">
        <f>IF(Tabela1[[#This Row],[19_LENGTH]]&lt;&gt;"",IF(ISNUMBER(FIND(",",Tabela1[[#This Row],[19_LENGTH]])),LEN(Tabela1[[#This Row],[19_LENGTH]])-LEN(SUBSTITUTE(Tabela1[[#This Row],[19_LENGTH]],",",""))+1,1),"")</f>
        <v/>
      </c>
      <c r="AS672" s="21">
        <f>SUM(Tabela1[[#This Row],[1_]:[19_]])</f>
        <v>1</v>
      </c>
    </row>
    <row r="673" spans="1:45" x14ac:dyDescent="0.25">
      <c r="A673" s="27" t="s">
        <v>1331</v>
      </c>
      <c r="B673" s="19" t="s">
        <v>658</v>
      </c>
      <c r="C673" s="19">
        <v>102</v>
      </c>
      <c r="D673" s="19" t="s">
        <v>1314</v>
      </c>
      <c r="E673" s="20">
        <v>43550</v>
      </c>
      <c r="F673" s="19"/>
      <c r="G673" s="19">
        <v>67</v>
      </c>
      <c r="H673" s="19"/>
      <c r="I673" s="19"/>
      <c r="J673" s="19"/>
      <c r="K673" s="19"/>
      <c r="L673" s="19"/>
      <c r="M673" s="19"/>
      <c r="N673" s="19"/>
      <c r="O673" s="19"/>
      <c r="P673" s="19"/>
      <c r="Q673" s="19"/>
      <c r="R673" s="19"/>
      <c r="S673" s="19"/>
      <c r="T673" s="19"/>
      <c r="U673" s="19"/>
      <c r="V673" s="19"/>
      <c r="W673" s="19"/>
      <c r="X673" s="19"/>
      <c r="Y673" s="19"/>
      <c r="Z673" t="str">
        <f>IF(Tabela1[[#This Row],[1]]&lt;&gt;"",IF(ISNUMBER(FIND(",",Tabela1[[#This Row],[1]])),LEN(Tabela1[[#This Row],[1]])-LEN(SUBSTITUTE(Tabela1[[#This Row],[1]],",",""))+1,1),"")</f>
        <v/>
      </c>
      <c r="AA673">
        <f>IF(Tabela1[[#This Row],[2]]&lt;&gt;"",IF(ISNUMBER(FIND(",",Tabela1[[#This Row],[2]])),LEN(Tabela1[[#This Row],[2]])-LEN(SUBSTITUTE(Tabela1[[#This Row],[2]],",",""))+1,1),"")</f>
        <v>1</v>
      </c>
      <c r="AB673" t="str">
        <f>IF(Tabela1[[#This Row],[3]]&lt;&gt;"",IF(ISNUMBER(FIND(",",Tabela1[[#This Row],[3]])),LEN(Tabela1[[#This Row],[3]])-LEN(SUBSTITUTE(Tabela1[[#This Row],[3]],",",""))+1,1),"")</f>
        <v/>
      </c>
      <c r="AC673" t="str">
        <f>IF(Tabela1[[#This Row],[4]]&lt;&gt;"",IF(ISNUMBER(FIND(",",Tabela1[[#This Row],[4]])),LEN(Tabela1[[#This Row],[4]])-LEN(SUBSTITUTE(Tabela1[[#This Row],[4]],",",""))+1,1),"")</f>
        <v/>
      </c>
      <c r="AD673" t="str">
        <f>IF(Tabela1[[#This Row],[5]]&lt;&gt;"",IF(ISNUMBER(FIND(",",Tabela1[[#This Row],[5]])),LEN(Tabela1[[#This Row],[5]])-LEN(SUBSTITUTE(Tabela1[[#This Row],[5]],",",""))+1,1),"")</f>
        <v/>
      </c>
      <c r="AE673" t="str">
        <f>IF(Tabela1[[#This Row],[6]]&lt;&gt;"",IF(ISNUMBER(FIND(",",Tabela1[[#This Row],[6]])),LEN(Tabela1[[#This Row],[6]])-LEN(SUBSTITUTE(Tabela1[[#This Row],[6]],",",""))+1,1),"")</f>
        <v/>
      </c>
      <c r="AF673" t="str">
        <f>IF(Tabela1[[#This Row],[7]]&lt;&gt;"",IF(ISNUMBER(FIND(",",Tabela1[[#This Row],[7]])),LEN(Tabela1[[#This Row],[7]])-LEN(SUBSTITUTE(Tabela1[[#This Row],[7]],",",""))+1,1),"")</f>
        <v/>
      </c>
      <c r="AG673" t="str">
        <f>IF(Tabela1[[#This Row],[8]]&lt;&gt;"",IF(ISNUMBER(FIND(",",Tabela1[[#This Row],[8]])),LEN(Tabela1[[#This Row],[8]])-LEN(SUBSTITUTE(Tabela1[[#This Row],[8]],",",""))+1,1),"")</f>
        <v/>
      </c>
      <c r="AH673" t="str">
        <f>IF(Tabela1[[#This Row],[9]]&lt;&gt;"",IF(ISNUMBER(FIND(",",Tabela1[[#This Row],[9]])),LEN(Tabela1[[#This Row],[9]])-LEN(SUBSTITUTE(Tabela1[[#This Row],[9]],",",""))+1,1),"")</f>
        <v/>
      </c>
      <c r="AI673" t="str">
        <f>IF(Tabela1[[#This Row],[10]]&lt;&gt;"",IF(ISNUMBER(FIND(",",Tabela1[[#This Row],[10]])),LEN(Tabela1[[#This Row],[10]])-LEN(SUBSTITUTE(Tabela1[[#This Row],[10]],",",""))+1,1),"")</f>
        <v/>
      </c>
      <c r="AJ673" t="str">
        <f>IF(Tabela1[[#This Row],[11]]&lt;&gt;"",IF(ISNUMBER(FIND(",",Tabela1[[#This Row],[11]])),LEN(Tabela1[[#This Row],[11]])-LEN(SUBSTITUTE(Tabela1[[#This Row],[11]],",",""))+1,1),"")</f>
        <v/>
      </c>
      <c r="AK673" t="str">
        <f>IF(Tabela1[[#This Row],[12]]&lt;&gt;"",IF(ISNUMBER(FIND(",",Tabela1[[#This Row],[12]])),LEN(Tabela1[[#This Row],[12]])-LEN(SUBSTITUTE(Tabela1[[#This Row],[12]],",",""))+1,1),"")</f>
        <v/>
      </c>
      <c r="AL673" t="str">
        <f>IF(Tabela1[[#This Row],[13]]&lt;&gt;"",IF(ISNUMBER(FIND(",",Tabela1[[#This Row],[13]])),LEN(Tabela1[[#This Row],[13]])-LEN(SUBSTITUTE(Tabela1[[#This Row],[13]],",",""))+1,1),"")</f>
        <v/>
      </c>
      <c r="AM673" t="str">
        <f>IF(Tabela1[[#This Row],[14]]&lt;&gt;"",IF(ISNUMBER(FIND(",",Tabela1[[#This Row],[14]])),LEN(Tabela1[[#This Row],[14]])-LEN(SUBSTITUTE(Tabela1[[#This Row],[14]],",",""))+1,1),"")</f>
        <v/>
      </c>
      <c r="AN673" t="str">
        <f>IF(Tabela1[[#This Row],[15]]&lt;&gt;"",IF(ISNUMBER(FIND(",",Tabela1[[#This Row],[15]])),LEN(Tabela1[[#This Row],[15]])-LEN(SUBSTITUTE(Tabela1[[#This Row],[15]],",",""))+1,1),"")</f>
        <v/>
      </c>
      <c r="AO673" t="str">
        <f>IF(Tabela1[[#This Row],[16]]&lt;&gt;"",IF(ISNUMBER(FIND(",",Tabela1[[#This Row],[16]])),LEN(Tabela1[[#This Row],[16]])-LEN(SUBSTITUTE(Tabela1[[#This Row],[16]],",",""))+1,1),"")</f>
        <v/>
      </c>
      <c r="AP673" t="str">
        <f>IF(Tabela1[[#This Row],[17]]&lt;&gt;"",IF(ISNUMBER(FIND(",",Tabela1[[#This Row],[17]])),LEN(Tabela1[[#This Row],[17]])-LEN(SUBSTITUTE(Tabela1[[#This Row],[17]],",",""))+1,1),"")</f>
        <v/>
      </c>
      <c r="AQ673" t="str">
        <f>IF(Tabela1[[#This Row],[18]]&lt;&gt;"",IF(ISNUMBER(FIND(",",Tabela1[[#This Row],[18]])),LEN(Tabela1[[#This Row],[18]])-LEN(SUBSTITUTE(Tabela1[[#This Row],[18]],",",""))+1,1),"")</f>
        <v/>
      </c>
      <c r="AR673" s="13" t="str">
        <f>IF(Tabela1[[#This Row],[19_LENGTH]]&lt;&gt;"",IF(ISNUMBER(FIND(",",Tabela1[[#This Row],[19_LENGTH]])),LEN(Tabela1[[#This Row],[19_LENGTH]])-LEN(SUBSTITUTE(Tabela1[[#This Row],[19_LENGTH]],",",""))+1,1),"")</f>
        <v/>
      </c>
      <c r="AS673" s="21">
        <f>SUM(Tabela1[[#This Row],[1_]:[19_]])</f>
        <v>1</v>
      </c>
    </row>
    <row r="674" spans="1:45" x14ac:dyDescent="0.25">
      <c r="A674" s="27" t="s">
        <v>1331</v>
      </c>
      <c r="B674" s="19" t="s">
        <v>659</v>
      </c>
      <c r="C674" s="19">
        <v>102</v>
      </c>
      <c r="D674" s="19" t="s">
        <v>1314</v>
      </c>
      <c r="E674" s="20">
        <v>43550</v>
      </c>
      <c r="F674" s="19"/>
      <c r="G674" s="19"/>
      <c r="H674" s="19"/>
      <c r="I674" s="19"/>
      <c r="J674" s="19"/>
      <c r="K674" s="19"/>
      <c r="L674" s="19"/>
      <c r="M674" s="19">
        <v>73</v>
      </c>
      <c r="N674" s="19"/>
      <c r="O674" s="19"/>
      <c r="P674" s="19"/>
      <c r="Q674" s="19"/>
      <c r="R674" s="19"/>
      <c r="S674" s="19"/>
      <c r="T674" s="19"/>
      <c r="U674" s="19"/>
      <c r="V674" s="19"/>
      <c r="W674" s="19"/>
      <c r="X674" s="19"/>
      <c r="Y674" s="19"/>
      <c r="Z674" t="str">
        <f>IF(Tabela1[[#This Row],[1]]&lt;&gt;"",IF(ISNUMBER(FIND(",",Tabela1[[#This Row],[1]])),LEN(Tabela1[[#This Row],[1]])-LEN(SUBSTITUTE(Tabela1[[#This Row],[1]],",",""))+1,1),"")</f>
        <v/>
      </c>
      <c r="AA674" t="str">
        <f>IF(Tabela1[[#This Row],[2]]&lt;&gt;"",IF(ISNUMBER(FIND(",",Tabela1[[#This Row],[2]])),LEN(Tabela1[[#This Row],[2]])-LEN(SUBSTITUTE(Tabela1[[#This Row],[2]],",",""))+1,1),"")</f>
        <v/>
      </c>
      <c r="AB674" t="str">
        <f>IF(Tabela1[[#This Row],[3]]&lt;&gt;"",IF(ISNUMBER(FIND(",",Tabela1[[#This Row],[3]])),LEN(Tabela1[[#This Row],[3]])-LEN(SUBSTITUTE(Tabela1[[#This Row],[3]],",",""))+1,1),"")</f>
        <v/>
      </c>
      <c r="AC674" t="str">
        <f>IF(Tabela1[[#This Row],[4]]&lt;&gt;"",IF(ISNUMBER(FIND(",",Tabela1[[#This Row],[4]])),LEN(Tabela1[[#This Row],[4]])-LEN(SUBSTITUTE(Tabela1[[#This Row],[4]],",",""))+1,1),"")</f>
        <v/>
      </c>
      <c r="AD674" t="str">
        <f>IF(Tabela1[[#This Row],[5]]&lt;&gt;"",IF(ISNUMBER(FIND(",",Tabela1[[#This Row],[5]])),LEN(Tabela1[[#This Row],[5]])-LEN(SUBSTITUTE(Tabela1[[#This Row],[5]],",",""))+1,1),"")</f>
        <v/>
      </c>
      <c r="AE674" t="str">
        <f>IF(Tabela1[[#This Row],[6]]&lt;&gt;"",IF(ISNUMBER(FIND(",",Tabela1[[#This Row],[6]])),LEN(Tabela1[[#This Row],[6]])-LEN(SUBSTITUTE(Tabela1[[#This Row],[6]],",",""))+1,1),"")</f>
        <v/>
      </c>
      <c r="AF674" t="str">
        <f>IF(Tabela1[[#This Row],[7]]&lt;&gt;"",IF(ISNUMBER(FIND(",",Tabela1[[#This Row],[7]])),LEN(Tabela1[[#This Row],[7]])-LEN(SUBSTITUTE(Tabela1[[#This Row],[7]],",",""))+1,1),"")</f>
        <v/>
      </c>
      <c r="AG674">
        <f>IF(Tabela1[[#This Row],[8]]&lt;&gt;"",IF(ISNUMBER(FIND(",",Tabela1[[#This Row],[8]])),LEN(Tabela1[[#This Row],[8]])-LEN(SUBSTITUTE(Tabela1[[#This Row],[8]],",",""))+1,1),"")</f>
        <v>1</v>
      </c>
      <c r="AH674" t="str">
        <f>IF(Tabela1[[#This Row],[9]]&lt;&gt;"",IF(ISNUMBER(FIND(",",Tabela1[[#This Row],[9]])),LEN(Tabela1[[#This Row],[9]])-LEN(SUBSTITUTE(Tabela1[[#This Row],[9]],",",""))+1,1),"")</f>
        <v/>
      </c>
      <c r="AI674" t="str">
        <f>IF(Tabela1[[#This Row],[10]]&lt;&gt;"",IF(ISNUMBER(FIND(",",Tabela1[[#This Row],[10]])),LEN(Tabela1[[#This Row],[10]])-LEN(SUBSTITUTE(Tabela1[[#This Row],[10]],",",""))+1,1),"")</f>
        <v/>
      </c>
      <c r="AJ674" t="str">
        <f>IF(Tabela1[[#This Row],[11]]&lt;&gt;"",IF(ISNUMBER(FIND(",",Tabela1[[#This Row],[11]])),LEN(Tabela1[[#This Row],[11]])-LEN(SUBSTITUTE(Tabela1[[#This Row],[11]],",",""))+1,1),"")</f>
        <v/>
      </c>
      <c r="AK674" t="str">
        <f>IF(Tabela1[[#This Row],[12]]&lt;&gt;"",IF(ISNUMBER(FIND(",",Tabela1[[#This Row],[12]])),LEN(Tabela1[[#This Row],[12]])-LEN(SUBSTITUTE(Tabela1[[#This Row],[12]],",",""))+1,1),"")</f>
        <v/>
      </c>
      <c r="AL674" t="str">
        <f>IF(Tabela1[[#This Row],[13]]&lt;&gt;"",IF(ISNUMBER(FIND(",",Tabela1[[#This Row],[13]])),LEN(Tabela1[[#This Row],[13]])-LEN(SUBSTITUTE(Tabela1[[#This Row],[13]],",",""))+1,1),"")</f>
        <v/>
      </c>
      <c r="AM674" t="str">
        <f>IF(Tabela1[[#This Row],[14]]&lt;&gt;"",IF(ISNUMBER(FIND(",",Tabela1[[#This Row],[14]])),LEN(Tabela1[[#This Row],[14]])-LEN(SUBSTITUTE(Tabela1[[#This Row],[14]],",",""))+1,1),"")</f>
        <v/>
      </c>
      <c r="AN674" t="str">
        <f>IF(Tabela1[[#This Row],[15]]&lt;&gt;"",IF(ISNUMBER(FIND(",",Tabela1[[#This Row],[15]])),LEN(Tabela1[[#This Row],[15]])-LEN(SUBSTITUTE(Tabela1[[#This Row],[15]],",",""))+1,1),"")</f>
        <v/>
      </c>
      <c r="AO674" t="str">
        <f>IF(Tabela1[[#This Row],[16]]&lt;&gt;"",IF(ISNUMBER(FIND(",",Tabela1[[#This Row],[16]])),LEN(Tabela1[[#This Row],[16]])-LEN(SUBSTITUTE(Tabela1[[#This Row],[16]],",",""))+1,1),"")</f>
        <v/>
      </c>
      <c r="AP674" t="str">
        <f>IF(Tabela1[[#This Row],[17]]&lt;&gt;"",IF(ISNUMBER(FIND(",",Tabela1[[#This Row],[17]])),LEN(Tabela1[[#This Row],[17]])-LEN(SUBSTITUTE(Tabela1[[#This Row],[17]],",",""))+1,1),"")</f>
        <v/>
      </c>
      <c r="AQ674" t="str">
        <f>IF(Tabela1[[#This Row],[18]]&lt;&gt;"",IF(ISNUMBER(FIND(",",Tabela1[[#This Row],[18]])),LEN(Tabela1[[#This Row],[18]])-LEN(SUBSTITUTE(Tabela1[[#This Row],[18]],",",""))+1,1),"")</f>
        <v/>
      </c>
      <c r="AR674" s="13" t="str">
        <f>IF(Tabela1[[#This Row],[19_LENGTH]]&lt;&gt;"",IF(ISNUMBER(FIND(",",Tabela1[[#This Row],[19_LENGTH]])),LEN(Tabela1[[#This Row],[19_LENGTH]])-LEN(SUBSTITUTE(Tabela1[[#This Row],[19_LENGTH]],",",""))+1,1),"")</f>
        <v/>
      </c>
      <c r="AS674" s="21">
        <f>SUM(Tabela1[[#This Row],[1_]:[19_]])</f>
        <v>1</v>
      </c>
    </row>
    <row r="675" spans="1:45" x14ac:dyDescent="0.25">
      <c r="A675" s="27" t="s">
        <v>1331</v>
      </c>
      <c r="B675" s="19" t="s">
        <v>660</v>
      </c>
      <c r="C675" s="19">
        <v>102</v>
      </c>
      <c r="D675" s="19" t="s">
        <v>1314</v>
      </c>
      <c r="E675" s="20">
        <v>43550</v>
      </c>
      <c r="F675" s="19"/>
      <c r="G675" s="19">
        <v>41</v>
      </c>
      <c r="H675" s="19"/>
      <c r="I675" s="19"/>
      <c r="J675" s="19"/>
      <c r="K675" s="19"/>
      <c r="L675" s="19"/>
      <c r="M675" s="19"/>
      <c r="N675" s="19"/>
      <c r="O675" s="19"/>
      <c r="P675" s="19"/>
      <c r="Q675" s="19"/>
      <c r="R675" s="19"/>
      <c r="S675" s="19"/>
      <c r="T675" s="19"/>
      <c r="U675" s="19">
        <v>40</v>
      </c>
      <c r="V675" s="19"/>
      <c r="W675" s="19"/>
      <c r="X675" s="19"/>
      <c r="Y675" s="19"/>
      <c r="Z675" t="str">
        <f>IF(Tabela1[[#This Row],[1]]&lt;&gt;"",IF(ISNUMBER(FIND(",",Tabela1[[#This Row],[1]])),LEN(Tabela1[[#This Row],[1]])-LEN(SUBSTITUTE(Tabela1[[#This Row],[1]],",",""))+1,1),"")</f>
        <v/>
      </c>
      <c r="AA675">
        <f>IF(Tabela1[[#This Row],[2]]&lt;&gt;"",IF(ISNUMBER(FIND(",",Tabela1[[#This Row],[2]])),LEN(Tabela1[[#This Row],[2]])-LEN(SUBSTITUTE(Tabela1[[#This Row],[2]],",",""))+1,1),"")</f>
        <v>1</v>
      </c>
      <c r="AB675" t="str">
        <f>IF(Tabela1[[#This Row],[3]]&lt;&gt;"",IF(ISNUMBER(FIND(",",Tabela1[[#This Row],[3]])),LEN(Tabela1[[#This Row],[3]])-LEN(SUBSTITUTE(Tabela1[[#This Row],[3]],",",""))+1,1),"")</f>
        <v/>
      </c>
      <c r="AC675" t="str">
        <f>IF(Tabela1[[#This Row],[4]]&lt;&gt;"",IF(ISNUMBER(FIND(",",Tabela1[[#This Row],[4]])),LEN(Tabela1[[#This Row],[4]])-LEN(SUBSTITUTE(Tabela1[[#This Row],[4]],",",""))+1,1),"")</f>
        <v/>
      </c>
      <c r="AD675" t="str">
        <f>IF(Tabela1[[#This Row],[5]]&lt;&gt;"",IF(ISNUMBER(FIND(",",Tabela1[[#This Row],[5]])),LEN(Tabela1[[#This Row],[5]])-LEN(SUBSTITUTE(Tabela1[[#This Row],[5]],",",""))+1,1),"")</f>
        <v/>
      </c>
      <c r="AE675" t="str">
        <f>IF(Tabela1[[#This Row],[6]]&lt;&gt;"",IF(ISNUMBER(FIND(",",Tabela1[[#This Row],[6]])),LEN(Tabela1[[#This Row],[6]])-LEN(SUBSTITUTE(Tabela1[[#This Row],[6]],",",""))+1,1),"")</f>
        <v/>
      </c>
      <c r="AF675" t="str">
        <f>IF(Tabela1[[#This Row],[7]]&lt;&gt;"",IF(ISNUMBER(FIND(",",Tabela1[[#This Row],[7]])),LEN(Tabela1[[#This Row],[7]])-LEN(SUBSTITUTE(Tabela1[[#This Row],[7]],",",""))+1,1),"")</f>
        <v/>
      </c>
      <c r="AG675" t="str">
        <f>IF(Tabela1[[#This Row],[8]]&lt;&gt;"",IF(ISNUMBER(FIND(",",Tabela1[[#This Row],[8]])),LEN(Tabela1[[#This Row],[8]])-LEN(SUBSTITUTE(Tabela1[[#This Row],[8]],",",""))+1,1),"")</f>
        <v/>
      </c>
      <c r="AH675" t="str">
        <f>IF(Tabela1[[#This Row],[9]]&lt;&gt;"",IF(ISNUMBER(FIND(",",Tabela1[[#This Row],[9]])),LEN(Tabela1[[#This Row],[9]])-LEN(SUBSTITUTE(Tabela1[[#This Row],[9]],",",""))+1,1),"")</f>
        <v/>
      </c>
      <c r="AI675" t="str">
        <f>IF(Tabela1[[#This Row],[10]]&lt;&gt;"",IF(ISNUMBER(FIND(",",Tabela1[[#This Row],[10]])),LEN(Tabela1[[#This Row],[10]])-LEN(SUBSTITUTE(Tabela1[[#This Row],[10]],",",""))+1,1),"")</f>
        <v/>
      </c>
      <c r="AJ675" t="str">
        <f>IF(Tabela1[[#This Row],[11]]&lt;&gt;"",IF(ISNUMBER(FIND(",",Tabela1[[#This Row],[11]])),LEN(Tabela1[[#This Row],[11]])-LEN(SUBSTITUTE(Tabela1[[#This Row],[11]],",",""))+1,1),"")</f>
        <v/>
      </c>
      <c r="AK675" t="str">
        <f>IF(Tabela1[[#This Row],[12]]&lt;&gt;"",IF(ISNUMBER(FIND(",",Tabela1[[#This Row],[12]])),LEN(Tabela1[[#This Row],[12]])-LEN(SUBSTITUTE(Tabela1[[#This Row],[12]],",",""))+1,1),"")</f>
        <v/>
      </c>
      <c r="AL675" t="str">
        <f>IF(Tabela1[[#This Row],[13]]&lt;&gt;"",IF(ISNUMBER(FIND(",",Tabela1[[#This Row],[13]])),LEN(Tabela1[[#This Row],[13]])-LEN(SUBSTITUTE(Tabela1[[#This Row],[13]],",",""))+1,1),"")</f>
        <v/>
      </c>
      <c r="AM675" t="str">
        <f>IF(Tabela1[[#This Row],[14]]&lt;&gt;"",IF(ISNUMBER(FIND(",",Tabela1[[#This Row],[14]])),LEN(Tabela1[[#This Row],[14]])-LEN(SUBSTITUTE(Tabela1[[#This Row],[14]],",",""))+1,1),"")</f>
        <v/>
      </c>
      <c r="AN675" t="str">
        <f>IF(Tabela1[[#This Row],[15]]&lt;&gt;"",IF(ISNUMBER(FIND(",",Tabela1[[#This Row],[15]])),LEN(Tabela1[[#This Row],[15]])-LEN(SUBSTITUTE(Tabela1[[#This Row],[15]],",",""))+1,1),"")</f>
        <v/>
      </c>
      <c r="AO675">
        <f>IF(Tabela1[[#This Row],[16]]&lt;&gt;"",IF(ISNUMBER(FIND(",",Tabela1[[#This Row],[16]])),LEN(Tabela1[[#This Row],[16]])-LEN(SUBSTITUTE(Tabela1[[#This Row],[16]],",",""))+1,1),"")</f>
        <v>1</v>
      </c>
      <c r="AP675" t="str">
        <f>IF(Tabela1[[#This Row],[17]]&lt;&gt;"",IF(ISNUMBER(FIND(",",Tabela1[[#This Row],[17]])),LEN(Tabela1[[#This Row],[17]])-LEN(SUBSTITUTE(Tabela1[[#This Row],[17]],",",""))+1,1),"")</f>
        <v/>
      </c>
      <c r="AQ675" t="str">
        <f>IF(Tabela1[[#This Row],[18]]&lt;&gt;"",IF(ISNUMBER(FIND(",",Tabela1[[#This Row],[18]])),LEN(Tabela1[[#This Row],[18]])-LEN(SUBSTITUTE(Tabela1[[#This Row],[18]],",",""))+1,1),"")</f>
        <v/>
      </c>
      <c r="AR675" s="13" t="str">
        <f>IF(Tabela1[[#This Row],[19_LENGTH]]&lt;&gt;"",IF(ISNUMBER(FIND(",",Tabela1[[#This Row],[19_LENGTH]])),LEN(Tabela1[[#This Row],[19_LENGTH]])-LEN(SUBSTITUTE(Tabela1[[#This Row],[19_LENGTH]],",",""))+1,1),"")</f>
        <v/>
      </c>
      <c r="AS675" s="21">
        <f>SUM(Tabela1[[#This Row],[1_]:[19_]])</f>
        <v>2</v>
      </c>
    </row>
    <row r="676" spans="1:45" x14ac:dyDescent="0.25">
      <c r="A676" s="27" t="s">
        <v>1325</v>
      </c>
      <c r="B676" s="19" t="s">
        <v>923</v>
      </c>
      <c r="C676" s="19">
        <v>202</v>
      </c>
      <c r="D676" s="19" t="s">
        <v>1315</v>
      </c>
      <c r="E676" s="20">
        <v>43546</v>
      </c>
      <c r="F676" s="19"/>
      <c r="G676" s="19"/>
      <c r="H676" s="19"/>
      <c r="I676" s="19">
        <v>26</v>
      </c>
      <c r="J676" s="19"/>
      <c r="K676" s="19"/>
      <c r="L676" s="19"/>
      <c r="M676" s="19"/>
      <c r="N676" s="19"/>
      <c r="O676" s="19"/>
      <c r="P676" s="19"/>
      <c r="Q676" s="19"/>
      <c r="R676" s="19"/>
      <c r="S676" s="19"/>
      <c r="T676" s="19"/>
      <c r="U676" s="19">
        <v>63</v>
      </c>
      <c r="V676" s="19"/>
      <c r="W676" s="19"/>
      <c r="X676" s="19"/>
      <c r="Y676" s="19"/>
      <c r="Z676" t="str">
        <f>IF(Tabela1[[#This Row],[1]]&lt;&gt;"",IF(ISNUMBER(FIND(",",Tabela1[[#This Row],[1]])),LEN(Tabela1[[#This Row],[1]])-LEN(SUBSTITUTE(Tabela1[[#This Row],[1]],",",""))+1,1),"")</f>
        <v/>
      </c>
      <c r="AA676" t="str">
        <f>IF(Tabela1[[#This Row],[2]]&lt;&gt;"",IF(ISNUMBER(FIND(",",Tabela1[[#This Row],[2]])),LEN(Tabela1[[#This Row],[2]])-LEN(SUBSTITUTE(Tabela1[[#This Row],[2]],",",""))+1,1),"")</f>
        <v/>
      </c>
      <c r="AB676" t="str">
        <f>IF(Tabela1[[#This Row],[3]]&lt;&gt;"",IF(ISNUMBER(FIND(",",Tabela1[[#This Row],[3]])),LEN(Tabela1[[#This Row],[3]])-LEN(SUBSTITUTE(Tabela1[[#This Row],[3]],",",""))+1,1),"")</f>
        <v/>
      </c>
      <c r="AC676">
        <f>IF(Tabela1[[#This Row],[4]]&lt;&gt;"",IF(ISNUMBER(FIND(",",Tabela1[[#This Row],[4]])),LEN(Tabela1[[#This Row],[4]])-LEN(SUBSTITUTE(Tabela1[[#This Row],[4]],",",""))+1,1),"")</f>
        <v>1</v>
      </c>
      <c r="AD676" t="str">
        <f>IF(Tabela1[[#This Row],[5]]&lt;&gt;"",IF(ISNUMBER(FIND(",",Tabela1[[#This Row],[5]])),LEN(Tabela1[[#This Row],[5]])-LEN(SUBSTITUTE(Tabela1[[#This Row],[5]],",",""))+1,1),"")</f>
        <v/>
      </c>
      <c r="AE676" t="str">
        <f>IF(Tabela1[[#This Row],[6]]&lt;&gt;"",IF(ISNUMBER(FIND(",",Tabela1[[#This Row],[6]])),LEN(Tabela1[[#This Row],[6]])-LEN(SUBSTITUTE(Tabela1[[#This Row],[6]],",",""))+1,1),"")</f>
        <v/>
      </c>
      <c r="AF676" t="str">
        <f>IF(Tabela1[[#This Row],[7]]&lt;&gt;"",IF(ISNUMBER(FIND(",",Tabela1[[#This Row],[7]])),LEN(Tabela1[[#This Row],[7]])-LEN(SUBSTITUTE(Tabela1[[#This Row],[7]],",",""))+1,1),"")</f>
        <v/>
      </c>
      <c r="AG676" t="str">
        <f>IF(Tabela1[[#This Row],[8]]&lt;&gt;"",IF(ISNUMBER(FIND(",",Tabela1[[#This Row],[8]])),LEN(Tabela1[[#This Row],[8]])-LEN(SUBSTITUTE(Tabela1[[#This Row],[8]],",",""))+1,1),"")</f>
        <v/>
      </c>
      <c r="AH676" t="str">
        <f>IF(Tabela1[[#This Row],[9]]&lt;&gt;"",IF(ISNUMBER(FIND(",",Tabela1[[#This Row],[9]])),LEN(Tabela1[[#This Row],[9]])-LEN(SUBSTITUTE(Tabela1[[#This Row],[9]],",",""))+1,1),"")</f>
        <v/>
      </c>
      <c r="AI676" t="str">
        <f>IF(Tabela1[[#This Row],[10]]&lt;&gt;"",IF(ISNUMBER(FIND(",",Tabela1[[#This Row],[10]])),LEN(Tabela1[[#This Row],[10]])-LEN(SUBSTITUTE(Tabela1[[#This Row],[10]],",",""))+1,1),"")</f>
        <v/>
      </c>
      <c r="AJ676" t="str">
        <f>IF(Tabela1[[#This Row],[11]]&lt;&gt;"",IF(ISNUMBER(FIND(",",Tabela1[[#This Row],[11]])),LEN(Tabela1[[#This Row],[11]])-LEN(SUBSTITUTE(Tabela1[[#This Row],[11]],",",""))+1,1),"")</f>
        <v/>
      </c>
      <c r="AK676" t="str">
        <f>IF(Tabela1[[#This Row],[12]]&lt;&gt;"",IF(ISNUMBER(FIND(",",Tabela1[[#This Row],[12]])),LEN(Tabela1[[#This Row],[12]])-LEN(SUBSTITUTE(Tabela1[[#This Row],[12]],",",""))+1,1),"")</f>
        <v/>
      </c>
      <c r="AL676" t="str">
        <f>IF(Tabela1[[#This Row],[13]]&lt;&gt;"",IF(ISNUMBER(FIND(",",Tabela1[[#This Row],[13]])),LEN(Tabela1[[#This Row],[13]])-LEN(SUBSTITUTE(Tabela1[[#This Row],[13]],",",""))+1,1),"")</f>
        <v/>
      </c>
      <c r="AM676" t="str">
        <f>IF(Tabela1[[#This Row],[14]]&lt;&gt;"",IF(ISNUMBER(FIND(",",Tabela1[[#This Row],[14]])),LEN(Tabela1[[#This Row],[14]])-LEN(SUBSTITUTE(Tabela1[[#This Row],[14]],",",""))+1,1),"")</f>
        <v/>
      </c>
      <c r="AN676" t="str">
        <f>IF(Tabela1[[#This Row],[15]]&lt;&gt;"",IF(ISNUMBER(FIND(",",Tabela1[[#This Row],[15]])),LEN(Tabela1[[#This Row],[15]])-LEN(SUBSTITUTE(Tabela1[[#This Row],[15]],",",""))+1,1),"")</f>
        <v/>
      </c>
      <c r="AO676">
        <f>IF(Tabela1[[#This Row],[16]]&lt;&gt;"",IF(ISNUMBER(FIND(",",Tabela1[[#This Row],[16]])),LEN(Tabela1[[#This Row],[16]])-LEN(SUBSTITUTE(Tabela1[[#This Row],[16]],",",""))+1,1),"")</f>
        <v>1</v>
      </c>
      <c r="AP676" t="str">
        <f>IF(Tabela1[[#This Row],[17]]&lt;&gt;"",IF(ISNUMBER(FIND(",",Tabela1[[#This Row],[17]])),LEN(Tabela1[[#This Row],[17]])-LEN(SUBSTITUTE(Tabela1[[#This Row],[17]],",",""))+1,1),"")</f>
        <v/>
      </c>
      <c r="AQ676" t="str">
        <f>IF(Tabela1[[#This Row],[18]]&lt;&gt;"",IF(ISNUMBER(FIND(",",Tabela1[[#This Row],[18]])),LEN(Tabela1[[#This Row],[18]])-LEN(SUBSTITUTE(Tabela1[[#This Row],[18]],",",""))+1,1),"")</f>
        <v/>
      </c>
      <c r="AR676" s="13" t="str">
        <f>IF(Tabela1[[#This Row],[19_LENGTH]]&lt;&gt;"",IF(ISNUMBER(FIND(",",Tabela1[[#This Row],[19_LENGTH]])),LEN(Tabela1[[#This Row],[19_LENGTH]])-LEN(SUBSTITUTE(Tabela1[[#This Row],[19_LENGTH]],",",""))+1,1),"")</f>
        <v/>
      </c>
      <c r="AS676" s="21">
        <f>SUM(Tabela1[[#This Row],[1_]:[19_]])</f>
        <v>2</v>
      </c>
    </row>
    <row r="677" spans="1:45" x14ac:dyDescent="0.25">
      <c r="A677" s="27" t="s">
        <v>1333</v>
      </c>
      <c r="B677" s="19" t="s">
        <v>661</v>
      </c>
      <c r="C677" s="19">
        <v>202</v>
      </c>
      <c r="D677" s="19" t="s">
        <v>1315</v>
      </c>
      <c r="E677" s="20">
        <v>43552</v>
      </c>
      <c r="F677" s="19"/>
      <c r="G677" s="19">
        <v>24</v>
      </c>
      <c r="H677" s="19"/>
      <c r="I677" s="19" t="s">
        <v>260</v>
      </c>
      <c r="J677" s="19"/>
      <c r="K677" s="19"/>
      <c r="L677" s="19"/>
      <c r="M677" s="19"/>
      <c r="N677" s="19"/>
      <c r="O677" s="19"/>
      <c r="P677" s="19"/>
      <c r="Q677" s="19"/>
      <c r="R677" s="19"/>
      <c r="S677" s="19"/>
      <c r="T677" s="19"/>
      <c r="U677" s="19"/>
      <c r="V677" s="19"/>
      <c r="W677" s="19"/>
      <c r="X677" s="19"/>
      <c r="Y677" s="19"/>
      <c r="Z677" t="str">
        <f>IF(Tabela1[[#This Row],[1]]&lt;&gt;"",IF(ISNUMBER(FIND(",",Tabela1[[#This Row],[1]])),LEN(Tabela1[[#This Row],[1]])-LEN(SUBSTITUTE(Tabela1[[#This Row],[1]],",",""))+1,1),"")</f>
        <v/>
      </c>
      <c r="AA677">
        <f>IF(Tabela1[[#This Row],[2]]&lt;&gt;"",IF(ISNUMBER(FIND(",",Tabela1[[#This Row],[2]])),LEN(Tabela1[[#This Row],[2]])-LEN(SUBSTITUTE(Tabela1[[#This Row],[2]],",",""))+1,1),"")</f>
        <v>1</v>
      </c>
      <c r="AB677" t="str">
        <f>IF(Tabela1[[#This Row],[3]]&lt;&gt;"",IF(ISNUMBER(FIND(",",Tabela1[[#This Row],[3]])),LEN(Tabela1[[#This Row],[3]])-LEN(SUBSTITUTE(Tabela1[[#This Row],[3]],",",""))+1,1),"")</f>
        <v/>
      </c>
      <c r="AC677">
        <f>IF(Tabela1[[#This Row],[4]]&lt;&gt;"",IF(ISNUMBER(FIND(",",Tabela1[[#This Row],[4]])),LEN(Tabela1[[#This Row],[4]])-LEN(SUBSTITUTE(Tabela1[[#This Row],[4]],",",""))+1,1),"")</f>
        <v>2</v>
      </c>
      <c r="AD677" t="str">
        <f>IF(Tabela1[[#This Row],[5]]&lt;&gt;"",IF(ISNUMBER(FIND(",",Tabela1[[#This Row],[5]])),LEN(Tabela1[[#This Row],[5]])-LEN(SUBSTITUTE(Tabela1[[#This Row],[5]],",",""))+1,1),"")</f>
        <v/>
      </c>
      <c r="AE677" t="str">
        <f>IF(Tabela1[[#This Row],[6]]&lt;&gt;"",IF(ISNUMBER(FIND(",",Tabela1[[#This Row],[6]])),LEN(Tabela1[[#This Row],[6]])-LEN(SUBSTITUTE(Tabela1[[#This Row],[6]],",",""))+1,1),"")</f>
        <v/>
      </c>
      <c r="AF677" t="str">
        <f>IF(Tabela1[[#This Row],[7]]&lt;&gt;"",IF(ISNUMBER(FIND(",",Tabela1[[#This Row],[7]])),LEN(Tabela1[[#This Row],[7]])-LEN(SUBSTITUTE(Tabela1[[#This Row],[7]],",",""))+1,1),"")</f>
        <v/>
      </c>
      <c r="AG677" t="str">
        <f>IF(Tabela1[[#This Row],[8]]&lt;&gt;"",IF(ISNUMBER(FIND(",",Tabela1[[#This Row],[8]])),LEN(Tabela1[[#This Row],[8]])-LEN(SUBSTITUTE(Tabela1[[#This Row],[8]],",",""))+1,1),"")</f>
        <v/>
      </c>
      <c r="AH677" t="str">
        <f>IF(Tabela1[[#This Row],[9]]&lt;&gt;"",IF(ISNUMBER(FIND(",",Tabela1[[#This Row],[9]])),LEN(Tabela1[[#This Row],[9]])-LEN(SUBSTITUTE(Tabela1[[#This Row],[9]],",",""))+1,1),"")</f>
        <v/>
      </c>
      <c r="AI677" t="str">
        <f>IF(Tabela1[[#This Row],[10]]&lt;&gt;"",IF(ISNUMBER(FIND(",",Tabela1[[#This Row],[10]])),LEN(Tabela1[[#This Row],[10]])-LEN(SUBSTITUTE(Tabela1[[#This Row],[10]],",",""))+1,1),"")</f>
        <v/>
      </c>
      <c r="AJ677" t="str">
        <f>IF(Tabela1[[#This Row],[11]]&lt;&gt;"",IF(ISNUMBER(FIND(",",Tabela1[[#This Row],[11]])),LEN(Tabela1[[#This Row],[11]])-LEN(SUBSTITUTE(Tabela1[[#This Row],[11]],",",""))+1,1),"")</f>
        <v/>
      </c>
      <c r="AK677" t="str">
        <f>IF(Tabela1[[#This Row],[12]]&lt;&gt;"",IF(ISNUMBER(FIND(",",Tabela1[[#This Row],[12]])),LEN(Tabela1[[#This Row],[12]])-LEN(SUBSTITUTE(Tabela1[[#This Row],[12]],",",""))+1,1),"")</f>
        <v/>
      </c>
      <c r="AL677" t="str">
        <f>IF(Tabela1[[#This Row],[13]]&lt;&gt;"",IF(ISNUMBER(FIND(",",Tabela1[[#This Row],[13]])),LEN(Tabela1[[#This Row],[13]])-LEN(SUBSTITUTE(Tabela1[[#This Row],[13]],",",""))+1,1),"")</f>
        <v/>
      </c>
      <c r="AM677" t="str">
        <f>IF(Tabela1[[#This Row],[14]]&lt;&gt;"",IF(ISNUMBER(FIND(",",Tabela1[[#This Row],[14]])),LEN(Tabela1[[#This Row],[14]])-LEN(SUBSTITUTE(Tabela1[[#This Row],[14]],",",""))+1,1),"")</f>
        <v/>
      </c>
      <c r="AN677" t="str">
        <f>IF(Tabela1[[#This Row],[15]]&lt;&gt;"",IF(ISNUMBER(FIND(",",Tabela1[[#This Row],[15]])),LEN(Tabela1[[#This Row],[15]])-LEN(SUBSTITUTE(Tabela1[[#This Row],[15]],",",""))+1,1),"")</f>
        <v/>
      </c>
      <c r="AO677" t="str">
        <f>IF(Tabela1[[#This Row],[16]]&lt;&gt;"",IF(ISNUMBER(FIND(",",Tabela1[[#This Row],[16]])),LEN(Tabela1[[#This Row],[16]])-LEN(SUBSTITUTE(Tabela1[[#This Row],[16]],",",""))+1,1),"")</f>
        <v/>
      </c>
      <c r="AP677" t="str">
        <f>IF(Tabela1[[#This Row],[17]]&lt;&gt;"",IF(ISNUMBER(FIND(",",Tabela1[[#This Row],[17]])),LEN(Tabela1[[#This Row],[17]])-LEN(SUBSTITUTE(Tabela1[[#This Row],[17]],",",""))+1,1),"")</f>
        <v/>
      </c>
      <c r="AQ677" t="str">
        <f>IF(Tabela1[[#This Row],[18]]&lt;&gt;"",IF(ISNUMBER(FIND(",",Tabela1[[#This Row],[18]])),LEN(Tabela1[[#This Row],[18]])-LEN(SUBSTITUTE(Tabela1[[#This Row],[18]],",",""))+1,1),"")</f>
        <v/>
      </c>
      <c r="AR677" s="13" t="str">
        <f>IF(Tabela1[[#This Row],[19_LENGTH]]&lt;&gt;"",IF(ISNUMBER(FIND(",",Tabela1[[#This Row],[19_LENGTH]])),LEN(Tabela1[[#This Row],[19_LENGTH]])-LEN(SUBSTITUTE(Tabela1[[#This Row],[19_LENGTH]],",",""))+1,1),"")</f>
        <v/>
      </c>
      <c r="AS677" s="21">
        <f>SUM(Tabela1[[#This Row],[1_]:[19_]])</f>
        <v>3</v>
      </c>
    </row>
    <row r="678" spans="1:45" x14ac:dyDescent="0.25">
      <c r="A678" s="27" t="s">
        <v>1333</v>
      </c>
      <c r="B678" s="19" t="s">
        <v>662</v>
      </c>
      <c r="C678" s="19">
        <v>90</v>
      </c>
      <c r="D678" s="19" t="s">
        <v>1315</v>
      </c>
      <c r="E678" s="20">
        <v>43552</v>
      </c>
      <c r="F678" s="19"/>
      <c r="G678" s="19"/>
      <c r="H678" s="19"/>
      <c r="I678" s="19"/>
      <c r="J678" s="19"/>
      <c r="K678" s="19"/>
      <c r="L678" s="19"/>
      <c r="M678" s="19"/>
      <c r="N678" s="19"/>
      <c r="O678" s="19"/>
      <c r="P678" s="19"/>
      <c r="Q678" s="19"/>
      <c r="R678" s="19"/>
      <c r="S678" s="19"/>
      <c r="T678" s="19"/>
      <c r="U678" s="19">
        <v>11</v>
      </c>
      <c r="V678" s="19"/>
      <c r="W678" s="19"/>
      <c r="X678" s="19"/>
      <c r="Y678" s="19"/>
      <c r="Z678" t="str">
        <f>IF(Tabela1[[#This Row],[1]]&lt;&gt;"",IF(ISNUMBER(FIND(",",Tabela1[[#This Row],[1]])),LEN(Tabela1[[#This Row],[1]])-LEN(SUBSTITUTE(Tabela1[[#This Row],[1]],",",""))+1,1),"")</f>
        <v/>
      </c>
      <c r="AA678" t="str">
        <f>IF(Tabela1[[#This Row],[2]]&lt;&gt;"",IF(ISNUMBER(FIND(",",Tabela1[[#This Row],[2]])),LEN(Tabela1[[#This Row],[2]])-LEN(SUBSTITUTE(Tabela1[[#This Row],[2]],",",""))+1,1),"")</f>
        <v/>
      </c>
      <c r="AB678" t="str">
        <f>IF(Tabela1[[#This Row],[3]]&lt;&gt;"",IF(ISNUMBER(FIND(",",Tabela1[[#This Row],[3]])),LEN(Tabela1[[#This Row],[3]])-LEN(SUBSTITUTE(Tabela1[[#This Row],[3]],",",""))+1,1),"")</f>
        <v/>
      </c>
      <c r="AC678" t="str">
        <f>IF(Tabela1[[#This Row],[4]]&lt;&gt;"",IF(ISNUMBER(FIND(",",Tabela1[[#This Row],[4]])),LEN(Tabela1[[#This Row],[4]])-LEN(SUBSTITUTE(Tabela1[[#This Row],[4]],",",""))+1,1),"")</f>
        <v/>
      </c>
      <c r="AD678" t="str">
        <f>IF(Tabela1[[#This Row],[5]]&lt;&gt;"",IF(ISNUMBER(FIND(",",Tabela1[[#This Row],[5]])),LEN(Tabela1[[#This Row],[5]])-LEN(SUBSTITUTE(Tabela1[[#This Row],[5]],",",""))+1,1),"")</f>
        <v/>
      </c>
      <c r="AE678" t="str">
        <f>IF(Tabela1[[#This Row],[6]]&lt;&gt;"",IF(ISNUMBER(FIND(",",Tabela1[[#This Row],[6]])),LEN(Tabela1[[#This Row],[6]])-LEN(SUBSTITUTE(Tabela1[[#This Row],[6]],",",""))+1,1),"")</f>
        <v/>
      </c>
      <c r="AF678" t="str">
        <f>IF(Tabela1[[#This Row],[7]]&lt;&gt;"",IF(ISNUMBER(FIND(",",Tabela1[[#This Row],[7]])),LEN(Tabela1[[#This Row],[7]])-LEN(SUBSTITUTE(Tabela1[[#This Row],[7]],",",""))+1,1),"")</f>
        <v/>
      </c>
      <c r="AG678" t="str">
        <f>IF(Tabela1[[#This Row],[8]]&lt;&gt;"",IF(ISNUMBER(FIND(",",Tabela1[[#This Row],[8]])),LEN(Tabela1[[#This Row],[8]])-LEN(SUBSTITUTE(Tabela1[[#This Row],[8]],",",""))+1,1),"")</f>
        <v/>
      </c>
      <c r="AH678" t="str">
        <f>IF(Tabela1[[#This Row],[9]]&lt;&gt;"",IF(ISNUMBER(FIND(",",Tabela1[[#This Row],[9]])),LEN(Tabela1[[#This Row],[9]])-LEN(SUBSTITUTE(Tabela1[[#This Row],[9]],",",""))+1,1),"")</f>
        <v/>
      </c>
      <c r="AI678" t="str">
        <f>IF(Tabela1[[#This Row],[10]]&lt;&gt;"",IF(ISNUMBER(FIND(",",Tabela1[[#This Row],[10]])),LEN(Tabela1[[#This Row],[10]])-LEN(SUBSTITUTE(Tabela1[[#This Row],[10]],",",""))+1,1),"")</f>
        <v/>
      </c>
      <c r="AJ678" t="str">
        <f>IF(Tabela1[[#This Row],[11]]&lt;&gt;"",IF(ISNUMBER(FIND(",",Tabela1[[#This Row],[11]])),LEN(Tabela1[[#This Row],[11]])-LEN(SUBSTITUTE(Tabela1[[#This Row],[11]],",",""))+1,1),"")</f>
        <v/>
      </c>
      <c r="AK678" t="str">
        <f>IF(Tabela1[[#This Row],[12]]&lt;&gt;"",IF(ISNUMBER(FIND(",",Tabela1[[#This Row],[12]])),LEN(Tabela1[[#This Row],[12]])-LEN(SUBSTITUTE(Tabela1[[#This Row],[12]],",",""))+1,1),"")</f>
        <v/>
      </c>
      <c r="AL678" t="str">
        <f>IF(Tabela1[[#This Row],[13]]&lt;&gt;"",IF(ISNUMBER(FIND(",",Tabela1[[#This Row],[13]])),LEN(Tabela1[[#This Row],[13]])-LEN(SUBSTITUTE(Tabela1[[#This Row],[13]],",",""))+1,1),"")</f>
        <v/>
      </c>
      <c r="AM678" t="str">
        <f>IF(Tabela1[[#This Row],[14]]&lt;&gt;"",IF(ISNUMBER(FIND(",",Tabela1[[#This Row],[14]])),LEN(Tabela1[[#This Row],[14]])-LEN(SUBSTITUTE(Tabela1[[#This Row],[14]],",",""))+1,1),"")</f>
        <v/>
      </c>
      <c r="AN678" t="str">
        <f>IF(Tabela1[[#This Row],[15]]&lt;&gt;"",IF(ISNUMBER(FIND(",",Tabela1[[#This Row],[15]])),LEN(Tabela1[[#This Row],[15]])-LEN(SUBSTITUTE(Tabela1[[#This Row],[15]],",",""))+1,1),"")</f>
        <v/>
      </c>
      <c r="AO678">
        <f>IF(Tabela1[[#This Row],[16]]&lt;&gt;"",IF(ISNUMBER(FIND(",",Tabela1[[#This Row],[16]])),LEN(Tabela1[[#This Row],[16]])-LEN(SUBSTITUTE(Tabela1[[#This Row],[16]],",",""))+1,1),"")</f>
        <v>1</v>
      </c>
      <c r="AP678" t="str">
        <f>IF(Tabela1[[#This Row],[17]]&lt;&gt;"",IF(ISNUMBER(FIND(",",Tabela1[[#This Row],[17]])),LEN(Tabela1[[#This Row],[17]])-LEN(SUBSTITUTE(Tabela1[[#This Row],[17]],",",""))+1,1),"")</f>
        <v/>
      </c>
      <c r="AQ678" t="str">
        <f>IF(Tabela1[[#This Row],[18]]&lt;&gt;"",IF(ISNUMBER(FIND(",",Tabela1[[#This Row],[18]])),LEN(Tabela1[[#This Row],[18]])-LEN(SUBSTITUTE(Tabela1[[#This Row],[18]],",",""))+1,1),"")</f>
        <v/>
      </c>
      <c r="AR678" s="13" t="str">
        <f>IF(Tabela1[[#This Row],[19_LENGTH]]&lt;&gt;"",IF(ISNUMBER(FIND(",",Tabela1[[#This Row],[19_LENGTH]])),LEN(Tabela1[[#This Row],[19_LENGTH]])-LEN(SUBSTITUTE(Tabela1[[#This Row],[19_LENGTH]],",",""))+1,1),"")</f>
        <v/>
      </c>
      <c r="AS678" s="21">
        <f>SUM(Tabela1[[#This Row],[1_]:[19_]])</f>
        <v>1</v>
      </c>
    </row>
    <row r="679" spans="1:45" x14ac:dyDescent="0.25">
      <c r="A679" s="27" t="s">
        <v>1333</v>
      </c>
      <c r="B679" s="19" t="s">
        <v>663</v>
      </c>
      <c r="C679" s="19">
        <v>102</v>
      </c>
      <c r="D679" s="19" t="s">
        <v>1315</v>
      </c>
      <c r="E679" s="20">
        <v>43552</v>
      </c>
      <c r="F679" s="19"/>
      <c r="G679" s="19"/>
      <c r="H679" s="19" t="s">
        <v>261</v>
      </c>
      <c r="I679" s="19"/>
      <c r="J679" s="19"/>
      <c r="K679" s="19"/>
      <c r="L679" s="19"/>
      <c r="M679" s="19"/>
      <c r="N679" s="19"/>
      <c r="O679" s="19"/>
      <c r="P679" s="19"/>
      <c r="Q679" s="19"/>
      <c r="R679" s="19"/>
      <c r="S679" s="19"/>
      <c r="T679" s="19"/>
      <c r="U679" s="19"/>
      <c r="V679" s="19"/>
      <c r="W679" s="19"/>
      <c r="X679" s="19"/>
      <c r="Y679" s="19"/>
      <c r="Z679" t="str">
        <f>IF(Tabela1[[#This Row],[1]]&lt;&gt;"",IF(ISNUMBER(FIND(",",Tabela1[[#This Row],[1]])),LEN(Tabela1[[#This Row],[1]])-LEN(SUBSTITUTE(Tabela1[[#This Row],[1]],",",""))+1,1),"")</f>
        <v/>
      </c>
      <c r="AA679" t="str">
        <f>IF(Tabela1[[#This Row],[2]]&lt;&gt;"",IF(ISNUMBER(FIND(",",Tabela1[[#This Row],[2]])),LEN(Tabela1[[#This Row],[2]])-LEN(SUBSTITUTE(Tabela1[[#This Row],[2]],",",""))+1,1),"")</f>
        <v/>
      </c>
      <c r="AB679">
        <f>IF(Tabela1[[#This Row],[3]]&lt;&gt;"",IF(ISNUMBER(FIND(",",Tabela1[[#This Row],[3]])),LEN(Tabela1[[#This Row],[3]])-LEN(SUBSTITUTE(Tabela1[[#This Row],[3]],",",""))+1,1),"")</f>
        <v>2</v>
      </c>
      <c r="AC679" t="str">
        <f>IF(Tabela1[[#This Row],[4]]&lt;&gt;"",IF(ISNUMBER(FIND(",",Tabela1[[#This Row],[4]])),LEN(Tabela1[[#This Row],[4]])-LEN(SUBSTITUTE(Tabela1[[#This Row],[4]],",",""))+1,1),"")</f>
        <v/>
      </c>
      <c r="AD679" t="str">
        <f>IF(Tabela1[[#This Row],[5]]&lt;&gt;"",IF(ISNUMBER(FIND(",",Tabela1[[#This Row],[5]])),LEN(Tabela1[[#This Row],[5]])-LEN(SUBSTITUTE(Tabela1[[#This Row],[5]],",",""))+1,1),"")</f>
        <v/>
      </c>
      <c r="AE679" t="str">
        <f>IF(Tabela1[[#This Row],[6]]&lt;&gt;"",IF(ISNUMBER(FIND(",",Tabela1[[#This Row],[6]])),LEN(Tabela1[[#This Row],[6]])-LEN(SUBSTITUTE(Tabela1[[#This Row],[6]],",",""))+1,1),"")</f>
        <v/>
      </c>
      <c r="AF679" t="str">
        <f>IF(Tabela1[[#This Row],[7]]&lt;&gt;"",IF(ISNUMBER(FIND(",",Tabela1[[#This Row],[7]])),LEN(Tabela1[[#This Row],[7]])-LEN(SUBSTITUTE(Tabela1[[#This Row],[7]],",",""))+1,1),"")</f>
        <v/>
      </c>
      <c r="AG679" t="str">
        <f>IF(Tabela1[[#This Row],[8]]&lt;&gt;"",IF(ISNUMBER(FIND(",",Tabela1[[#This Row],[8]])),LEN(Tabela1[[#This Row],[8]])-LEN(SUBSTITUTE(Tabela1[[#This Row],[8]],",",""))+1,1),"")</f>
        <v/>
      </c>
      <c r="AH679" t="str">
        <f>IF(Tabela1[[#This Row],[9]]&lt;&gt;"",IF(ISNUMBER(FIND(",",Tabela1[[#This Row],[9]])),LEN(Tabela1[[#This Row],[9]])-LEN(SUBSTITUTE(Tabela1[[#This Row],[9]],",",""))+1,1),"")</f>
        <v/>
      </c>
      <c r="AI679" t="str">
        <f>IF(Tabela1[[#This Row],[10]]&lt;&gt;"",IF(ISNUMBER(FIND(",",Tabela1[[#This Row],[10]])),LEN(Tabela1[[#This Row],[10]])-LEN(SUBSTITUTE(Tabela1[[#This Row],[10]],",",""))+1,1),"")</f>
        <v/>
      </c>
      <c r="AJ679" t="str">
        <f>IF(Tabela1[[#This Row],[11]]&lt;&gt;"",IF(ISNUMBER(FIND(",",Tabela1[[#This Row],[11]])),LEN(Tabela1[[#This Row],[11]])-LEN(SUBSTITUTE(Tabela1[[#This Row],[11]],",",""))+1,1),"")</f>
        <v/>
      </c>
      <c r="AK679" t="str">
        <f>IF(Tabela1[[#This Row],[12]]&lt;&gt;"",IF(ISNUMBER(FIND(",",Tabela1[[#This Row],[12]])),LEN(Tabela1[[#This Row],[12]])-LEN(SUBSTITUTE(Tabela1[[#This Row],[12]],",",""))+1,1),"")</f>
        <v/>
      </c>
      <c r="AL679" t="str">
        <f>IF(Tabela1[[#This Row],[13]]&lt;&gt;"",IF(ISNUMBER(FIND(",",Tabela1[[#This Row],[13]])),LEN(Tabela1[[#This Row],[13]])-LEN(SUBSTITUTE(Tabela1[[#This Row],[13]],",",""))+1,1),"")</f>
        <v/>
      </c>
      <c r="AM679" t="str">
        <f>IF(Tabela1[[#This Row],[14]]&lt;&gt;"",IF(ISNUMBER(FIND(",",Tabela1[[#This Row],[14]])),LEN(Tabela1[[#This Row],[14]])-LEN(SUBSTITUTE(Tabela1[[#This Row],[14]],",",""))+1,1),"")</f>
        <v/>
      </c>
      <c r="AN679" t="str">
        <f>IF(Tabela1[[#This Row],[15]]&lt;&gt;"",IF(ISNUMBER(FIND(",",Tabela1[[#This Row],[15]])),LEN(Tabela1[[#This Row],[15]])-LEN(SUBSTITUTE(Tabela1[[#This Row],[15]],",",""))+1,1),"")</f>
        <v/>
      </c>
      <c r="AO679" t="str">
        <f>IF(Tabela1[[#This Row],[16]]&lt;&gt;"",IF(ISNUMBER(FIND(",",Tabela1[[#This Row],[16]])),LEN(Tabela1[[#This Row],[16]])-LEN(SUBSTITUTE(Tabela1[[#This Row],[16]],",",""))+1,1),"")</f>
        <v/>
      </c>
      <c r="AP679" t="str">
        <f>IF(Tabela1[[#This Row],[17]]&lt;&gt;"",IF(ISNUMBER(FIND(",",Tabela1[[#This Row],[17]])),LEN(Tabela1[[#This Row],[17]])-LEN(SUBSTITUTE(Tabela1[[#This Row],[17]],",",""))+1,1),"")</f>
        <v/>
      </c>
      <c r="AQ679" t="str">
        <f>IF(Tabela1[[#This Row],[18]]&lt;&gt;"",IF(ISNUMBER(FIND(",",Tabela1[[#This Row],[18]])),LEN(Tabela1[[#This Row],[18]])-LEN(SUBSTITUTE(Tabela1[[#This Row],[18]],",",""))+1,1),"")</f>
        <v/>
      </c>
      <c r="AR679" s="13" t="str">
        <f>IF(Tabela1[[#This Row],[19_LENGTH]]&lt;&gt;"",IF(ISNUMBER(FIND(",",Tabela1[[#This Row],[19_LENGTH]])),LEN(Tabela1[[#This Row],[19_LENGTH]])-LEN(SUBSTITUTE(Tabela1[[#This Row],[19_LENGTH]],",",""))+1,1),"")</f>
        <v/>
      </c>
      <c r="AS679" s="21">
        <f>SUM(Tabela1[[#This Row],[1_]:[19_]])</f>
        <v>2</v>
      </c>
    </row>
  </sheetData>
  <conditionalFormatting sqref="A4:Y679">
    <cfRule type="expression" dxfId="32" priority="2">
      <formula>#REF!="OP INEXISTENTE"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B112"/>
  <sheetViews>
    <sheetView workbookViewId="0"/>
  </sheetViews>
  <sheetFormatPr defaultRowHeight="15" x14ac:dyDescent="0.25"/>
  <cols>
    <col min="1" max="1" width="16" customWidth="1"/>
    <col min="2" max="2" width="18.7109375" customWidth="1"/>
    <col min="3" max="3" width="16.140625" bestFit="1" customWidth="1"/>
    <col min="4" max="4" width="17.7109375" bestFit="1" customWidth="1"/>
    <col min="5" max="5" width="53.7109375" bestFit="1" customWidth="1"/>
  </cols>
  <sheetData>
    <row r="1" spans="1:2" s="30" customFormat="1" ht="23.25" x14ac:dyDescent="0.35">
      <c r="A1" s="28" t="s">
        <v>1398</v>
      </c>
      <c r="B1" s="1"/>
    </row>
    <row r="2" spans="1:2" s="30" customFormat="1" x14ac:dyDescent="0.25">
      <c r="A2" s="1"/>
      <c r="B2" s="1"/>
    </row>
    <row r="3" spans="1:2" x14ac:dyDescent="0.25">
      <c r="A3" s="2" t="s">
        <v>262</v>
      </c>
      <c r="B3" s="2" t="s">
        <v>1290</v>
      </c>
    </row>
    <row r="4" spans="1:2" x14ac:dyDescent="0.25">
      <c r="A4" s="29" t="s">
        <v>1334</v>
      </c>
      <c r="B4" s="3" t="s">
        <v>1284</v>
      </c>
    </row>
    <row r="5" spans="1:2" x14ac:dyDescent="0.25">
      <c r="A5" s="29" t="s">
        <v>1335</v>
      </c>
      <c r="B5" s="3" t="s">
        <v>1289</v>
      </c>
    </row>
    <row r="6" spans="1:2" x14ac:dyDescent="0.25">
      <c r="A6" s="29" t="s">
        <v>1336</v>
      </c>
      <c r="B6" s="3" t="s">
        <v>1286</v>
      </c>
    </row>
    <row r="7" spans="1:2" x14ac:dyDescent="0.25">
      <c r="A7" s="29" t="s">
        <v>1336</v>
      </c>
      <c r="B7" s="3" t="s">
        <v>1286</v>
      </c>
    </row>
    <row r="8" spans="1:2" x14ac:dyDescent="0.25">
      <c r="A8" s="29" t="s">
        <v>1337</v>
      </c>
      <c r="B8" s="3" t="s">
        <v>1284</v>
      </c>
    </row>
    <row r="9" spans="1:2" x14ac:dyDescent="0.25">
      <c r="A9" s="29" t="s">
        <v>1338</v>
      </c>
      <c r="B9" s="3" t="s">
        <v>1284</v>
      </c>
    </row>
    <row r="10" spans="1:2" x14ac:dyDescent="0.25">
      <c r="A10" s="29" t="s">
        <v>1339</v>
      </c>
      <c r="B10" s="3" t="s">
        <v>1284</v>
      </c>
    </row>
    <row r="11" spans="1:2" x14ac:dyDescent="0.25">
      <c r="A11" s="29" t="s">
        <v>1340</v>
      </c>
      <c r="B11" s="3" t="s">
        <v>1284</v>
      </c>
    </row>
    <row r="12" spans="1:2" x14ac:dyDescent="0.25">
      <c r="A12" s="29" t="s">
        <v>1341</v>
      </c>
      <c r="B12" s="3" t="s">
        <v>1285</v>
      </c>
    </row>
    <row r="13" spans="1:2" x14ac:dyDescent="0.25">
      <c r="A13" s="29" t="s">
        <v>1342</v>
      </c>
      <c r="B13" s="3" t="s">
        <v>1285</v>
      </c>
    </row>
    <row r="14" spans="1:2" x14ac:dyDescent="0.25">
      <c r="A14" s="29" t="s">
        <v>1343</v>
      </c>
      <c r="B14" s="3" t="s">
        <v>1289</v>
      </c>
    </row>
    <row r="15" spans="1:2" x14ac:dyDescent="0.25">
      <c r="A15" s="29" t="s">
        <v>1344</v>
      </c>
      <c r="B15" s="3" t="s">
        <v>1289</v>
      </c>
    </row>
    <row r="16" spans="1:2" x14ac:dyDescent="0.25">
      <c r="A16" s="29" t="s">
        <v>1345</v>
      </c>
      <c r="B16" s="3" t="s">
        <v>1284</v>
      </c>
    </row>
    <row r="17" spans="1:2" x14ac:dyDescent="0.25">
      <c r="A17" s="29" t="s">
        <v>1346</v>
      </c>
      <c r="B17" s="3" t="s">
        <v>1284</v>
      </c>
    </row>
    <row r="18" spans="1:2" x14ac:dyDescent="0.25">
      <c r="A18" s="29" t="s">
        <v>1347</v>
      </c>
      <c r="B18" s="3" t="s">
        <v>1284</v>
      </c>
    </row>
    <row r="19" spans="1:2" x14ac:dyDescent="0.25">
      <c r="A19" s="29" t="s">
        <v>1348</v>
      </c>
      <c r="B19" s="3" t="s">
        <v>1284</v>
      </c>
    </row>
    <row r="20" spans="1:2" x14ac:dyDescent="0.25">
      <c r="A20" s="29" t="s">
        <v>1349</v>
      </c>
      <c r="B20" s="3" t="s">
        <v>1285</v>
      </c>
    </row>
    <row r="21" spans="1:2" x14ac:dyDescent="0.25">
      <c r="A21" s="29" t="s">
        <v>1350</v>
      </c>
      <c r="B21" s="3" t="s">
        <v>1285</v>
      </c>
    </row>
    <row r="22" spans="1:2" x14ac:dyDescent="0.25">
      <c r="A22" s="29" t="s">
        <v>1351</v>
      </c>
      <c r="B22" s="3" t="s">
        <v>1285</v>
      </c>
    </row>
    <row r="23" spans="1:2" x14ac:dyDescent="0.25">
      <c r="A23" s="29" t="s">
        <v>1352</v>
      </c>
      <c r="B23" s="3" t="s">
        <v>1284</v>
      </c>
    </row>
    <row r="24" spans="1:2" x14ac:dyDescent="0.25">
      <c r="A24" s="29" t="s">
        <v>1353</v>
      </c>
      <c r="B24" s="3" t="s">
        <v>1289</v>
      </c>
    </row>
    <row r="25" spans="1:2" x14ac:dyDescent="0.25">
      <c r="A25" s="29" t="s">
        <v>1354</v>
      </c>
      <c r="B25" s="3" t="s">
        <v>1284</v>
      </c>
    </row>
    <row r="26" spans="1:2" x14ac:dyDescent="0.25">
      <c r="A26" s="29" t="s">
        <v>1355</v>
      </c>
      <c r="B26" s="3" t="s">
        <v>1284</v>
      </c>
    </row>
    <row r="27" spans="1:2" x14ac:dyDescent="0.25">
      <c r="A27" s="29" t="s">
        <v>1356</v>
      </c>
      <c r="B27" s="3" t="s">
        <v>1284</v>
      </c>
    </row>
    <row r="28" spans="1:2" x14ac:dyDescent="0.25">
      <c r="A28" s="29" t="s">
        <v>1357</v>
      </c>
      <c r="B28" s="3" t="s">
        <v>1284</v>
      </c>
    </row>
    <row r="29" spans="1:2" x14ac:dyDescent="0.25">
      <c r="A29" s="29" t="s">
        <v>1358</v>
      </c>
      <c r="B29" s="3" t="s">
        <v>1284</v>
      </c>
    </row>
    <row r="30" spans="1:2" x14ac:dyDescent="0.25">
      <c r="A30" s="29" t="s">
        <v>1359</v>
      </c>
      <c r="B30" s="3" t="s">
        <v>1284</v>
      </c>
    </row>
    <row r="31" spans="1:2" x14ac:dyDescent="0.25">
      <c r="A31" s="29" t="s">
        <v>1360</v>
      </c>
      <c r="B31" s="3" t="s">
        <v>1284</v>
      </c>
    </row>
    <row r="32" spans="1:2" x14ac:dyDescent="0.25">
      <c r="A32" s="29" t="s">
        <v>1361</v>
      </c>
      <c r="B32" s="3" t="s">
        <v>1284</v>
      </c>
    </row>
    <row r="33" spans="1:2" x14ac:dyDescent="0.25">
      <c r="A33" s="29" t="s">
        <v>1362</v>
      </c>
      <c r="B33" s="3" t="s">
        <v>1285</v>
      </c>
    </row>
    <row r="34" spans="1:2" x14ac:dyDescent="0.25">
      <c r="A34" s="29" t="s">
        <v>1363</v>
      </c>
      <c r="B34" s="3" t="s">
        <v>1285</v>
      </c>
    </row>
    <row r="35" spans="1:2" x14ac:dyDescent="0.25">
      <c r="A35" s="29" t="s">
        <v>1364</v>
      </c>
      <c r="B35" s="3" t="s">
        <v>1285</v>
      </c>
    </row>
    <row r="36" spans="1:2" x14ac:dyDescent="0.25">
      <c r="A36" s="29" t="s">
        <v>1365</v>
      </c>
      <c r="B36" s="3" t="s">
        <v>1284</v>
      </c>
    </row>
    <row r="37" spans="1:2" x14ac:dyDescent="0.25">
      <c r="A37" s="29" t="s">
        <v>1366</v>
      </c>
      <c r="B37" s="3" t="s">
        <v>1285</v>
      </c>
    </row>
    <row r="38" spans="1:2" x14ac:dyDescent="0.25">
      <c r="A38" s="29" t="s">
        <v>1367</v>
      </c>
      <c r="B38" s="3" t="s">
        <v>1286</v>
      </c>
    </row>
    <row r="39" spans="1:2" x14ac:dyDescent="0.25">
      <c r="A39" s="29" t="s">
        <v>1367</v>
      </c>
      <c r="B39" s="3" t="s">
        <v>1286</v>
      </c>
    </row>
    <row r="40" spans="1:2" x14ac:dyDescent="0.25">
      <c r="A40" s="29" t="s">
        <v>1368</v>
      </c>
      <c r="B40" s="3" t="s">
        <v>1284</v>
      </c>
    </row>
    <row r="41" spans="1:2" x14ac:dyDescent="0.25">
      <c r="A41" s="29" t="s">
        <v>1369</v>
      </c>
      <c r="B41" s="3" t="s">
        <v>1284</v>
      </c>
    </row>
    <row r="42" spans="1:2" x14ac:dyDescent="0.25">
      <c r="A42" s="29" t="s">
        <v>1370</v>
      </c>
      <c r="B42" s="3" t="s">
        <v>1284</v>
      </c>
    </row>
    <row r="43" spans="1:2" x14ac:dyDescent="0.25">
      <c r="A43" s="29" t="s">
        <v>1371</v>
      </c>
      <c r="B43" s="3" t="s">
        <v>1285</v>
      </c>
    </row>
    <row r="44" spans="1:2" x14ac:dyDescent="0.25">
      <c r="A44" s="29" t="s">
        <v>1372</v>
      </c>
      <c r="B44" s="3" t="s">
        <v>1285</v>
      </c>
    </row>
    <row r="45" spans="1:2" x14ac:dyDescent="0.25">
      <c r="A45" s="29" t="s">
        <v>1373</v>
      </c>
      <c r="B45" s="3" t="s">
        <v>1285</v>
      </c>
    </row>
    <row r="46" spans="1:2" x14ac:dyDescent="0.25">
      <c r="A46" s="29" t="s">
        <v>1374</v>
      </c>
      <c r="B46" s="3" t="s">
        <v>1284</v>
      </c>
    </row>
    <row r="47" spans="1:2" x14ac:dyDescent="0.25">
      <c r="A47" s="29" t="s">
        <v>1375</v>
      </c>
      <c r="B47" s="3" t="s">
        <v>1286</v>
      </c>
    </row>
    <row r="48" spans="1:2" x14ac:dyDescent="0.25">
      <c r="A48" s="29" t="s">
        <v>1375</v>
      </c>
      <c r="B48" s="3" t="s">
        <v>1286</v>
      </c>
    </row>
    <row r="49" spans="1:2" x14ac:dyDescent="0.25">
      <c r="A49" s="29" t="s">
        <v>1376</v>
      </c>
      <c r="B49" s="3" t="s">
        <v>1285</v>
      </c>
    </row>
    <row r="50" spans="1:2" x14ac:dyDescent="0.25">
      <c r="A50" s="29" t="s">
        <v>1377</v>
      </c>
      <c r="B50" s="3" t="s">
        <v>1284</v>
      </c>
    </row>
    <row r="51" spans="1:2" x14ac:dyDescent="0.25">
      <c r="A51" s="29" t="s">
        <v>1378</v>
      </c>
      <c r="B51" s="3" t="s">
        <v>1284</v>
      </c>
    </row>
    <row r="52" spans="1:2" x14ac:dyDescent="0.25">
      <c r="A52" s="29" t="s">
        <v>1379</v>
      </c>
      <c r="B52" s="3" t="s">
        <v>1284</v>
      </c>
    </row>
    <row r="53" spans="1:2" x14ac:dyDescent="0.25">
      <c r="A53" s="29" t="s">
        <v>1380</v>
      </c>
      <c r="B53" s="3" t="s">
        <v>1286</v>
      </c>
    </row>
    <row r="54" spans="1:2" x14ac:dyDescent="0.25">
      <c r="A54" s="29" t="s">
        <v>1380</v>
      </c>
      <c r="B54" s="3" t="s">
        <v>1286</v>
      </c>
    </row>
    <row r="55" spans="1:2" x14ac:dyDescent="0.25">
      <c r="A55" s="29" t="s">
        <v>1381</v>
      </c>
      <c r="B55" s="3" t="s">
        <v>1286</v>
      </c>
    </row>
    <row r="56" spans="1:2" x14ac:dyDescent="0.25">
      <c r="A56" s="29" t="s">
        <v>1381</v>
      </c>
      <c r="B56" s="3" t="s">
        <v>1286</v>
      </c>
    </row>
    <row r="57" spans="1:2" x14ac:dyDescent="0.25">
      <c r="A57" s="29" t="s">
        <v>1382</v>
      </c>
      <c r="B57" s="3" t="s">
        <v>1286</v>
      </c>
    </row>
    <row r="58" spans="1:2" x14ac:dyDescent="0.25">
      <c r="A58" s="29" t="s">
        <v>1382</v>
      </c>
      <c r="B58" s="3" t="s">
        <v>1286</v>
      </c>
    </row>
    <row r="59" spans="1:2" x14ac:dyDescent="0.25">
      <c r="A59" s="29" t="s">
        <v>1383</v>
      </c>
      <c r="B59" s="3" t="s">
        <v>1286</v>
      </c>
    </row>
    <row r="60" spans="1:2" x14ac:dyDescent="0.25">
      <c r="A60" s="29" t="s">
        <v>1383</v>
      </c>
      <c r="B60" s="3" t="s">
        <v>1286</v>
      </c>
    </row>
    <row r="61" spans="1:2" x14ac:dyDescent="0.25">
      <c r="A61" s="29" t="s">
        <v>1317</v>
      </c>
      <c r="B61" s="3" t="s">
        <v>1286</v>
      </c>
    </row>
    <row r="62" spans="1:2" x14ac:dyDescent="0.25">
      <c r="A62" s="29" t="s">
        <v>1317</v>
      </c>
      <c r="B62" s="3" t="s">
        <v>1286</v>
      </c>
    </row>
    <row r="63" spans="1:2" x14ac:dyDescent="0.25">
      <c r="A63" s="29" t="s">
        <v>1384</v>
      </c>
      <c r="B63" s="3" t="s">
        <v>1287</v>
      </c>
    </row>
    <row r="64" spans="1:2" x14ac:dyDescent="0.25">
      <c r="A64" s="29" t="s">
        <v>1384</v>
      </c>
      <c r="B64" s="3" t="s">
        <v>1287</v>
      </c>
    </row>
    <row r="65" spans="1:2" x14ac:dyDescent="0.25">
      <c r="A65" s="29" t="s">
        <v>1385</v>
      </c>
      <c r="B65" s="3" t="s">
        <v>1288</v>
      </c>
    </row>
    <row r="66" spans="1:2" x14ac:dyDescent="0.25">
      <c r="A66" s="29" t="s">
        <v>1385</v>
      </c>
      <c r="B66" s="3" t="s">
        <v>1288</v>
      </c>
    </row>
    <row r="67" spans="1:2" x14ac:dyDescent="0.25">
      <c r="A67" s="29" t="s">
        <v>1386</v>
      </c>
      <c r="B67" s="3" t="s">
        <v>1284</v>
      </c>
    </row>
    <row r="68" spans="1:2" x14ac:dyDescent="0.25">
      <c r="A68" s="29" t="s">
        <v>1387</v>
      </c>
      <c r="B68" s="3" t="s">
        <v>1285</v>
      </c>
    </row>
    <row r="69" spans="1:2" x14ac:dyDescent="0.25">
      <c r="A69" s="29" t="s">
        <v>1387</v>
      </c>
      <c r="B69" s="3" t="s">
        <v>1285</v>
      </c>
    </row>
    <row r="70" spans="1:2" x14ac:dyDescent="0.25">
      <c r="A70" s="29" t="s">
        <v>1388</v>
      </c>
      <c r="B70" s="3" t="s">
        <v>1284</v>
      </c>
    </row>
    <row r="71" spans="1:2" x14ac:dyDescent="0.25">
      <c r="A71" s="29" t="s">
        <v>1389</v>
      </c>
      <c r="B71" s="3" t="s">
        <v>1285</v>
      </c>
    </row>
    <row r="72" spans="1:2" x14ac:dyDescent="0.25">
      <c r="A72" s="29" t="s">
        <v>1390</v>
      </c>
      <c r="B72" s="3" t="s">
        <v>1285</v>
      </c>
    </row>
    <row r="73" spans="1:2" x14ac:dyDescent="0.25">
      <c r="A73" s="29" t="s">
        <v>1391</v>
      </c>
      <c r="B73" s="3" t="s">
        <v>1284</v>
      </c>
    </row>
    <row r="74" spans="1:2" x14ac:dyDescent="0.25">
      <c r="A74" s="29" t="s">
        <v>1316</v>
      </c>
      <c r="B74" s="3" t="s">
        <v>1284</v>
      </c>
    </row>
    <row r="75" spans="1:2" x14ac:dyDescent="0.25">
      <c r="A75" s="29" t="s">
        <v>1319</v>
      </c>
      <c r="B75" s="4" t="s">
        <v>1284</v>
      </c>
    </row>
    <row r="76" spans="1:2" x14ac:dyDescent="0.25">
      <c r="A76" s="29" t="s">
        <v>1319</v>
      </c>
      <c r="B76" s="4" t="s">
        <v>1284</v>
      </c>
    </row>
    <row r="77" spans="1:2" x14ac:dyDescent="0.25">
      <c r="A77" s="29" t="s">
        <v>1320</v>
      </c>
      <c r="B77" s="4" t="s">
        <v>1285</v>
      </c>
    </row>
    <row r="78" spans="1:2" x14ac:dyDescent="0.25">
      <c r="A78" s="29" t="s">
        <v>1321</v>
      </c>
      <c r="B78" s="4" t="s">
        <v>1286</v>
      </c>
    </row>
    <row r="79" spans="1:2" x14ac:dyDescent="0.25">
      <c r="A79" s="29" t="s">
        <v>1321</v>
      </c>
      <c r="B79" s="4" t="s">
        <v>1286</v>
      </c>
    </row>
    <row r="80" spans="1:2" x14ac:dyDescent="0.25">
      <c r="A80" s="29" t="s">
        <v>1319</v>
      </c>
      <c r="B80" s="4" t="s">
        <v>1284</v>
      </c>
    </row>
    <row r="81" spans="1:2" x14ac:dyDescent="0.25">
      <c r="A81" s="29" t="s">
        <v>1320</v>
      </c>
      <c r="B81" s="4" t="s">
        <v>1285</v>
      </c>
    </row>
    <row r="82" spans="1:2" x14ac:dyDescent="0.25">
      <c r="A82" s="29" t="s">
        <v>1321</v>
      </c>
      <c r="B82" s="4" t="s">
        <v>1286</v>
      </c>
    </row>
    <row r="83" spans="1:2" x14ac:dyDescent="0.25">
      <c r="A83" s="29" t="s">
        <v>1321</v>
      </c>
      <c r="B83" s="4" t="s">
        <v>1286</v>
      </c>
    </row>
    <row r="84" spans="1:2" x14ac:dyDescent="0.25">
      <c r="A84" s="29" t="s">
        <v>1322</v>
      </c>
      <c r="B84" s="4" t="s">
        <v>1284</v>
      </c>
    </row>
    <row r="85" spans="1:2" x14ac:dyDescent="0.25">
      <c r="A85" s="29" t="s">
        <v>1323</v>
      </c>
      <c r="B85" s="4" t="s">
        <v>1284</v>
      </c>
    </row>
    <row r="86" spans="1:2" x14ac:dyDescent="0.25">
      <c r="A86" s="29" t="s">
        <v>1325</v>
      </c>
      <c r="B86" s="4" t="s">
        <v>1284</v>
      </c>
    </row>
    <row r="87" spans="1:2" x14ac:dyDescent="0.25">
      <c r="A87" s="29" t="s">
        <v>1392</v>
      </c>
      <c r="B87" s="4" t="s">
        <v>1285</v>
      </c>
    </row>
    <row r="88" spans="1:2" x14ac:dyDescent="0.25">
      <c r="A88" s="29" t="s">
        <v>1324</v>
      </c>
      <c r="B88" s="4" t="s">
        <v>1285</v>
      </c>
    </row>
    <row r="89" spans="1:2" x14ac:dyDescent="0.25">
      <c r="A89" s="29" t="s">
        <v>1326</v>
      </c>
      <c r="B89" t="s">
        <v>1287</v>
      </c>
    </row>
    <row r="90" spans="1:2" x14ac:dyDescent="0.25">
      <c r="A90" s="29" t="s">
        <v>1326</v>
      </c>
      <c r="B90" t="s">
        <v>1287</v>
      </c>
    </row>
    <row r="91" spans="1:2" x14ac:dyDescent="0.25">
      <c r="A91" s="29" t="s">
        <v>1393</v>
      </c>
      <c r="B91" t="s">
        <v>1288</v>
      </c>
    </row>
    <row r="92" spans="1:2" x14ac:dyDescent="0.25">
      <c r="A92" s="29" t="s">
        <v>1393</v>
      </c>
      <c r="B92" t="s">
        <v>1288</v>
      </c>
    </row>
    <row r="93" spans="1:2" x14ac:dyDescent="0.25">
      <c r="A93" s="29" t="s">
        <v>1327</v>
      </c>
      <c r="B93" t="s">
        <v>1284</v>
      </c>
    </row>
    <row r="94" spans="1:2" x14ac:dyDescent="0.25">
      <c r="A94" s="29" t="s">
        <v>1392</v>
      </c>
      <c r="B94" t="s">
        <v>1285</v>
      </c>
    </row>
    <row r="95" spans="1:2" x14ac:dyDescent="0.25">
      <c r="A95" s="29" t="s">
        <v>1324</v>
      </c>
      <c r="B95" t="s">
        <v>1285</v>
      </c>
    </row>
    <row r="96" spans="1:2" x14ac:dyDescent="0.25">
      <c r="A96" s="29" t="s">
        <v>1326</v>
      </c>
      <c r="B96" t="s">
        <v>1287</v>
      </c>
    </row>
    <row r="97" spans="1:2" x14ac:dyDescent="0.25">
      <c r="A97" s="29" t="s">
        <v>1326</v>
      </c>
      <c r="B97" t="s">
        <v>1287</v>
      </c>
    </row>
    <row r="98" spans="1:2" x14ac:dyDescent="0.25">
      <c r="A98" s="29" t="s">
        <v>1393</v>
      </c>
      <c r="B98" t="s">
        <v>1288</v>
      </c>
    </row>
    <row r="99" spans="1:2" x14ac:dyDescent="0.25">
      <c r="A99" s="29" t="s">
        <v>1393</v>
      </c>
      <c r="B99" t="s">
        <v>1288</v>
      </c>
    </row>
    <row r="100" spans="1:2" x14ac:dyDescent="0.25">
      <c r="A100" s="29" t="s">
        <v>1327</v>
      </c>
      <c r="B100" t="s">
        <v>1284</v>
      </c>
    </row>
    <row r="101" spans="1:2" x14ac:dyDescent="0.25">
      <c r="A101" s="29" t="s">
        <v>1328</v>
      </c>
      <c r="B101" t="s">
        <v>1286</v>
      </c>
    </row>
    <row r="102" spans="1:2" x14ac:dyDescent="0.25">
      <c r="A102" s="29" t="s">
        <v>1328</v>
      </c>
      <c r="B102" t="s">
        <v>1286</v>
      </c>
    </row>
    <row r="103" spans="1:2" x14ac:dyDescent="0.25">
      <c r="A103" s="29" t="s">
        <v>1394</v>
      </c>
      <c r="B103" t="s">
        <v>1289</v>
      </c>
    </row>
    <row r="104" spans="1:2" x14ac:dyDescent="0.25">
      <c r="A104" s="29" t="s">
        <v>1329</v>
      </c>
      <c r="B104" t="s">
        <v>1285</v>
      </c>
    </row>
    <row r="105" spans="1:2" x14ac:dyDescent="0.25">
      <c r="A105" s="29" t="s">
        <v>1395</v>
      </c>
      <c r="B105" s="4" t="s">
        <v>1286</v>
      </c>
    </row>
    <row r="106" spans="1:2" x14ac:dyDescent="0.25">
      <c r="A106" s="29" t="s">
        <v>1395</v>
      </c>
      <c r="B106" s="4" t="s">
        <v>1286</v>
      </c>
    </row>
    <row r="107" spans="1:2" x14ac:dyDescent="0.25">
      <c r="A107" s="29" t="s">
        <v>1331</v>
      </c>
      <c r="B107" s="4" t="s">
        <v>1285</v>
      </c>
    </row>
    <row r="108" spans="1:2" x14ac:dyDescent="0.25">
      <c r="A108" s="29" t="s">
        <v>1332</v>
      </c>
      <c r="B108" s="4" t="s">
        <v>1285</v>
      </c>
    </row>
    <row r="109" spans="1:2" x14ac:dyDescent="0.25">
      <c r="A109" s="29" t="s">
        <v>1330</v>
      </c>
      <c r="B109" s="4" t="s">
        <v>1286</v>
      </c>
    </row>
    <row r="110" spans="1:2" x14ac:dyDescent="0.25">
      <c r="A110" s="29" t="s">
        <v>1330</v>
      </c>
      <c r="B110" s="4" t="s">
        <v>1286</v>
      </c>
    </row>
    <row r="111" spans="1:2" x14ac:dyDescent="0.25">
      <c r="A111" s="29" t="s">
        <v>1396</v>
      </c>
      <c r="B111" s="4" t="s">
        <v>1289</v>
      </c>
    </row>
    <row r="112" spans="1:2" x14ac:dyDescent="0.25">
      <c r="A112" s="29" t="s">
        <v>1333</v>
      </c>
      <c r="B112" s="4" t="s">
        <v>1284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A1:G326"/>
  <sheetViews>
    <sheetView topLeftCell="A3" workbookViewId="0">
      <selection activeCell="A3" sqref="A3"/>
    </sheetView>
  </sheetViews>
  <sheetFormatPr defaultRowHeight="15" x14ac:dyDescent="0.25"/>
  <cols>
    <col min="1" max="1" width="9.5703125" bestFit="1" customWidth="1"/>
    <col min="2" max="2" width="12.140625" style="4" bestFit="1" customWidth="1"/>
    <col min="3" max="3" width="10.5703125" bestFit="1" customWidth="1"/>
    <col min="4" max="4" width="7.85546875" bestFit="1" customWidth="1"/>
    <col min="5" max="5" width="10.7109375" bestFit="1" customWidth="1"/>
    <col min="6" max="6" width="17.42578125" bestFit="1" customWidth="1"/>
  </cols>
  <sheetData>
    <row r="1" spans="1:7" s="30" customFormat="1" ht="23.25" x14ac:dyDescent="0.35">
      <c r="A1" s="28" t="s">
        <v>1399</v>
      </c>
      <c r="B1" s="1"/>
      <c r="C1" s="1"/>
      <c r="D1" s="1"/>
      <c r="E1" s="1"/>
      <c r="F1" s="1"/>
      <c r="G1" s="1"/>
    </row>
    <row r="2" spans="1:7" s="30" customFormat="1" x14ac:dyDescent="0.25">
      <c r="A2" s="1"/>
      <c r="B2" s="1"/>
      <c r="C2" s="1"/>
      <c r="D2" s="1"/>
      <c r="E2" s="1"/>
      <c r="F2" s="1"/>
      <c r="G2" s="1"/>
    </row>
    <row r="3" spans="1:7" x14ac:dyDescent="0.25">
      <c r="A3" t="s">
        <v>262</v>
      </c>
      <c r="B3" s="4" t="s">
        <v>1290</v>
      </c>
      <c r="C3" t="s">
        <v>263</v>
      </c>
      <c r="D3" t="s">
        <v>265</v>
      </c>
      <c r="E3" t="s">
        <v>266</v>
      </c>
      <c r="F3" t="s">
        <v>276</v>
      </c>
      <c r="G3" t="s">
        <v>1291</v>
      </c>
    </row>
    <row r="4" spans="1:7" x14ac:dyDescent="0.25">
      <c r="A4" s="30" t="s">
        <v>1319</v>
      </c>
      <c r="B4" s="4" t="str">
        <f>VLOOKUP(Tabela3[[#This Row],[ORDER]],Tabela2[#All],2,0)</f>
        <v>TYPE A</v>
      </c>
      <c r="C4" t="s">
        <v>1125</v>
      </c>
      <c r="D4" t="s">
        <v>1298</v>
      </c>
      <c r="E4" s="22">
        <v>43444</v>
      </c>
      <c r="F4">
        <v>786</v>
      </c>
    </row>
    <row r="5" spans="1:7" x14ac:dyDescent="0.25">
      <c r="A5" s="30" t="s">
        <v>1316</v>
      </c>
      <c r="B5" s="4" t="str">
        <f>VLOOKUP(Tabela3[[#This Row],[ORDER]],Tabela2[#All],2,0)</f>
        <v>TYPE A</v>
      </c>
      <c r="C5" t="s">
        <v>1126</v>
      </c>
      <c r="D5" t="s">
        <v>1297</v>
      </c>
      <c r="E5" s="22">
        <v>43443</v>
      </c>
      <c r="F5">
        <v>804</v>
      </c>
    </row>
    <row r="6" spans="1:7" x14ac:dyDescent="0.25">
      <c r="A6" s="30" t="s">
        <v>1316</v>
      </c>
      <c r="B6" s="4" t="str">
        <f>VLOOKUP(Tabela3[[#This Row],[ORDER]],Tabela2[#All],2,0)</f>
        <v>TYPE A</v>
      </c>
      <c r="C6" t="s">
        <v>964</v>
      </c>
      <c r="D6" t="s">
        <v>1294</v>
      </c>
      <c r="E6" s="22">
        <v>43441</v>
      </c>
      <c r="F6">
        <v>802</v>
      </c>
    </row>
    <row r="7" spans="1:7" x14ac:dyDescent="0.25">
      <c r="A7" s="30" t="s">
        <v>1319</v>
      </c>
      <c r="B7" s="4" t="str">
        <f>VLOOKUP(Tabela3[[#This Row],[ORDER]],Tabela2[#All],2,0)</f>
        <v>TYPE A</v>
      </c>
      <c r="C7" t="s">
        <v>965</v>
      </c>
      <c r="D7" t="s">
        <v>1315</v>
      </c>
      <c r="E7" s="22">
        <v>43444</v>
      </c>
      <c r="F7">
        <v>808</v>
      </c>
    </row>
    <row r="8" spans="1:7" x14ac:dyDescent="0.25">
      <c r="A8" s="30" t="s">
        <v>1316</v>
      </c>
      <c r="B8" s="4" t="str">
        <f>VLOOKUP(Tabela3[[#This Row],[ORDER]],Tabela2[#All],2,0)</f>
        <v>TYPE A</v>
      </c>
      <c r="C8" t="s">
        <v>1127</v>
      </c>
      <c r="D8" t="s">
        <v>1301</v>
      </c>
      <c r="E8" s="22">
        <v>43443</v>
      </c>
      <c r="F8">
        <v>778</v>
      </c>
    </row>
    <row r="9" spans="1:7" x14ac:dyDescent="0.25">
      <c r="A9" s="30" t="s">
        <v>1319</v>
      </c>
      <c r="B9" s="4" t="str">
        <f>VLOOKUP(Tabela3[[#This Row],[ORDER]],Tabela2[#All],2,0)</f>
        <v>TYPE A</v>
      </c>
      <c r="C9" t="s">
        <v>966</v>
      </c>
      <c r="D9" t="s">
        <v>1315</v>
      </c>
      <c r="E9" s="22">
        <v>43444</v>
      </c>
      <c r="F9">
        <v>808</v>
      </c>
    </row>
    <row r="10" spans="1:7" x14ac:dyDescent="0.25">
      <c r="A10" s="30" t="s">
        <v>1316</v>
      </c>
      <c r="B10" s="4" t="str">
        <f>VLOOKUP(Tabela3[[#This Row],[ORDER]],Tabela2[#All],2,0)</f>
        <v>TYPE A</v>
      </c>
      <c r="C10" t="s">
        <v>1128</v>
      </c>
      <c r="D10" t="s">
        <v>1314</v>
      </c>
      <c r="E10" s="22">
        <v>43441</v>
      </c>
      <c r="F10">
        <v>813</v>
      </c>
    </row>
    <row r="11" spans="1:7" x14ac:dyDescent="0.25">
      <c r="A11" s="30" t="s">
        <v>1316</v>
      </c>
      <c r="B11" s="4" t="str">
        <f>VLOOKUP(Tabela3[[#This Row],[ORDER]],Tabela2[#All],2,0)</f>
        <v>TYPE A</v>
      </c>
      <c r="C11" t="s">
        <v>967</v>
      </c>
      <c r="D11" t="s">
        <v>1297</v>
      </c>
      <c r="E11" s="22">
        <v>43441</v>
      </c>
      <c r="F11">
        <v>808</v>
      </c>
    </row>
    <row r="12" spans="1:7" x14ac:dyDescent="0.25">
      <c r="A12" s="30" t="s">
        <v>1316</v>
      </c>
      <c r="B12" s="4" t="str">
        <f>VLOOKUP(Tabela3[[#This Row],[ORDER]],Tabela2[#All],2,0)</f>
        <v>TYPE A</v>
      </c>
      <c r="C12" t="s">
        <v>1129</v>
      </c>
      <c r="D12" t="s">
        <v>1301</v>
      </c>
      <c r="E12" s="22">
        <v>43439</v>
      </c>
      <c r="F12">
        <v>784</v>
      </c>
    </row>
    <row r="13" spans="1:7" x14ac:dyDescent="0.25">
      <c r="A13" s="30" t="s">
        <v>1316</v>
      </c>
      <c r="B13" s="4" t="str">
        <f>VLOOKUP(Tabela3[[#This Row],[ORDER]],Tabela2[#All],2,0)</f>
        <v>TYPE A</v>
      </c>
      <c r="C13" t="s">
        <v>968</v>
      </c>
      <c r="D13" t="s">
        <v>1301</v>
      </c>
      <c r="E13" s="22">
        <v>43441</v>
      </c>
      <c r="F13">
        <v>808</v>
      </c>
    </row>
    <row r="14" spans="1:7" x14ac:dyDescent="0.25">
      <c r="A14" s="30" t="s">
        <v>1316</v>
      </c>
      <c r="B14" s="4" t="str">
        <f>VLOOKUP(Tabela3[[#This Row],[ORDER]],Tabela2[#All],2,0)</f>
        <v>TYPE A</v>
      </c>
      <c r="C14" t="s">
        <v>1130</v>
      </c>
      <c r="D14" t="s">
        <v>1299</v>
      </c>
      <c r="E14" s="22">
        <v>43441</v>
      </c>
      <c r="F14">
        <v>797</v>
      </c>
    </row>
    <row r="15" spans="1:7" x14ac:dyDescent="0.25">
      <c r="A15" s="30" t="s">
        <v>1316</v>
      </c>
      <c r="B15" s="4" t="str">
        <f>VLOOKUP(Tabela3[[#This Row],[ORDER]],Tabela2[#All],2,0)</f>
        <v>TYPE A</v>
      </c>
      <c r="C15" t="s">
        <v>969</v>
      </c>
      <c r="D15" t="s">
        <v>1298</v>
      </c>
      <c r="E15" s="22">
        <v>43439</v>
      </c>
      <c r="F15">
        <v>808</v>
      </c>
    </row>
    <row r="16" spans="1:7" x14ac:dyDescent="0.25">
      <c r="A16" s="30" t="s">
        <v>1316</v>
      </c>
      <c r="B16" s="4" t="str">
        <f>VLOOKUP(Tabela3[[#This Row],[ORDER]],Tabela2[#All],2,0)</f>
        <v>TYPE A</v>
      </c>
      <c r="C16" t="s">
        <v>1131</v>
      </c>
      <c r="D16" t="s">
        <v>1300</v>
      </c>
      <c r="E16" s="22">
        <v>43441</v>
      </c>
      <c r="F16">
        <v>807</v>
      </c>
    </row>
    <row r="17" spans="1:6" x14ac:dyDescent="0.25">
      <c r="A17" s="30" t="s">
        <v>1316</v>
      </c>
      <c r="B17" s="4" t="str">
        <f>VLOOKUP(Tabela3[[#This Row],[ORDER]],Tabela2[#All],2,0)</f>
        <v>TYPE A</v>
      </c>
      <c r="C17" t="s">
        <v>1132</v>
      </c>
      <c r="D17" t="s">
        <v>1315</v>
      </c>
      <c r="E17" s="22">
        <v>43440</v>
      </c>
      <c r="F17">
        <v>810</v>
      </c>
    </row>
    <row r="18" spans="1:6" x14ac:dyDescent="0.25">
      <c r="A18" s="30" t="s">
        <v>1316</v>
      </c>
      <c r="B18" s="4" t="str">
        <f>VLOOKUP(Tabela3[[#This Row],[ORDER]],Tabela2[#All],2,0)</f>
        <v>TYPE A</v>
      </c>
      <c r="C18" t="s">
        <v>1133</v>
      </c>
      <c r="D18" t="s">
        <v>1315</v>
      </c>
      <c r="E18" s="22">
        <v>43440</v>
      </c>
      <c r="F18">
        <v>810</v>
      </c>
    </row>
    <row r="19" spans="1:6" x14ac:dyDescent="0.25">
      <c r="A19" s="30" t="s">
        <v>1316</v>
      </c>
      <c r="B19" s="4" t="str">
        <f>VLOOKUP(Tabela3[[#This Row],[ORDER]],Tabela2[#All],2,0)</f>
        <v>TYPE A</v>
      </c>
      <c r="C19" t="s">
        <v>1134</v>
      </c>
      <c r="D19" t="s">
        <v>1296</v>
      </c>
      <c r="E19" s="22">
        <v>43441</v>
      </c>
      <c r="F19">
        <v>798</v>
      </c>
    </row>
    <row r="20" spans="1:6" x14ac:dyDescent="0.25">
      <c r="A20" s="30" t="s">
        <v>1316</v>
      </c>
      <c r="B20" s="4" t="str">
        <f>VLOOKUP(Tabela3[[#This Row],[ORDER]],Tabela2[#All],2,0)</f>
        <v>TYPE A</v>
      </c>
      <c r="C20" t="s">
        <v>970</v>
      </c>
      <c r="D20" t="s">
        <v>1315</v>
      </c>
      <c r="E20" s="22">
        <v>43438</v>
      </c>
      <c r="F20">
        <v>808</v>
      </c>
    </row>
    <row r="21" spans="1:6" x14ac:dyDescent="0.25">
      <c r="A21" s="30" t="s">
        <v>1316</v>
      </c>
      <c r="B21" s="4" t="str">
        <f>VLOOKUP(Tabela3[[#This Row],[ORDER]],Tabela2[#All],2,0)</f>
        <v>TYPE A</v>
      </c>
      <c r="C21" t="s">
        <v>971</v>
      </c>
      <c r="D21" t="s">
        <v>1315</v>
      </c>
      <c r="E21" s="22">
        <v>43438</v>
      </c>
      <c r="F21">
        <v>808</v>
      </c>
    </row>
    <row r="22" spans="1:6" x14ac:dyDescent="0.25">
      <c r="A22" s="30" t="s">
        <v>1316</v>
      </c>
      <c r="B22" s="4" t="str">
        <f>VLOOKUP(Tabela3[[#This Row],[ORDER]],Tabela2[#All],2,0)</f>
        <v>TYPE A</v>
      </c>
      <c r="C22" t="s">
        <v>972</v>
      </c>
      <c r="D22" t="s">
        <v>1314</v>
      </c>
      <c r="E22" s="22">
        <v>43440</v>
      </c>
      <c r="F22">
        <v>808</v>
      </c>
    </row>
    <row r="23" spans="1:6" x14ac:dyDescent="0.25">
      <c r="A23" s="30" t="s">
        <v>1316</v>
      </c>
      <c r="B23" s="4" t="str">
        <f>VLOOKUP(Tabela3[[#This Row],[ORDER]],Tabela2[#All],2,0)</f>
        <v>TYPE A</v>
      </c>
      <c r="C23" t="s">
        <v>1135</v>
      </c>
      <c r="D23" t="s">
        <v>1300</v>
      </c>
      <c r="E23" s="22">
        <v>43438</v>
      </c>
      <c r="F23">
        <v>797</v>
      </c>
    </row>
    <row r="24" spans="1:6" x14ac:dyDescent="0.25">
      <c r="A24" s="30" t="s">
        <v>1316</v>
      </c>
      <c r="B24" s="4" t="str">
        <f>VLOOKUP(Tabela3[[#This Row],[ORDER]],Tabela2[#All],2,0)</f>
        <v>TYPE A</v>
      </c>
      <c r="C24" t="s">
        <v>1136</v>
      </c>
      <c r="D24" t="s">
        <v>1297</v>
      </c>
      <c r="E24" s="22">
        <v>43439</v>
      </c>
      <c r="F24">
        <v>804</v>
      </c>
    </row>
    <row r="25" spans="1:6" x14ac:dyDescent="0.25">
      <c r="A25" s="30" t="s">
        <v>1316</v>
      </c>
      <c r="B25" s="4" t="str">
        <f>VLOOKUP(Tabela3[[#This Row],[ORDER]],Tabela2[#All],2,0)</f>
        <v>TYPE A</v>
      </c>
      <c r="C25" t="s">
        <v>1137</v>
      </c>
      <c r="D25" t="s">
        <v>1292</v>
      </c>
      <c r="E25" s="22">
        <v>43441</v>
      </c>
      <c r="F25">
        <v>913</v>
      </c>
    </row>
    <row r="26" spans="1:6" x14ac:dyDescent="0.25">
      <c r="A26" s="30" t="s">
        <v>1316</v>
      </c>
      <c r="B26" s="4" t="str">
        <f>VLOOKUP(Tabela3[[#This Row],[ORDER]],Tabela2[#All],2,0)</f>
        <v>TYPE A</v>
      </c>
      <c r="C26" t="s">
        <v>973</v>
      </c>
      <c r="D26" t="s">
        <v>1304</v>
      </c>
      <c r="E26" s="22">
        <v>43438</v>
      </c>
      <c r="F26">
        <v>808</v>
      </c>
    </row>
    <row r="27" spans="1:6" x14ac:dyDescent="0.25">
      <c r="A27" s="30" t="s">
        <v>1316</v>
      </c>
      <c r="B27" s="4" t="str">
        <f>VLOOKUP(Tabela3[[#This Row],[ORDER]],Tabela2[#All],2,0)</f>
        <v>TYPE A</v>
      </c>
      <c r="C27" t="s">
        <v>974</v>
      </c>
      <c r="D27" t="s">
        <v>1300</v>
      </c>
      <c r="E27" s="22">
        <v>43440</v>
      </c>
      <c r="F27">
        <v>808</v>
      </c>
    </row>
    <row r="28" spans="1:6" x14ac:dyDescent="0.25">
      <c r="A28" s="30" t="s">
        <v>1316</v>
      </c>
      <c r="B28" s="4" t="str">
        <f>VLOOKUP(Tabela3[[#This Row],[ORDER]],Tabela2[#All],2,0)</f>
        <v>TYPE A</v>
      </c>
      <c r="C28" t="s">
        <v>1138</v>
      </c>
      <c r="D28" t="s">
        <v>1298</v>
      </c>
      <c r="E28" s="22">
        <v>43440</v>
      </c>
      <c r="F28">
        <v>809</v>
      </c>
    </row>
    <row r="29" spans="1:6" x14ac:dyDescent="0.25">
      <c r="A29" s="30" t="s">
        <v>1316</v>
      </c>
      <c r="B29" s="4" t="str">
        <f>VLOOKUP(Tabela3[[#This Row],[ORDER]],Tabela2[#All],2,0)</f>
        <v>TYPE A</v>
      </c>
      <c r="C29" t="s">
        <v>1139</v>
      </c>
      <c r="D29" t="s">
        <v>1304</v>
      </c>
      <c r="E29" s="22">
        <v>43440</v>
      </c>
      <c r="F29">
        <v>808</v>
      </c>
    </row>
    <row r="30" spans="1:6" x14ac:dyDescent="0.25">
      <c r="A30" s="30" t="s">
        <v>1316</v>
      </c>
      <c r="B30" s="4" t="str">
        <f>VLOOKUP(Tabela3[[#This Row],[ORDER]],Tabela2[#All],2,0)</f>
        <v>TYPE A</v>
      </c>
      <c r="C30" t="s">
        <v>975</v>
      </c>
      <c r="D30" t="s">
        <v>1296</v>
      </c>
      <c r="E30" s="22">
        <v>43439</v>
      </c>
      <c r="F30">
        <v>808</v>
      </c>
    </row>
    <row r="31" spans="1:6" x14ac:dyDescent="0.25">
      <c r="A31" s="30" t="s">
        <v>1316</v>
      </c>
      <c r="B31" s="4" t="str">
        <f>VLOOKUP(Tabela3[[#This Row],[ORDER]],Tabela2[#All],2,0)</f>
        <v>TYPE A</v>
      </c>
      <c r="C31" t="s">
        <v>976</v>
      </c>
      <c r="D31" t="s">
        <v>1299</v>
      </c>
      <c r="E31" s="22">
        <v>43439</v>
      </c>
      <c r="F31">
        <v>808</v>
      </c>
    </row>
    <row r="32" spans="1:6" x14ac:dyDescent="0.25">
      <c r="A32" s="30" t="s">
        <v>1316</v>
      </c>
      <c r="B32" s="4" t="str">
        <f>VLOOKUP(Tabela3[[#This Row],[ORDER]],Tabela2[#All],2,0)</f>
        <v>TYPE A</v>
      </c>
      <c r="C32" t="s">
        <v>1140</v>
      </c>
      <c r="D32" t="s">
        <v>1294</v>
      </c>
      <c r="E32" s="22">
        <v>43439</v>
      </c>
      <c r="F32">
        <v>800</v>
      </c>
    </row>
    <row r="33" spans="1:6" x14ac:dyDescent="0.25">
      <c r="A33" s="30" t="s">
        <v>1316</v>
      </c>
      <c r="B33" s="4" t="str">
        <f>VLOOKUP(Tabela3[[#This Row],[ORDER]],Tabela2[#All],2,0)</f>
        <v>TYPE A</v>
      </c>
      <c r="C33" t="s">
        <v>977</v>
      </c>
      <c r="D33" t="s">
        <v>1292</v>
      </c>
      <c r="E33" s="22">
        <v>43439</v>
      </c>
      <c r="F33">
        <v>808</v>
      </c>
    </row>
    <row r="34" spans="1:6" x14ac:dyDescent="0.25">
      <c r="A34" s="30" t="s">
        <v>1316</v>
      </c>
      <c r="B34" s="4" t="str">
        <f>VLOOKUP(Tabela3[[#This Row],[ORDER]],Tabela2[#All],2,0)</f>
        <v>TYPE A</v>
      </c>
      <c r="C34" t="s">
        <v>978</v>
      </c>
      <c r="D34" t="s">
        <v>1294</v>
      </c>
      <c r="E34" s="22">
        <v>43438</v>
      </c>
      <c r="F34">
        <v>808</v>
      </c>
    </row>
    <row r="35" spans="1:6" x14ac:dyDescent="0.25">
      <c r="A35" s="30" t="s">
        <v>1319</v>
      </c>
      <c r="B35" s="4" t="str">
        <f>VLOOKUP(Tabela3[[#This Row],[ORDER]],Tabela2[#All],2,0)</f>
        <v>TYPE A</v>
      </c>
      <c r="C35" t="s">
        <v>979</v>
      </c>
      <c r="D35" t="s">
        <v>1298</v>
      </c>
      <c r="E35" s="22">
        <v>43449</v>
      </c>
      <c r="F35">
        <v>808</v>
      </c>
    </row>
    <row r="36" spans="1:6" x14ac:dyDescent="0.25">
      <c r="A36" s="30" t="s">
        <v>1319</v>
      </c>
      <c r="B36" s="4" t="str">
        <f>VLOOKUP(Tabela3[[#This Row],[ORDER]],Tabela2[#All],2,0)</f>
        <v>TYPE A</v>
      </c>
      <c r="C36" t="s">
        <v>980</v>
      </c>
      <c r="D36" t="s">
        <v>1292</v>
      </c>
      <c r="E36" s="22">
        <v>43443</v>
      </c>
      <c r="F36">
        <v>808</v>
      </c>
    </row>
    <row r="37" spans="1:6" x14ac:dyDescent="0.25">
      <c r="A37" s="30" t="s">
        <v>1319</v>
      </c>
      <c r="B37" s="4" t="str">
        <f>VLOOKUP(Tabela3[[#This Row],[ORDER]],Tabela2[#All],2,0)</f>
        <v>TYPE A</v>
      </c>
      <c r="C37" t="s">
        <v>981</v>
      </c>
      <c r="D37" t="s">
        <v>1315</v>
      </c>
      <c r="E37" s="22">
        <v>43448</v>
      </c>
      <c r="F37">
        <v>808</v>
      </c>
    </row>
    <row r="38" spans="1:6" x14ac:dyDescent="0.25">
      <c r="A38" s="30" t="s">
        <v>1319</v>
      </c>
      <c r="B38" s="4" t="str">
        <f>VLOOKUP(Tabela3[[#This Row],[ORDER]],Tabela2[#All],2,0)</f>
        <v>TYPE A</v>
      </c>
      <c r="C38" t="s">
        <v>1141</v>
      </c>
      <c r="D38" t="s">
        <v>1292</v>
      </c>
      <c r="E38" s="22">
        <v>43449</v>
      </c>
      <c r="F38">
        <v>912</v>
      </c>
    </row>
    <row r="39" spans="1:6" x14ac:dyDescent="0.25">
      <c r="A39" s="30" t="s">
        <v>1319</v>
      </c>
      <c r="B39" s="4" t="str">
        <f>VLOOKUP(Tabela3[[#This Row],[ORDER]],Tabela2[#All],2,0)</f>
        <v>TYPE A</v>
      </c>
      <c r="C39" t="s">
        <v>982</v>
      </c>
      <c r="D39" t="s">
        <v>1300</v>
      </c>
      <c r="E39" s="22">
        <v>43443</v>
      </c>
      <c r="F39">
        <v>808</v>
      </c>
    </row>
    <row r="40" spans="1:6" x14ac:dyDescent="0.25">
      <c r="A40" s="30" t="s">
        <v>1319</v>
      </c>
      <c r="B40" s="4" t="str">
        <f>VLOOKUP(Tabela3[[#This Row],[ORDER]],Tabela2[#All],2,0)</f>
        <v>TYPE A</v>
      </c>
      <c r="C40" t="s">
        <v>983</v>
      </c>
      <c r="D40" t="s">
        <v>1294</v>
      </c>
      <c r="E40" s="22">
        <v>43448</v>
      </c>
      <c r="F40">
        <v>808</v>
      </c>
    </row>
    <row r="41" spans="1:6" x14ac:dyDescent="0.25">
      <c r="A41" s="30" t="s">
        <v>1319</v>
      </c>
      <c r="B41" s="4" t="str">
        <f>VLOOKUP(Tabela3[[#This Row],[ORDER]],Tabela2[#All],2,0)</f>
        <v>TYPE A</v>
      </c>
      <c r="C41" t="s">
        <v>984</v>
      </c>
      <c r="D41" t="s">
        <v>1300</v>
      </c>
      <c r="E41" s="22">
        <v>43447</v>
      </c>
      <c r="F41">
        <v>808</v>
      </c>
    </row>
    <row r="42" spans="1:6" x14ac:dyDescent="0.25">
      <c r="A42" s="30" t="s">
        <v>1319</v>
      </c>
      <c r="B42" s="4" t="str">
        <f>VLOOKUP(Tabela3[[#This Row],[ORDER]],Tabela2[#All],2,0)</f>
        <v>TYPE A</v>
      </c>
      <c r="C42" t="s">
        <v>985</v>
      </c>
      <c r="D42" t="s">
        <v>1296</v>
      </c>
      <c r="E42" s="22">
        <v>43443</v>
      </c>
      <c r="F42">
        <v>808</v>
      </c>
    </row>
    <row r="43" spans="1:6" x14ac:dyDescent="0.25">
      <c r="A43" s="30" t="s">
        <v>1319</v>
      </c>
      <c r="B43" s="4" t="str">
        <f>VLOOKUP(Tabela3[[#This Row],[ORDER]],Tabela2[#All],2,0)</f>
        <v>TYPE A</v>
      </c>
      <c r="C43" t="s">
        <v>986</v>
      </c>
      <c r="D43" t="s">
        <v>1301</v>
      </c>
      <c r="E43" s="22">
        <v>43445</v>
      </c>
      <c r="F43">
        <v>808</v>
      </c>
    </row>
    <row r="44" spans="1:6" x14ac:dyDescent="0.25">
      <c r="A44" s="30" t="s">
        <v>1319</v>
      </c>
      <c r="B44" s="4" t="str">
        <f>VLOOKUP(Tabela3[[#This Row],[ORDER]],Tabela2[#All],2,0)</f>
        <v>TYPE A</v>
      </c>
      <c r="C44" t="s">
        <v>987</v>
      </c>
      <c r="D44" t="s">
        <v>1294</v>
      </c>
      <c r="E44" s="22">
        <v>43444</v>
      </c>
      <c r="F44">
        <v>629</v>
      </c>
    </row>
    <row r="45" spans="1:6" x14ac:dyDescent="0.25">
      <c r="A45" s="30" t="s">
        <v>1319</v>
      </c>
      <c r="B45" s="4" t="str">
        <f>VLOOKUP(Tabela3[[#This Row],[ORDER]],Tabela2[#All],2,0)</f>
        <v>TYPE A</v>
      </c>
      <c r="C45" t="s">
        <v>988</v>
      </c>
      <c r="D45" t="s">
        <v>1299</v>
      </c>
      <c r="E45" s="22">
        <v>43444</v>
      </c>
      <c r="F45">
        <v>808</v>
      </c>
    </row>
    <row r="46" spans="1:6" x14ac:dyDescent="0.25">
      <c r="A46" s="30" t="s">
        <v>1319</v>
      </c>
      <c r="B46" s="4" t="str">
        <f>VLOOKUP(Tabela3[[#This Row],[ORDER]],Tabela2[#All],2,0)</f>
        <v>TYPE A</v>
      </c>
      <c r="C46" t="s">
        <v>989</v>
      </c>
      <c r="D46" t="s">
        <v>1296</v>
      </c>
      <c r="E46" s="22">
        <v>43447</v>
      </c>
      <c r="F46">
        <v>808</v>
      </c>
    </row>
    <row r="47" spans="1:6" x14ac:dyDescent="0.25">
      <c r="A47" s="30" t="s">
        <v>1319</v>
      </c>
      <c r="B47" s="4" t="str">
        <f>VLOOKUP(Tabela3[[#This Row],[ORDER]],Tabela2[#All],2,0)</f>
        <v>TYPE A</v>
      </c>
      <c r="C47" t="s">
        <v>990</v>
      </c>
      <c r="D47" t="s">
        <v>1299</v>
      </c>
      <c r="E47" s="22">
        <v>43447</v>
      </c>
      <c r="F47">
        <v>808</v>
      </c>
    </row>
    <row r="48" spans="1:6" x14ac:dyDescent="0.25">
      <c r="A48" s="30" t="s">
        <v>1319</v>
      </c>
      <c r="B48" s="4" t="str">
        <f>VLOOKUP(Tabela3[[#This Row],[ORDER]],Tabela2[#All],2,0)</f>
        <v>TYPE A</v>
      </c>
      <c r="C48" t="s">
        <v>991</v>
      </c>
      <c r="D48" t="s">
        <v>1300</v>
      </c>
      <c r="E48" s="22">
        <v>43450</v>
      </c>
      <c r="F48">
        <v>808</v>
      </c>
    </row>
    <row r="49" spans="1:6" x14ac:dyDescent="0.25">
      <c r="A49" s="30" t="s">
        <v>1319</v>
      </c>
      <c r="B49" s="4" t="str">
        <f>VLOOKUP(Tabela3[[#This Row],[ORDER]],Tabela2[#All],2,0)</f>
        <v>TYPE A</v>
      </c>
      <c r="C49" t="s">
        <v>992</v>
      </c>
      <c r="D49" t="s">
        <v>1314</v>
      </c>
      <c r="E49" s="22">
        <v>43447</v>
      </c>
      <c r="F49">
        <v>808</v>
      </c>
    </row>
    <row r="50" spans="1:6" x14ac:dyDescent="0.25">
      <c r="A50" s="30" t="s">
        <v>1319</v>
      </c>
      <c r="B50" s="4" t="str">
        <f>VLOOKUP(Tabela3[[#This Row],[ORDER]],Tabela2[#All],2,0)</f>
        <v>TYPE A</v>
      </c>
      <c r="C50" t="s">
        <v>1142</v>
      </c>
      <c r="D50" t="s">
        <v>1314</v>
      </c>
      <c r="E50" s="22">
        <v>43445</v>
      </c>
      <c r="F50">
        <v>809</v>
      </c>
    </row>
    <row r="51" spans="1:6" x14ac:dyDescent="0.25">
      <c r="A51" s="30" t="s">
        <v>1319</v>
      </c>
      <c r="B51" s="4" t="str">
        <f>VLOOKUP(Tabela3[[#This Row],[ORDER]],Tabela2[#All],2,0)</f>
        <v>TYPE A</v>
      </c>
      <c r="C51" t="s">
        <v>993</v>
      </c>
      <c r="D51" t="s">
        <v>1315</v>
      </c>
      <c r="E51" s="22">
        <v>43448</v>
      </c>
      <c r="F51">
        <v>808</v>
      </c>
    </row>
    <row r="52" spans="1:6" x14ac:dyDescent="0.25">
      <c r="A52" s="30" t="s">
        <v>1319</v>
      </c>
      <c r="B52" s="4" t="str">
        <f>VLOOKUP(Tabela3[[#This Row],[ORDER]],Tabela2[#All],2,0)</f>
        <v>TYPE A</v>
      </c>
      <c r="C52" t="s">
        <v>994</v>
      </c>
      <c r="D52" t="s">
        <v>1298</v>
      </c>
      <c r="E52" s="22">
        <v>43445</v>
      </c>
      <c r="F52">
        <v>808</v>
      </c>
    </row>
    <row r="53" spans="1:6" x14ac:dyDescent="0.25">
      <c r="A53" s="30" t="s">
        <v>1319</v>
      </c>
      <c r="B53" s="4" t="str">
        <f>VLOOKUP(Tabela3[[#This Row],[ORDER]],Tabela2[#All],2,0)</f>
        <v>TYPE A</v>
      </c>
      <c r="C53" t="s">
        <v>1143</v>
      </c>
      <c r="D53" t="s">
        <v>1315</v>
      </c>
      <c r="E53" s="22">
        <v>43449</v>
      </c>
      <c r="F53">
        <v>786</v>
      </c>
    </row>
    <row r="54" spans="1:6" x14ac:dyDescent="0.25">
      <c r="A54" s="30" t="s">
        <v>1319</v>
      </c>
      <c r="B54" s="4" t="str">
        <f>VLOOKUP(Tabela3[[#This Row],[ORDER]],Tabela2[#All],2,0)</f>
        <v>TYPE A</v>
      </c>
      <c r="C54" t="s">
        <v>1144</v>
      </c>
      <c r="D54" t="s">
        <v>1294</v>
      </c>
      <c r="E54" s="22">
        <v>43450</v>
      </c>
      <c r="F54">
        <v>797</v>
      </c>
    </row>
    <row r="55" spans="1:6" x14ac:dyDescent="0.25">
      <c r="A55" s="30" t="s">
        <v>1319</v>
      </c>
      <c r="B55" s="4" t="str">
        <f>VLOOKUP(Tabela3[[#This Row],[ORDER]],Tabela2[#All],2,0)</f>
        <v>TYPE A</v>
      </c>
      <c r="C55" t="s">
        <v>1145</v>
      </c>
      <c r="D55" t="s">
        <v>1297</v>
      </c>
      <c r="E55" s="22">
        <v>43446</v>
      </c>
      <c r="F55">
        <v>808</v>
      </c>
    </row>
    <row r="56" spans="1:6" x14ac:dyDescent="0.25">
      <c r="A56" s="30" t="s">
        <v>1319</v>
      </c>
      <c r="B56" s="4" t="str">
        <f>VLOOKUP(Tabela3[[#This Row],[ORDER]],Tabela2[#All],2,0)</f>
        <v>TYPE A</v>
      </c>
      <c r="C56" t="s">
        <v>995</v>
      </c>
      <c r="D56" t="s">
        <v>1314</v>
      </c>
      <c r="E56" s="22">
        <v>43444</v>
      </c>
      <c r="F56">
        <v>808</v>
      </c>
    </row>
    <row r="57" spans="1:6" x14ac:dyDescent="0.25">
      <c r="A57" s="30" t="s">
        <v>1319</v>
      </c>
      <c r="B57" s="4" t="str">
        <f>VLOOKUP(Tabela3[[#This Row],[ORDER]],Tabela2[#All],2,0)</f>
        <v>TYPE A</v>
      </c>
      <c r="C57" t="s">
        <v>996</v>
      </c>
      <c r="D57" t="s">
        <v>1301</v>
      </c>
      <c r="E57" s="22">
        <v>43449</v>
      </c>
      <c r="F57">
        <v>808</v>
      </c>
    </row>
    <row r="58" spans="1:6" x14ac:dyDescent="0.25">
      <c r="A58" s="30" t="s">
        <v>1319</v>
      </c>
      <c r="B58" s="4" t="str">
        <f>VLOOKUP(Tabela3[[#This Row],[ORDER]],Tabela2[#All],2,0)</f>
        <v>TYPE A</v>
      </c>
      <c r="C58" t="s">
        <v>997</v>
      </c>
      <c r="D58" t="s">
        <v>1314</v>
      </c>
      <c r="E58" s="22">
        <v>43450</v>
      </c>
      <c r="F58">
        <v>808</v>
      </c>
    </row>
    <row r="59" spans="1:6" x14ac:dyDescent="0.25">
      <c r="A59" s="30" t="s">
        <v>1319</v>
      </c>
      <c r="B59" s="4" t="str">
        <f>VLOOKUP(Tabela3[[#This Row],[ORDER]],Tabela2[#All],2,0)</f>
        <v>TYPE A</v>
      </c>
      <c r="C59" t="s">
        <v>1146</v>
      </c>
      <c r="D59" t="s">
        <v>1314</v>
      </c>
      <c r="E59" s="22">
        <v>43448</v>
      </c>
      <c r="F59">
        <v>808</v>
      </c>
    </row>
    <row r="60" spans="1:6" x14ac:dyDescent="0.25">
      <c r="A60" s="30" t="s">
        <v>1319</v>
      </c>
      <c r="B60" s="4" t="str">
        <f>VLOOKUP(Tabela3[[#This Row],[ORDER]],Tabela2[#All],2,0)</f>
        <v>TYPE A</v>
      </c>
      <c r="C60" t="s">
        <v>1147</v>
      </c>
      <c r="D60" t="s">
        <v>1298</v>
      </c>
      <c r="E60" s="22">
        <v>43446</v>
      </c>
      <c r="F60">
        <v>242</v>
      </c>
    </row>
    <row r="61" spans="1:6" x14ac:dyDescent="0.25">
      <c r="A61" s="30" t="s">
        <v>1319</v>
      </c>
      <c r="B61" s="4" t="str">
        <f>VLOOKUP(Tabela3[[#This Row],[ORDER]],Tabela2[#All],2,0)</f>
        <v>TYPE A</v>
      </c>
      <c r="C61" t="s">
        <v>1148</v>
      </c>
      <c r="D61" t="s">
        <v>1315</v>
      </c>
      <c r="E61" s="22">
        <v>43449</v>
      </c>
      <c r="F61">
        <v>786</v>
      </c>
    </row>
    <row r="62" spans="1:6" x14ac:dyDescent="0.25">
      <c r="A62" s="30" t="s">
        <v>1319</v>
      </c>
      <c r="B62" s="4" t="str">
        <f>VLOOKUP(Tabela3[[#This Row],[ORDER]],Tabela2[#All],2,0)</f>
        <v>TYPE A</v>
      </c>
      <c r="C62" t="s">
        <v>707</v>
      </c>
      <c r="D62" t="s">
        <v>1297</v>
      </c>
      <c r="E62" s="22">
        <v>43450</v>
      </c>
      <c r="F62">
        <v>792</v>
      </c>
    </row>
    <row r="63" spans="1:6" x14ac:dyDescent="0.25">
      <c r="A63" s="30" t="s">
        <v>1319</v>
      </c>
      <c r="B63" s="4" t="str">
        <f>VLOOKUP(Tabela3[[#This Row],[ORDER]],Tabela2[#All],2,0)</f>
        <v>TYPE A</v>
      </c>
      <c r="C63" t="s">
        <v>998</v>
      </c>
      <c r="D63" t="s">
        <v>1292</v>
      </c>
      <c r="E63" s="22">
        <v>43447</v>
      </c>
      <c r="F63">
        <v>808</v>
      </c>
    </row>
    <row r="64" spans="1:6" x14ac:dyDescent="0.25">
      <c r="A64" s="30" t="s">
        <v>1319</v>
      </c>
      <c r="B64" s="4" t="str">
        <f>VLOOKUP(Tabela3[[#This Row],[ORDER]],Tabela2[#All],2,0)</f>
        <v>TYPE A</v>
      </c>
      <c r="C64" t="s">
        <v>1149</v>
      </c>
      <c r="D64" t="s">
        <v>1315</v>
      </c>
      <c r="E64" s="22">
        <v>43445</v>
      </c>
      <c r="F64">
        <v>790</v>
      </c>
    </row>
    <row r="65" spans="1:6" x14ac:dyDescent="0.25">
      <c r="A65" s="30" t="s">
        <v>1317</v>
      </c>
      <c r="B65" s="4" t="str">
        <f>VLOOKUP(Tabela3[[#This Row],[ORDER]],Tabela2[#All],2,0)</f>
        <v>TYPE B</v>
      </c>
      <c r="C65" t="s">
        <v>1150</v>
      </c>
      <c r="D65" t="s">
        <v>1312</v>
      </c>
      <c r="E65" s="22">
        <v>43437</v>
      </c>
      <c r="F65">
        <v>1075</v>
      </c>
    </row>
    <row r="66" spans="1:6" x14ac:dyDescent="0.25">
      <c r="A66" s="30" t="s">
        <v>1319</v>
      </c>
      <c r="B66" s="4" t="str">
        <f>VLOOKUP(Tabela3[[#This Row],[ORDER]],Tabela2[#All],2,0)</f>
        <v>TYPE A</v>
      </c>
      <c r="C66" t="s">
        <v>1151</v>
      </c>
      <c r="D66" t="s">
        <v>1300</v>
      </c>
      <c r="E66" s="22">
        <v>43448</v>
      </c>
      <c r="F66">
        <v>814</v>
      </c>
    </row>
    <row r="67" spans="1:6" x14ac:dyDescent="0.25">
      <c r="A67" s="30" t="s">
        <v>1319</v>
      </c>
      <c r="B67" s="4" t="str">
        <f>VLOOKUP(Tabela3[[#This Row],[ORDER]],Tabela2[#All],2,0)</f>
        <v>TYPE A</v>
      </c>
      <c r="C67" t="s">
        <v>999</v>
      </c>
      <c r="D67" t="s">
        <v>1297</v>
      </c>
      <c r="E67" s="22">
        <v>43444</v>
      </c>
      <c r="F67">
        <v>808</v>
      </c>
    </row>
    <row r="68" spans="1:6" x14ac:dyDescent="0.25">
      <c r="A68" s="30" t="s">
        <v>1319</v>
      </c>
      <c r="B68" s="4" t="str">
        <f>VLOOKUP(Tabela3[[#This Row],[ORDER]],Tabela2[#All],2,0)</f>
        <v>TYPE A</v>
      </c>
      <c r="C68" t="s">
        <v>1152</v>
      </c>
      <c r="D68" t="s">
        <v>1300</v>
      </c>
      <c r="E68" s="22">
        <v>43445</v>
      </c>
      <c r="F68">
        <v>812</v>
      </c>
    </row>
    <row r="69" spans="1:6" x14ac:dyDescent="0.25">
      <c r="A69" s="30" t="s">
        <v>1319</v>
      </c>
      <c r="B69" s="4" t="str">
        <f>VLOOKUP(Tabela3[[#This Row],[ORDER]],Tabela2[#All],2,0)</f>
        <v>TYPE A</v>
      </c>
      <c r="C69" t="s">
        <v>1153</v>
      </c>
      <c r="D69" t="s">
        <v>1315</v>
      </c>
      <c r="E69" s="22">
        <v>43445</v>
      </c>
      <c r="F69">
        <v>790</v>
      </c>
    </row>
    <row r="70" spans="1:6" x14ac:dyDescent="0.25">
      <c r="A70" s="30" t="s">
        <v>1319</v>
      </c>
      <c r="B70" s="4" t="str">
        <f>VLOOKUP(Tabela3[[#This Row],[ORDER]],Tabela2[#All],2,0)</f>
        <v>TYPE A</v>
      </c>
      <c r="C70" t="s">
        <v>1154</v>
      </c>
      <c r="D70" t="s">
        <v>1298</v>
      </c>
      <c r="E70" s="22">
        <v>43450</v>
      </c>
      <c r="F70">
        <v>788</v>
      </c>
    </row>
    <row r="71" spans="1:6" x14ac:dyDescent="0.25">
      <c r="A71" s="30" t="s">
        <v>1319</v>
      </c>
      <c r="B71" s="4" t="str">
        <f>VLOOKUP(Tabela3[[#This Row],[ORDER]],Tabela2[#All],2,0)</f>
        <v>TYPE A</v>
      </c>
      <c r="C71" t="s">
        <v>1266</v>
      </c>
      <c r="D71" t="s">
        <v>1298</v>
      </c>
      <c r="E71" s="22">
        <v>43447</v>
      </c>
      <c r="F71">
        <v>567</v>
      </c>
    </row>
    <row r="72" spans="1:6" x14ac:dyDescent="0.25">
      <c r="A72" s="30" t="s">
        <v>1319</v>
      </c>
      <c r="B72" s="4" t="str">
        <f>VLOOKUP(Tabela3[[#This Row],[ORDER]],Tabela2[#All],2,0)</f>
        <v>TYPE A</v>
      </c>
      <c r="C72" t="s">
        <v>1155</v>
      </c>
      <c r="D72" t="s">
        <v>1296</v>
      </c>
      <c r="E72" s="22">
        <v>43445</v>
      </c>
      <c r="F72">
        <v>787</v>
      </c>
    </row>
    <row r="73" spans="1:6" x14ac:dyDescent="0.25">
      <c r="A73" s="30" t="s">
        <v>1319</v>
      </c>
      <c r="B73" s="4" t="str">
        <f>VLOOKUP(Tabela3[[#This Row],[ORDER]],Tabela2[#All],2,0)</f>
        <v>TYPE A</v>
      </c>
      <c r="C73" t="s">
        <v>1156</v>
      </c>
      <c r="D73" t="s">
        <v>1294</v>
      </c>
      <c r="E73" s="22">
        <v>43446</v>
      </c>
      <c r="F73">
        <v>977</v>
      </c>
    </row>
    <row r="74" spans="1:6" x14ac:dyDescent="0.25">
      <c r="A74" s="30" t="s">
        <v>1319</v>
      </c>
      <c r="B74" s="4" t="str">
        <f>VLOOKUP(Tabela3[[#This Row],[ORDER]],Tabela2[#All],2,0)</f>
        <v>TYPE A</v>
      </c>
      <c r="C74" t="s">
        <v>1157</v>
      </c>
      <c r="D74" t="s">
        <v>1299</v>
      </c>
      <c r="E74" s="22">
        <v>43445</v>
      </c>
      <c r="F74">
        <v>797</v>
      </c>
    </row>
    <row r="75" spans="1:6" x14ac:dyDescent="0.25">
      <c r="A75" s="30" t="s">
        <v>1319</v>
      </c>
      <c r="B75" s="4" t="str">
        <f>VLOOKUP(Tabela3[[#This Row],[ORDER]],Tabela2[#All],2,0)</f>
        <v>TYPE A</v>
      </c>
      <c r="C75" t="s">
        <v>1158</v>
      </c>
      <c r="D75" t="s">
        <v>1292</v>
      </c>
      <c r="E75" s="22">
        <v>43445</v>
      </c>
      <c r="F75">
        <v>921</v>
      </c>
    </row>
    <row r="76" spans="1:6" x14ac:dyDescent="0.25">
      <c r="A76" s="30" t="s">
        <v>1319</v>
      </c>
      <c r="B76" s="4" t="str">
        <f>VLOOKUP(Tabela3[[#This Row],[ORDER]],Tabela2[#All],2,0)</f>
        <v>TYPE A</v>
      </c>
      <c r="C76" t="s">
        <v>1000</v>
      </c>
      <c r="D76" t="s">
        <v>1297</v>
      </c>
      <c r="E76" s="22">
        <v>43448</v>
      </c>
      <c r="F76">
        <v>808</v>
      </c>
    </row>
    <row r="77" spans="1:6" x14ac:dyDescent="0.25">
      <c r="A77" s="30" t="s">
        <v>1320</v>
      </c>
      <c r="B77" s="4" t="str">
        <f>VLOOKUP(Tabela3[[#This Row],[ORDER]],Tabela2[#All],2,0)</f>
        <v>TYPE C</v>
      </c>
      <c r="C77" t="s">
        <v>1001</v>
      </c>
      <c r="D77" t="s">
        <v>1307</v>
      </c>
      <c r="E77" s="22">
        <v>43452</v>
      </c>
      <c r="F77">
        <v>1010</v>
      </c>
    </row>
    <row r="78" spans="1:6" x14ac:dyDescent="0.25">
      <c r="A78" s="30" t="s">
        <v>1319</v>
      </c>
      <c r="B78" s="4" t="str">
        <f>VLOOKUP(Tabela3[[#This Row],[ORDER]],Tabela2[#All],2,0)</f>
        <v>TYPE A</v>
      </c>
      <c r="C78" t="s">
        <v>1159</v>
      </c>
      <c r="D78" t="s">
        <v>1299</v>
      </c>
      <c r="E78" s="22">
        <v>43453</v>
      </c>
      <c r="F78">
        <v>795</v>
      </c>
    </row>
    <row r="79" spans="1:6" x14ac:dyDescent="0.25">
      <c r="A79" s="30" t="s">
        <v>1319</v>
      </c>
      <c r="B79" s="4" t="str">
        <f>VLOOKUP(Tabela3[[#This Row],[ORDER]],Tabela2[#All],2,0)</f>
        <v>TYPE A</v>
      </c>
      <c r="C79" t="s">
        <v>1160</v>
      </c>
      <c r="D79" t="s">
        <v>1301</v>
      </c>
      <c r="E79" s="22">
        <v>43451</v>
      </c>
      <c r="F79">
        <v>780</v>
      </c>
    </row>
    <row r="80" spans="1:6" x14ac:dyDescent="0.25">
      <c r="A80" s="30" t="s">
        <v>1320</v>
      </c>
      <c r="B80" s="4" t="str">
        <f>VLOOKUP(Tabela3[[#This Row],[ORDER]],Tabela2[#All],2,0)</f>
        <v>TYPE C</v>
      </c>
      <c r="C80" t="s">
        <v>1002</v>
      </c>
      <c r="D80" t="s">
        <v>1313</v>
      </c>
      <c r="E80" s="22">
        <v>43453</v>
      </c>
      <c r="F80">
        <v>1002</v>
      </c>
    </row>
    <row r="81" spans="1:6" x14ac:dyDescent="0.25">
      <c r="A81" s="30" t="s">
        <v>1319</v>
      </c>
      <c r="B81" s="4" t="str">
        <f>VLOOKUP(Tabela3[[#This Row],[ORDER]],Tabela2[#All],2,0)</f>
        <v>TYPE A</v>
      </c>
      <c r="C81" t="s">
        <v>1161</v>
      </c>
      <c r="D81" t="s">
        <v>1300</v>
      </c>
      <c r="E81" s="22">
        <v>43452</v>
      </c>
      <c r="F81">
        <v>819</v>
      </c>
    </row>
    <row r="82" spans="1:6" x14ac:dyDescent="0.25">
      <c r="A82" s="30" t="s">
        <v>1319</v>
      </c>
      <c r="B82" s="4" t="str">
        <f>VLOOKUP(Tabela3[[#This Row],[ORDER]],Tabela2[#All],2,0)</f>
        <v>TYPE A</v>
      </c>
      <c r="C82" t="s">
        <v>1162</v>
      </c>
      <c r="D82" t="s">
        <v>1314</v>
      </c>
      <c r="E82" s="22">
        <v>43451</v>
      </c>
      <c r="F82">
        <v>817</v>
      </c>
    </row>
    <row r="83" spans="1:6" x14ac:dyDescent="0.25">
      <c r="A83" s="30" t="s">
        <v>1319</v>
      </c>
      <c r="B83" s="4" t="str">
        <f>VLOOKUP(Tabela3[[#This Row],[ORDER]],Tabela2[#All],2,0)</f>
        <v>TYPE A</v>
      </c>
      <c r="C83" t="s">
        <v>1003</v>
      </c>
      <c r="D83" t="s">
        <v>1315</v>
      </c>
      <c r="E83" s="22">
        <v>43452</v>
      </c>
      <c r="F83">
        <v>801</v>
      </c>
    </row>
    <row r="84" spans="1:6" x14ac:dyDescent="0.25">
      <c r="A84" s="30" t="s">
        <v>1321</v>
      </c>
      <c r="B84" s="4" t="str">
        <f>VLOOKUP(Tabela3[[#This Row],[ORDER]],Tabela2[#All],2,0)</f>
        <v>TYPE B</v>
      </c>
      <c r="C84" t="s">
        <v>1004</v>
      </c>
      <c r="D84" t="s">
        <v>1299</v>
      </c>
      <c r="E84" s="22">
        <v>43454</v>
      </c>
      <c r="F84">
        <v>286</v>
      </c>
    </row>
    <row r="85" spans="1:6" x14ac:dyDescent="0.25">
      <c r="A85" s="30" t="s">
        <v>1321</v>
      </c>
      <c r="B85" s="4" t="str">
        <f>VLOOKUP(Tabela3[[#This Row],[ORDER]],Tabela2[#All],2,0)</f>
        <v>TYPE B</v>
      </c>
      <c r="C85" t="s">
        <v>1163</v>
      </c>
      <c r="D85" t="s">
        <v>1306</v>
      </c>
      <c r="E85" s="22">
        <v>43456</v>
      </c>
      <c r="F85">
        <v>519</v>
      </c>
    </row>
    <row r="86" spans="1:6" x14ac:dyDescent="0.25">
      <c r="A86" s="30" t="s">
        <v>1319</v>
      </c>
      <c r="B86" s="4" t="str">
        <f>VLOOKUP(Tabela3[[#This Row],[ORDER]],Tabela2[#All],2,0)</f>
        <v>TYPE A</v>
      </c>
      <c r="C86" t="s">
        <v>1005</v>
      </c>
      <c r="D86" t="s">
        <v>1299</v>
      </c>
      <c r="E86" s="22">
        <v>43451</v>
      </c>
      <c r="F86">
        <v>808</v>
      </c>
    </row>
    <row r="87" spans="1:6" x14ac:dyDescent="0.25">
      <c r="A87" s="30" t="s">
        <v>1319</v>
      </c>
      <c r="B87" s="4" t="str">
        <f>VLOOKUP(Tabela3[[#This Row],[ORDER]],Tabela2[#All],2,0)</f>
        <v>TYPE A</v>
      </c>
      <c r="C87" t="s">
        <v>1006</v>
      </c>
      <c r="D87" t="s">
        <v>1315</v>
      </c>
      <c r="E87" s="22">
        <v>43452</v>
      </c>
      <c r="F87">
        <v>801</v>
      </c>
    </row>
    <row r="88" spans="1:6" x14ac:dyDescent="0.25">
      <c r="A88" s="30" t="s">
        <v>1322</v>
      </c>
      <c r="B88" s="4" t="str">
        <f>VLOOKUP(Tabela3[[#This Row],[ORDER]],Tabela2[#All],2,0)</f>
        <v>TYPE A</v>
      </c>
      <c r="C88" t="s">
        <v>1007</v>
      </c>
      <c r="D88" t="s">
        <v>1292</v>
      </c>
      <c r="E88" s="22">
        <v>43480</v>
      </c>
      <c r="F88">
        <v>808</v>
      </c>
    </row>
    <row r="89" spans="1:6" x14ac:dyDescent="0.25">
      <c r="A89" s="30" t="s">
        <v>1322</v>
      </c>
      <c r="B89" s="4" t="str">
        <f>VLOOKUP(Tabela3[[#This Row],[ORDER]],Tabela2[#All],2,0)</f>
        <v>TYPE A</v>
      </c>
      <c r="C89" t="s">
        <v>1164</v>
      </c>
      <c r="D89" t="s">
        <v>1315</v>
      </c>
      <c r="E89" s="22">
        <v>43481</v>
      </c>
      <c r="F89">
        <v>785</v>
      </c>
    </row>
    <row r="90" spans="1:6" x14ac:dyDescent="0.25">
      <c r="A90" s="30" t="s">
        <v>1322</v>
      </c>
      <c r="B90" s="4" t="str">
        <f>VLOOKUP(Tabela3[[#This Row],[ORDER]],Tabela2[#All],2,0)</f>
        <v>TYPE A</v>
      </c>
      <c r="C90" t="s">
        <v>1008</v>
      </c>
      <c r="D90" t="s">
        <v>1315</v>
      </c>
      <c r="E90" s="22">
        <v>43479</v>
      </c>
      <c r="F90">
        <v>808</v>
      </c>
    </row>
    <row r="91" spans="1:6" x14ac:dyDescent="0.25">
      <c r="A91" s="30" t="s">
        <v>1322</v>
      </c>
      <c r="B91" s="4" t="str">
        <f>VLOOKUP(Tabela3[[#This Row],[ORDER]],Tabela2[#All],2,0)</f>
        <v>TYPE A</v>
      </c>
      <c r="C91" t="s">
        <v>1009</v>
      </c>
      <c r="D91" t="s">
        <v>1300</v>
      </c>
      <c r="E91" s="22">
        <v>43481</v>
      </c>
      <c r="F91">
        <v>808</v>
      </c>
    </row>
    <row r="92" spans="1:6" x14ac:dyDescent="0.25">
      <c r="A92" s="30" t="s">
        <v>1322</v>
      </c>
      <c r="B92" s="4" t="str">
        <f>VLOOKUP(Tabela3[[#This Row],[ORDER]],Tabela2[#All],2,0)</f>
        <v>TYPE A</v>
      </c>
      <c r="C92" t="s">
        <v>1165</v>
      </c>
      <c r="D92" t="s">
        <v>1315</v>
      </c>
      <c r="E92" s="22">
        <v>43481</v>
      </c>
      <c r="F92">
        <v>785</v>
      </c>
    </row>
    <row r="93" spans="1:6" x14ac:dyDescent="0.25">
      <c r="A93" s="30" t="s">
        <v>1322</v>
      </c>
      <c r="B93" s="4" t="str">
        <f>VLOOKUP(Tabela3[[#This Row],[ORDER]],Tabela2[#All],2,0)</f>
        <v>TYPE A</v>
      </c>
      <c r="C93" t="s">
        <v>406</v>
      </c>
      <c r="D93" t="s">
        <v>1315</v>
      </c>
      <c r="E93" s="22">
        <v>43479</v>
      </c>
      <c r="F93">
        <v>808</v>
      </c>
    </row>
    <row r="94" spans="1:6" x14ac:dyDescent="0.25">
      <c r="A94" s="30" t="s">
        <v>1322</v>
      </c>
      <c r="B94" s="4" t="str">
        <f>VLOOKUP(Tabela3[[#This Row],[ORDER]],Tabela2[#All],2,0)</f>
        <v>TYPE A</v>
      </c>
      <c r="C94" t="s">
        <v>1166</v>
      </c>
      <c r="D94" t="s">
        <v>1314</v>
      </c>
      <c r="E94" s="22">
        <v>43481</v>
      </c>
      <c r="F94">
        <v>820</v>
      </c>
    </row>
    <row r="95" spans="1:6" x14ac:dyDescent="0.25">
      <c r="A95" s="30" t="s">
        <v>1322</v>
      </c>
      <c r="B95" s="4" t="str">
        <f>VLOOKUP(Tabela3[[#This Row],[ORDER]],Tabela2[#All],2,0)</f>
        <v>TYPE A</v>
      </c>
      <c r="C95" t="s">
        <v>1010</v>
      </c>
      <c r="D95" t="s">
        <v>1296</v>
      </c>
      <c r="E95" s="22">
        <v>43480</v>
      </c>
      <c r="F95">
        <v>822</v>
      </c>
    </row>
    <row r="96" spans="1:6" x14ac:dyDescent="0.25">
      <c r="A96" s="30" t="s">
        <v>1322</v>
      </c>
      <c r="B96" s="4" t="str">
        <f>VLOOKUP(Tabela3[[#This Row],[ORDER]],Tabela2[#All],2,0)</f>
        <v>TYPE A</v>
      </c>
      <c r="C96" t="s">
        <v>1011</v>
      </c>
      <c r="D96" t="s">
        <v>1314</v>
      </c>
      <c r="E96" s="22">
        <v>43479</v>
      </c>
      <c r="F96">
        <v>808</v>
      </c>
    </row>
    <row r="97" spans="1:6" x14ac:dyDescent="0.25">
      <c r="A97" s="30" t="s">
        <v>1322</v>
      </c>
      <c r="B97" s="4" t="str">
        <f>VLOOKUP(Tabela3[[#This Row],[ORDER]],Tabela2[#All],2,0)</f>
        <v>TYPE A</v>
      </c>
      <c r="C97" t="s">
        <v>1167</v>
      </c>
      <c r="D97" t="s">
        <v>1292</v>
      </c>
      <c r="E97" s="22">
        <v>43482</v>
      </c>
      <c r="F97">
        <v>901</v>
      </c>
    </row>
    <row r="98" spans="1:6" x14ac:dyDescent="0.25">
      <c r="A98" s="30" t="s">
        <v>1322</v>
      </c>
      <c r="B98" s="4" t="str">
        <f>VLOOKUP(Tabela3[[#This Row],[ORDER]],Tabela2[#All],2,0)</f>
        <v>TYPE A</v>
      </c>
      <c r="C98" t="s">
        <v>1012</v>
      </c>
      <c r="D98" t="s">
        <v>1315</v>
      </c>
      <c r="E98" s="22">
        <v>43483</v>
      </c>
      <c r="F98">
        <v>808</v>
      </c>
    </row>
    <row r="99" spans="1:6" x14ac:dyDescent="0.25">
      <c r="A99" s="30" t="s">
        <v>1322</v>
      </c>
      <c r="B99" s="4" t="str">
        <f>VLOOKUP(Tabela3[[#This Row],[ORDER]],Tabela2[#All],2,0)</f>
        <v>TYPE A</v>
      </c>
      <c r="C99" t="s">
        <v>1013</v>
      </c>
      <c r="D99" t="s">
        <v>1315</v>
      </c>
      <c r="E99" s="22">
        <v>43483</v>
      </c>
      <c r="F99">
        <v>808</v>
      </c>
    </row>
    <row r="100" spans="1:6" x14ac:dyDescent="0.25">
      <c r="A100" s="30" t="s">
        <v>1322</v>
      </c>
      <c r="B100" s="4" t="str">
        <f>VLOOKUP(Tabela3[[#This Row],[ORDER]],Tabela2[#All],2,0)</f>
        <v>TYPE A</v>
      </c>
      <c r="C100" t="s">
        <v>1014</v>
      </c>
      <c r="D100" t="s">
        <v>1314</v>
      </c>
      <c r="E100" s="22">
        <v>43483</v>
      </c>
      <c r="F100">
        <v>808</v>
      </c>
    </row>
    <row r="101" spans="1:6" x14ac:dyDescent="0.25">
      <c r="A101" s="30" t="s">
        <v>1319</v>
      </c>
      <c r="B101" s="4" t="str">
        <f>VLOOKUP(Tabela3[[#This Row],[ORDER]],Tabela2[#All],2,0)</f>
        <v>TYPE A</v>
      </c>
      <c r="C101" t="s">
        <v>1015</v>
      </c>
      <c r="D101" t="s">
        <v>1298</v>
      </c>
      <c r="E101" s="22">
        <v>43442</v>
      </c>
      <c r="F101">
        <v>808</v>
      </c>
    </row>
    <row r="102" spans="1:6" x14ac:dyDescent="0.25">
      <c r="A102" s="30" t="s">
        <v>1322</v>
      </c>
      <c r="B102" s="4" t="str">
        <f>VLOOKUP(Tabela3[[#This Row],[ORDER]],Tabela2[#All],2,0)</f>
        <v>TYPE A</v>
      </c>
      <c r="C102" t="s">
        <v>1016</v>
      </c>
      <c r="D102" t="s">
        <v>1292</v>
      </c>
      <c r="E102" s="22">
        <v>43484</v>
      </c>
      <c r="F102">
        <v>400</v>
      </c>
    </row>
    <row r="103" spans="1:6" x14ac:dyDescent="0.25">
      <c r="A103" s="30" t="s">
        <v>1322</v>
      </c>
      <c r="B103" s="21" t="str">
        <f>VLOOKUP(Tabela3[[#This Row],[ORDER]],Tabela2[#All],2,0)</f>
        <v>TYPE A</v>
      </c>
      <c r="C103" t="s">
        <v>1017</v>
      </c>
      <c r="D103" t="s">
        <v>1300</v>
      </c>
      <c r="E103" s="22">
        <v>43486</v>
      </c>
      <c r="F103">
        <v>808</v>
      </c>
    </row>
    <row r="104" spans="1:6" x14ac:dyDescent="0.25">
      <c r="A104" s="30" t="s">
        <v>1322</v>
      </c>
      <c r="B104" s="21" t="str">
        <f>VLOOKUP(Tabela3[[#This Row],[ORDER]],Tabela2[#All],2,0)</f>
        <v>TYPE A</v>
      </c>
      <c r="C104" t="s">
        <v>1018</v>
      </c>
      <c r="D104" t="s">
        <v>1299</v>
      </c>
      <c r="E104" s="22">
        <v>43483</v>
      </c>
      <c r="F104">
        <v>808</v>
      </c>
    </row>
    <row r="105" spans="1:6" x14ac:dyDescent="0.25">
      <c r="A105" s="30" t="s">
        <v>1322</v>
      </c>
      <c r="B105" s="21" t="str">
        <f>VLOOKUP(Tabela3[[#This Row],[ORDER]],Tabela2[#All],2,0)</f>
        <v>TYPE A</v>
      </c>
      <c r="C105" t="s">
        <v>1168</v>
      </c>
      <c r="D105" t="s">
        <v>1300</v>
      </c>
      <c r="E105" s="22">
        <v>43483</v>
      </c>
      <c r="F105">
        <v>808</v>
      </c>
    </row>
    <row r="106" spans="1:6" x14ac:dyDescent="0.25">
      <c r="A106" s="30" t="s">
        <v>1322</v>
      </c>
      <c r="B106" s="21" t="str">
        <f>VLOOKUP(Tabela3[[#This Row],[ORDER]],Tabela2[#All],2,0)</f>
        <v>TYPE A</v>
      </c>
      <c r="C106" t="s">
        <v>1019</v>
      </c>
      <c r="D106" t="s">
        <v>1298</v>
      </c>
      <c r="E106" s="22">
        <v>43482</v>
      </c>
      <c r="F106">
        <v>666</v>
      </c>
    </row>
    <row r="107" spans="1:6" x14ac:dyDescent="0.25">
      <c r="A107" s="30" t="s">
        <v>1322</v>
      </c>
      <c r="B107" s="21" t="str">
        <f>VLOOKUP(Tabela3[[#This Row],[ORDER]],Tabela2[#All],2,0)</f>
        <v>TYPE A</v>
      </c>
      <c r="C107" t="s">
        <v>1169</v>
      </c>
      <c r="D107" t="s">
        <v>1299</v>
      </c>
      <c r="E107" s="22">
        <v>43486</v>
      </c>
      <c r="F107">
        <v>795</v>
      </c>
    </row>
    <row r="108" spans="1:6" x14ac:dyDescent="0.25">
      <c r="A108" s="30" t="s">
        <v>1322</v>
      </c>
      <c r="B108" s="21" t="str">
        <f>VLOOKUP(Tabela3[[#This Row],[ORDER]],Tabela2[#All],2,0)</f>
        <v>TYPE A</v>
      </c>
      <c r="C108" t="s">
        <v>1020</v>
      </c>
      <c r="D108" t="s">
        <v>1296</v>
      </c>
      <c r="E108" s="22">
        <v>43485</v>
      </c>
      <c r="F108">
        <v>808</v>
      </c>
    </row>
    <row r="109" spans="1:6" x14ac:dyDescent="0.25">
      <c r="A109" s="30" t="s">
        <v>1322</v>
      </c>
      <c r="B109" s="21" t="str">
        <f>VLOOKUP(Tabela3[[#This Row],[ORDER]],Tabela2[#All],2,0)</f>
        <v>TYPE A</v>
      </c>
      <c r="C109" t="s">
        <v>1170</v>
      </c>
      <c r="D109" t="s">
        <v>1296</v>
      </c>
      <c r="E109" s="22">
        <v>43482</v>
      </c>
      <c r="F109">
        <v>803</v>
      </c>
    </row>
    <row r="110" spans="1:6" x14ac:dyDescent="0.25">
      <c r="A110" s="30" t="s">
        <v>1322</v>
      </c>
      <c r="B110" s="21" t="str">
        <f>VLOOKUP(Tabela3[[#This Row],[ORDER]],Tabela2[#All],2,0)</f>
        <v>TYPE A</v>
      </c>
      <c r="C110" t="s">
        <v>1171</v>
      </c>
      <c r="D110" t="s">
        <v>1314</v>
      </c>
      <c r="E110" s="22">
        <v>43484</v>
      </c>
      <c r="F110">
        <v>822</v>
      </c>
    </row>
    <row r="111" spans="1:6" x14ac:dyDescent="0.25">
      <c r="A111" s="30" t="s">
        <v>1322</v>
      </c>
      <c r="B111" s="21" t="str">
        <f>VLOOKUP(Tabela3[[#This Row],[ORDER]],Tabela2[#All],2,0)</f>
        <v>TYPE A</v>
      </c>
      <c r="C111" t="s">
        <v>1172</v>
      </c>
      <c r="D111" t="s">
        <v>1298</v>
      </c>
      <c r="E111" s="22">
        <v>43484</v>
      </c>
      <c r="F111">
        <v>954</v>
      </c>
    </row>
    <row r="112" spans="1:6" x14ac:dyDescent="0.25">
      <c r="A112" s="30" t="s">
        <v>1322</v>
      </c>
      <c r="B112" s="21" t="str">
        <f>VLOOKUP(Tabela3[[#This Row],[ORDER]],Tabela2[#All],2,0)</f>
        <v>TYPE A</v>
      </c>
      <c r="C112" t="s">
        <v>1173</v>
      </c>
      <c r="D112" t="s">
        <v>1314</v>
      </c>
      <c r="E112" s="22">
        <v>43489</v>
      </c>
      <c r="F112">
        <v>803</v>
      </c>
    </row>
    <row r="113" spans="1:6" x14ac:dyDescent="0.25">
      <c r="A113" s="30" t="s">
        <v>1322</v>
      </c>
      <c r="B113" s="21" t="str">
        <f>VLOOKUP(Tabela3[[#This Row],[ORDER]],Tabela2[#All],2,0)</f>
        <v>TYPE A</v>
      </c>
      <c r="C113" t="s">
        <v>1021</v>
      </c>
      <c r="D113" t="s">
        <v>1295</v>
      </c>
      <c r="E113" s="22">
        <v>43490</v>
      </c>
      <c r="F113">
        <v>808</v>
      </c>
    </row>
    <row r="114" spans="1:6" x14ac:dyDescent="0.25">
      <c r="A114" s="30" t="s">
        <v>1322</v>
      </c>
      <c r="B114" s="21" t="str">
        <f>VLOOKUP(Tabela3[[#This Row],[ORDER]],Tabela2[#All],2,0)</f>
        <v>TYPE A</v>
      </c>
      <c r="C114" t="s">
        <v>1174</v>
      </c>
      <c r="D114" t="s">
        <v>1300</v>
      </c>
      <c r="E114" s="22">
        <v>43488</v>
      </c>
      <c r="F114">
        <v>805</v>
      </c>
    </row>
    <row r="115" spans="1:6" x14ac:dyDescent="0.25">
      <c r="A115" s="30" t="s">
        <v>1322</v>
      </c>
      <c r="B115" s="21" t="str">
        <f>VLOOKUP(Tabela3[[#This Row],[ORDER]],Tabela2[#All],2,0)</f>
        <v>TYPE A</v>
      </c>
      <c r="C115" t="s">
        <v>1022</v>
      </c>
      <c r="D115" t="s">
        <v>1314</v>
      </c>
      <c r="E115" s="22">
        <v>43487</v>
      </c>
      <c r="F115">
        <v>808</v>
      </c>
    </row>
    <row r="116" spans="1:6" x14ac:dyDescent="0.25">
      <c r="A116" s="30" t="s">
        <v>1322</v>
      </c>
      <c r="B116" s="21" t="str">
        <f>VLOOKUP(Tabela3[[#This Row],[ORDER]],Tabela2[#All],2,0)</f>
        <v>TYPE A</v>
      </c>
      <c r="C116" t="s">
        <v>1023</v>
      </c>
      <c r="D116" t="s">
        <v>1314</v>
      </c>
      <c r="E116" s="22">
        <v>43490</v>
      </c>
      <c r="F116">
        <v>808</v>
      </c>
    </row>
    <row r="117" spans="1:6" x14ac:dyDescent="0.25">
      <c r="A117" s="30" t="s">
        <v>1322</v>
      </c>
      <c r="B117" s="21" t="str">
        <f>VLOOKUP(Tabela3[[#This Row],[ORDER]],Tabela2[#All],2,0)</f>
        <v>TYPE A</v>
      </c>
      <c r="C117" t="s">
        <v>1175</v>
      </c>
      <c r="D117" t="s">
        <v>1315</v>
      </c>
      <c r="E117" s="22">
        <v>43487</v>
      </c>
      <c r="F117">
        <v>800</v>
      </c>
    </row>
    <row r="118" spans="1:6" x14ac:dyDescent="0.25">
      <c r="A118" s="30" t="s">
        <v>1322</v>
      </c>
      <c r="B118" s="21" t="str">
        <f>VLOOKUP(Tabela3[[#This Row],[ORDER]],Tabela2[#All],2,0)</f>
        <v>TYPE A</v>
      </c>
      <c r="C118" t="s">
        <v>1176</v>
      </c>
      <c r="D118" t="s">
        <v>1298</v>
      </c>
      <c r="E118" s="22">
        <v>43489</v>
      </c>
      <c r="F118">
        <v>805</v>
      </c>
    </row>
    <row r="119" spans="1:6" x14ac:dyDescent="0.25">
      <c r="A119" s="30" t="s">
        <v>1322</v>
      </c>
      <c r="B119" s="21" t="str">
        <f>VLOOKUP(Tabela3[[#This Row],[ORDER]],Tabela2[#All],2,0)</f>
        <v>TYPE A</v>
      </c>
      <c r="C119" t="s">
        <v>1024</v>
      </c>
      <c r="D119" t="s">
        <v>1299</v>
      </c>
      <c r="E119" s="22">
        <v>43488</v>
      </c>
      <c r="F119">
        <v>808</v>
      </c>
    </row>
    <row r="120" spans="1:6" x14ac:dyDescent="0.25">
      <c r="A120" s="30" t="s">
        <v>1322</v>
      </c>
      <c r="B120" s="21" t="str">
        <f>VLOOKUP(Tabela3[[#This Row],[ORDER]],Tabela2[#All],2,0)</f>
        <v>TYPE A</v>
      </c>
      <c r="C120" t="s">
        <v>1025</v>
      </c>
      <c r="D120" t="s">
        <v>1292</v>
      </c>
      <c r="E120" s="22">
        <v>43490</v>
      </c>
      <c r="F120">
        <v>861</v>
      </c>
    </row>
    <row r="121" spans="1:6" x14ac:dyDescent="0.25">
      <c r="A121" s="30" t="s">
        <v>1322</v>
      </c>
      <c r="B121" s="21" t="str">
        <f>VLOOKUP(Tabela3[[#This Row],[ORDER]],Tabela2[#All],2,0)</f>
        <v>TYPE A</v>
      </c>
      <c r="C121" t="s">
        <v>1026</v>
      </c>
      <c r="D121" t="s">
        <v>1298</v>
      </c>
      <c r="E121" s="22">
        <v>43487</v>
      </c>
      <c r="F121">
        <v>808</v>
      </c>
    </row>
    <row r="122" spans="1:6" x14ac:dyDescent="0.25">
      <c r="A122" s="30" t="s">
        <v>1322</v>
      </c>
      <c r="B122" s="21" t="str">
        <f>VLOOKUP(Tabela3[[#This Row],[ORDER]],Tabela2[#All],2,0)</f>
        <v>TYPE A</v>
      </c>
      <c r="C122" t="s">
        <v>1177</v>
      </c>
      <c r="D122" t="s">
        <v>1315</v>
      </c>
      <c r="E122" s="22">
        <v>43489</v>
      </c>
      <c r="F122">
        <v>795</v>
      </c>
    </row>
    <row r="123" spans="1:6" x14ac:dyDescent="0.25">
      <c r="A123" s="30" t="s">
        <v>1322</v>
      </c>
      <c r="B123" s="21" t="str">
        <f>VLOOKUP(Tabela3[[#This Row],[ORDER]],Tabela2[#All],2,0)</f>
        <v>TYPE A</v>
      </c>
      <c r="C123" t="s">
        <v>1178</v>
      </c>
      <c r="D123" t="s">
        <v>1297</v>
      </c>
      <c r="E123" s="22">
        <v>43491</v>
      </c>
      <c r="F123">
        <v>791</v>
      </c>
    </row>
    <row r="124" spans="1:6" x14ac:dyDescent="0.25">
      <c r="A124" s="30" t="s">
        <v>1322</v>
      </c>
      <c r="B124" s="21" t="str">
        <f>VLOOKUP(Tabela3[[#This Row],[ORDER]],Tabela2[#All],2,0)</f>
        <v>TYPE A</v>
      </c>
      <c r="C124" t="s">
        <v>1027</v>
      </c>
      <c r="D124" t="s">
        <v>1298</v>
      </c>
      <c r="E124" s="22">
        <v>43493</v>
      </c>
      <c r="F124">
        <v>803</v>
      </c>
    </row>
    <row r="125" spans="1:6" x14ac:dyDescent="0.25">
      <c r="A125" s="30" t="s">
        <v>1322</v>
      </c>
      <c r="B125" s="21" t="str">
        <f>VLOOKUP(Tabela3[[#This Row],[ORDER]],Tabela2[#All],2,0)</f>
        <v>TYPE A</v>
      </c>
      <c r="C125" t="s">
        <v>1179</v>
      </c>
      <c r="D125" t="s">
        <v>1315</v>
      </c>
      <c r="E125" s="22">
        <v>43491</v>
      </c>
      <c r="F125">
        <v>795</v>
      </c>
    </row>
    <row r="126" spans="1:6" x14ac:dyDescent="0.25">
      <c r="A126" s="30" t="s">
        <v>1322</v>
      </c>
      <c r="B126" s="21" t="str">
        <f>VLOOKUP(Tabela3[[#This Row],[ORDER]],Tabela2[#All],2,0)</f>
        <v>TYPE A</v>
      </c>
      <c r="C126" t="s">
        <v>1180</v>
      </c>
      <c r="D126" t="s">
        <v>1314</v>
      </c>
      <c r="E126" s="22">
        <v>43493</v>
      </c>
      <c r="F126">
        <v>814</v>
      </c>
    </row>
    <row r="127" spans="1:6" x14ac:dyDescent="0.25">
      <c r="A127" s="30" t="s">
        <v>1322</v>
      </c>
      <c r="B127" s="21" t="str">
        <f>VLOOKUP(Tabela3[[#This Row],[ORDER]],Tabela2[#All],2,0)</f>
        <v>TYPE A</v>
      </c>
      <c r="C127" t="s">
        <v>1181</v>
      </c>
      <c r="D127" t="s">
        <v>1300</v>
      </c>
      <c r="E127" s="22">
        <v>43491</v>
      </c>
      <c r="F127">
        <v>802</v>
      </c>
    </row>
    <row r="128" spans="1:6" x14ac:dyDescent="0.25">
      <c r="A128" s="30" t="s">
        <v>1322</v>
      </c>
      <c r="B128" s="21" t="str">
        <f>VLOOKUP(Tabela3[[#This Row],[ORDER]],Tabela2[#All],2,0)</f>
        <v>TYPE A</v>
      </c>
      <c r="C128" t="s">
        <v>1028</v>
      </c>
      <c r="D128" t="s">
        <v>1297</v>
      </c>
      <c r="E128" s="22">
        <v>43489</v>
      </c>
      <c r="F128">
        <v>812</v>
      </c>
    </row>
    <row r="129" spans="1:6" x14ac:dyDescent="0.25">
      <c r="A129" s="30" t="s">
        <v>1322</v>
      </c>
      <c r="B129" s="21" t="str">
        <f>VLOOKUP(Tabela3[[#This Row],[ORDER]],Tabela2[#All],2,0)</f>
        <v>TYPE A</v>
      </c>
      <c r="C129" t="s">
        <v>1182</v>
      </c>
      <c r="D129" t="s">
        <v>1296</v>
      </c>
      <c r="E129" s="22">
        <v>43491</v>
      </c>
      <c r="F129">
        <v>789</v>
      </c>
    </row>
    <row r="130" spans="1:6" x14ac:dyDescent="0.25">
      <c r="A130" s="30" t="s">
        <v>1322</v>
      </c>
      <c r="B130" s="21" t="str">
        <f>VLOOKUP(Tabela3[[#This Row],[ORDER]],Tabela2[#All],2,0)</f>
        <v>TYPE A</v>
      </c>
      <c r="C130" t="s">
        <v>1183</v>
      </c>
      <c r="D130" t="s">
        <v>1299</v>
      </c>
      <c r="E130" s="22">
        <v>43490</v>
      </c>
      <c r="F130">
        <v>798</v>
      </c>
    </row>
    <row r="131" spans="1:6" x14ac:dyDescent="0.25">
      <c r="A131" s="30" t="s">
        <v>1322</v>
      </c>
      <c r="B131" s="21" t="str">
        <f>VLOOKUP(Tabela3[[#This Row],[ORDER]],Tabela2[#All],2,0)</f>
        <v>TYPE A</v>
      </c>
      <c r="C131" t="s">
        <v>1184</v>
      </c>
      <c r="D131" t="s">
        <v>1296</v>
      </c>
      <c r="E131" s="22">
        <v>43487</v>
      </c>
      <c r="F131">
        <v>788</v>
      </c>
    </row>
    <row r="132" spans="1:6" x14ac:dyDescent="0.25">
      <c r="A132" s="30" t="s">
        <v>1322</v>
      </c>
      <c r="B132" s="21" t="str">
        <f>VLOOKUP(Tabela3[[#This Row],[ORDER]],Tabela2[#All],2,0)</f>
        <v>TYPE A</v>
      </c>
      <c r="C132" t="s">
        <v>1185</v>
      </c>
      <c r="D132" t="s">
        <v>1295</v>
      </c>
      <c r="E132" s="22">
        <v>43493</v>
      </c>
      <c r="F132">
        <v>791</v>
      </c>
    </row>
    <row r="133" spans="1:6" x14ac:dyDescent="0.25">
      <c r="A133" s="30" t="s">
        <v>1322</v>
      </c>
      <c r="B133" s="21" t="str">
        <f>VLOOKUP(Tabela3[[#This Row],[ORDER]],Tabela2[#All],2,0)</f>
        <v>TYPE A</v>
      </c>
      <c r="C133" t="s">
        <v>1029</v>
      </c>
      <c r="D133" t="s">
        <v>1315</v>
      </c>
      <c r="E133" s="22">
        <v>43489</v>
      </c>
      <c r="F133">
        <v>808</v>
      </c>
    </row>
    <row r="134" spans="1:6" x14ac:dyDescent="0.25">
      <c r="A134" s="30" t="s">
        <v>1322</v>
      </c>
      <c r="B134" s="21" t="str">
        <f>VLOOKUP(Tabela3[[#This Row],[ORDER]],Tabela2[#All],2,0)</f>
        <v>TYPE A</v>
      </c>
      <c r="C134" t="s">
        <v>1030</v>
      </c>
      <c r="D134" t="s">
        <v>1296</v>
      </c>
      <c r="E134" s="22">
        <v>43488</v>
      </c>
      <c r="F134">
        <v>808</v>
      </c>
    </row>
    <row r="135" spans="1:6" x14ac:dyDescent="0.25">
      <c r="A135" s="30" t="s">
        <v>1322</v>
      </c>
      <c r="B135" s="21" t="str">
        <f>VLOOKUP(Tabela3[[#This Row],[ORDER]],Tabela2[#All],2,0)</f>
        <v>TYPE A</v>
      </c>
      <c r="C135" t="s">
        <v>1267</v>
      </c>
      <c r="D135" t="s">
        <v>1292</v>
      </c>
      <c r="E135" s="22">
        <v>43488</v>
      </c>
      <c r="F135">
        <v>512</v>
      </c>
    </row>
    <row r="136" spans="1:6" x14ac:dyDescent="0.25">
      <c r="A136" s="30" t="s">
        <v>1322</v>
      </c>
      <c r="B136" s="21" t="str">
        <f>VLOOKUP(Tabela3[[#This Row],[ORDER]],Tabela2[#All],2,0)</f>
        <v>TYPE A</v>
      </c>
      <c r="C136" t="s">
        <v>1186</v>
      </c>
      <c r="D136" t="s">
        <v>1315</v>
      </c>
      <c r="E136" s="22">
        <v>43487</v>
      </c>
      <c r="F136">
        <v>800</v>
      </c>
    </row>
    <row r="137" spans="1:6" x14ac:dyDescent="0.25">
      <c r="A137" s="30" t="s">
        <v>1322</v>
      </c>
      <c r="B137" s="21" t="str">
        <f>VLOOKUP(Tabela3[[#This Row],[ORDER]],Tabela2[#All],2,0)</f>
        <v>TYPE A</v>
      </c>
      <c r="C137" t="s">
        <v>1031</v>
      </c>
      <c r="D137" t="s">
        <v>1315</v>
      </c>
      <c r="E137" s="22">
        <v>43489</v>
      </c>
      <c r="F137">
        <v>808</v>
      </c>
    </row>
    <row r="138" spans="1:6" x14ac:dyDescent="0.25">
      <c r="A138" s="30" t="s">
        <v>1322</v>
      </c>
      <c r="B138" s="21" t="str">
        <f>VLOOKUP(Tabela3[[#This Row],[ORDER]],Tabela2[#All],2,0)</f>
        <v>TYPE A</v>
      </c>
      <c r="C138" t="s">
        <v>1032</v>
      </c>
      <c r="D138" t="s">
        <v>1300</v>
      </c>
      <c r="E138" s="22">
        <v>43490</v>
      </c>
      <c r="F138">
        <v>808</v>
      </c>
    </row>
    <row r="139" spans="1:6" x14ac:dyDescent="0.25">
      <c r="A139" s="30" t="s">
        <v>1322</v>
      </c>
      <c r="B139" s="21" t="str">
        <f>VLOOKUP(Tabela3[[#This Row],[ORDER]],Tabela2[#All],2,0)</f>
        <v>TYPE A</v>
      </c>
      <c r="C139" t="s">
        <v>1187</v>
      </c>
      <c r="D139" t="s">
        <v>1300</v>
      </c>
      <c r="E139" s="22">
        <v>43487</v>
      </c>
      <c r="F139">
        <v>808</v>
      </c>
    </row>
    <row r="140" spans="1:6" x14ac:dyDescent="0.25">
      <c r="A140" s="30" t="s">
        <v>1323</v>
      </c>
      <c r="B140" s="21" t="str">
        <f>VLOOKUP(Tabela3[[#This Row],[ORDER]],Tabela2[#All],2,0)</f>
        <v>TYPE A</v>
      </c>
      <c r="C140" t="s">
        <v>1033</v>
      </c>
      <c r="D140" t="s">
        <v>1297</v>
      </c>
      <c r="E140" s="22">
        <v>43498</v>
      </c>
      <c r="F140">
        <v>808</v>
      </c>
    </row>
    <row r="141" spans="1:6" x14ac:dyDescent="0.25">
      <c r="A141" s="30" t="s">
        <v>1323</v>
      </c>
      <c r="B141" s="21" t="str">
        <f>VLOOKUP(Tabela3[[#This Row],[ORDER]],Tabela2[#All],2,0)</f>
        <v>TYPE A</v>
      </c>
      <c r="C141" t="s">
        <v>1188</v>
      </c>
      <c r="D141" t="s">
        <v>1298</v>
      </c>
      <c r="E141" s="22">
        <v>43496</v>
      </c>
      <c r="F141">
        <v>401</v>
      </c>
    </row>
    <row r="142" spans="1:6" x14ac:dyDescent="0.25">
      <c r="A142" s="30" t="s">
        <v>1323</v>
      </c>
      <c r="B142" s="21" t="str">
        <f>VLOOKUP(Tabela3[[#This Row],[ORDER]],Tabela2[#All],2,0)</f>
        <v>TYPE A</v>
      </c>
      <c r="C142" t="s">
        <v>1268</v>
      </c>
      <c r="D142" t="s">
        <v>1298</v>
      </c>
      <c r="E142" s="22">
        <v>43497</v>
      </c>
      <c r="F142">
        <v>393</v>
      </c>
    </row>
    <row r="143" spans="1:6" x14ac:dyDescent="0.25">
      <c r="A143" s="30" t="s">
        <v>1323</v>
      </c>
      <c r="B143" s="21" t="str">
        <f>VLOOKUP(Tabela3[[#This Row],[ORDER]],Tabela2[#All],2,0)</f>
        <v>TYPE A</v>
      </c>
      <c r="C143" t="s">
        <v>1034</v>
      </c>
      <c r="D143" t="s">
        <v>1297</v>
      </c>
      <c r="E143" s="22">
        <v>43494</v>
      </c>
      <c r="F143">
        <v>808</v>
      </c>
    </row>
    <row r="144" spans="1:6" x14ac:dyDescent="0.25">
      <c r="A144" s="30" t="s">
        <v>1323</v>
      </c>
      <c r="B144" s="21" t="str">
        <f>VLOOKUP(Tabela3[[#This Row],[ORDER]],Tabela2[#All],2,0)</f>
        <v>TYPE A</v>
      </c>
      <c r="C144" t="s">
        <v>1035</v>
      </c>
      <c r="D144" t="s">
        <v>1298</v>
      </c>
      <c r="E144" s="22">
        <v>43495</v>
      </c>
      <c r="F144">
        <v>808</v>
      </c>
    </row>
    <row r="145" spans="1:6" x14ac:dyDescent="0.25">
      <c r="A145" s="30" t="s">
        <v>1323</v>
      </c>
      <c r="B145" s="21" t="str">
        <f>VLOOKUP(Tabela3[[#This Row],[ORDER]],Tabela2[#All],2,0)</f>
        <v>TYPE A</v>
      </c>
      <c r="C145" t="s">
        <v>1189</v>
      </c>
      <c r="D145" t="s">
        <v>1315</v>
      </c>
      <c r="E145" s="22">
        <v>43496</v>
      </c>
      <c r="F145">
        <v>798</v>
      </c>
    </row>
    <row r="146" spans="1:6" x14ac:dyDescent="0.25">
      <c r="A146" s="30" t="s">
        <v>1323</v>
      </c>
      <c r="B146" s="21" t="str">
        <f>VLOOKUP(Tabela3[[#This Row],[ORDER]],Tabela2[#All],2,0)</f>
        <v>TYPE A</v>
      </c>
      <c r="C146" t="s">
        <v>1036</v>
      </c>
      <c r="D146" t="s">
        <v>1315</v>
      </c>
      <c r="E146" s="22">
        <v>43494</v>
      </c>
      <c r="F146">
        <v>808</v>
      </c>
    </row>
    <row r="147" spans="1:6" x14ac:dyDescent="0.25">
      <c r="A147" s="30" t="s">
        <v>1323</v>
      </c>
      <c r="B147" s="21" t="str">
        <f>VLOOKUP(Tabela3[[#This Row],[ORDER]],Tabela2[#All],2,0)</f>
        <v>TYPE A</v>
      </c>
      <c r="C147" t="s">
        <v>1037</v>
      </c>
      <c r="D147" t="s">
        <v>1315</v>
      </c>
      <c r="E147" s="22">
        <v>43494</v>
      </c>
      <c r="F147">
        <v>808</v>
      </c>
    </row>
    <row r="148" spans="1:6" x14ac:dyDescent="0.25">
      <c r="A148" s="30" t="s">
        <v>1323</v>
      </c>
      <c r="B148" s="21" t="str">
        <f>VLOOKUP(Tabela3[[#This Row],[ORDER]],Tabela2[#All],2,0)</f>
        <v>TYPE A</v>
      </c>
      <c r="C148" t="s">
        <v>1190</v>
      </c>
      <c r="D148" t="s">
        <v>1315</v>
      </c>
      <c r="E148" s="22">
        <v>43496</v>
      </c>
      <c r="F148">
        <v>798</v>
      </c>
    </row>
    <row r="149" spans="1:6" x14ac:dyDescent="0.25">
      <c r="A149" s="30" t="s">
        <v>1323</v>
      </c>
      <c r="B149" s="21" t="str">
        <f>VLOOKUP(Tabela3[[#This Row],[ORDER]],Tabela2[#All],2,0)</f>
        <v>TYPE A</v>
      </c>
      <c r="C149" t="s">
        <v>1038</v>
      </c>
      <c r="D149" t="s">
        <v>1314</v>
      </c>
      <c r="E149" s="22">
        <v>43498</v>
      </c>
      <c r="F149">
        <v>808</v>
      </c>
    </row>
    <row r="150" spans="1:6" x14ac:dyDescent="0.25">
      <c r="A150" s="30" t="s">
        <v>1323</v>
      </c>
      <c r="B150" s="21" t="str">
        <f>VLOOKUP(Tabela3[[#This Row],[ORDER]],Tabela2[#All],2,0)</f>
        <v>TYPE A</v>
      </c>
      <c r="C150" t="s">
        <v>1191</v>
      </c>
      <c r="D150" t="s">
        <v>1297</v>
      </c>
      <c r="E150" s="22">
        <v>43496</v>
      </c>
      <c r="F150">
        <v>798</v>
      </c>
    </row>
    <row r="151" spans="1:6" x14ac:dyDescent="0.25">
      <c r="A151" s="30" t="s">
        <v>1323</v>
      </c>
      <c r="B151" s="21" t="str">
        <f>VLOOKUP(Tabela3[[#This Row],[ORDER]],Tabela2[#All],2,0)</f>
        <v>TYPE A</v>
      </c>
      <c r="C151" t="s">
        <v>1039</v>
      </c>
      <c r="D151" t="s">
        <v>1314</v>
      </c>
      <c r="E151" s="22">
        <v>43495</v>
      </c>
      <c r="F151">
        <v>808</v>
      </c>
    </row>
    <row r="152" spans="1:6" x14ac:dyDescent="0.25">
      <c r="A152" s="30" t="s">
        <v>1323</v>
      </c>
      <c r="B152" s="21" t="str">
        <f>VLOOKUP(Tabela3[[#This Row],[ORDER]],Tabela2[#All],2,0)</f>
        <v>TYPE A</v>
      </c>
      <c r="C152" t="s">
        <v>1192</v>
      </c>
      <c r="D152" t="s">
        <v>1314</v>
      </c>
      <c r="E152" s="22">
        <v>43496</v>
      </c>
      <c r="F152">
        <v>824</v>
      </c>
    </row>
    <row r="153" spans="1:6" x14ac:dyDescent="0.25">
      <c r="A153" s="30" t="s">
        <v>1324</v>
      </c>
      <c r="B153" s="21" t="str">
        <f>VLOOKUP(Tabela3[[#This Row],[ORDER]],Tabela2[#All],2,0)</f>
        <v>TYPE C</v>
      </c>
      <c r="C153" t="s">
        <v>1040</v>
      </c>
      <c r="D153" t="s">
        <v>1306</v>
      </c>
      <c r="E153" s="22">
        <v>43502</v>
      </c>
      <c r="F153">
        <v>1020</v>
      </c>
    </row>
    <row r="154" spans="1:6" x14ac:dyDescent="0.25">
      <c r="A154" s="30" t="s">
        <v>1323</v>
      </c>
      <c r="B154" s="21" t="str">
        <f>VLOOKUP(Tabela3[[#This Row],[ORDER]],Tabela2[#All],2,0)</f>
        <v>TYPE A</v>
      </c>
      <c r="C154" t="s">
        <v>1193</v>
      </c>
      <c r="D154" t="s">
        <v>1298</v>
      </c>
      <c r="E154" s="22">
        <v>43502</v>
      </c>
      <c r="F154">
        <v>802</v>
      </c>
    </row>
    <row r="155" spans="1:6" x14ac:dyDescent="0.25">
      <c r="A155" s="30" t="s">
        <v>1324</v>
      </c>
      <c r="B155" s="21" t="str">
        <f>VLOOKUP(Tabela3[[#This Row],[ORDER]],Tabela2[#All],2,0)</f>
        <v>TYPE C</v>
      </c>
      <c r="C155" t="s">
        <v>1041</v>
      </c>
      <c r="D155" t="s">
        <v>1303</v>
      </c>
      <c r="E155" s="22">
        <v>43502</v>
      </c>
      <c r="F155">
        <v>1017</v>
      </c>
    </row>
    <row r="156" spans="1:6" x14ac:dyDescent="0.25">
      <c r="A156" s="30" t="s">
        <v>1323</v>
      </c>
      <c r="B156" s="21" t="str">
        <f>VLOOKUP(Tabela3[[#This Row],[ORDER]],Tabela2[#All],2,0)</f>
        <v>TYPE A</v>
      </c>
      <c r="C156" t="s">
        <v>1042</v>
      </c>
      <c r="D156" t="s">
        <v>1298</v>
      </c>
      <c r="E156" s="22">
        <v>43504</v>
      </c>
      <c r="F156">
        <v>808</v>
      </c>
    </row>
    <row r="157" spans="1:6" x14ac:dyDescent="0.25">
      <c r="A157" s="30" t="s">
        <v>1323</v>
      </c>
      <c r="B157" s="21" t="str">
        <f>VLOOKUP(Tabela3[[#This Row],[ORDER]],Tabela2[#All],2,0)</f>
        <v>TYPE A</v>
      </c>
      <c r="C157" t="s">
        <v>1043</v>
      </c>
      <c r="D157" t="s">
        <v>1298</v>
      </c>
      <c r="E157" s="22">
        <v>43500</v>
      </c>
      <c r="F157">
        <v>808</v>
      </c>
    </row>
    <row r="158" spans="1:6" x14ac:dyDescent="0.25">
      <c r="A158" s="30" t="s">
        <v>1323</v>
      </c>
      <c r="B158" s="21" t="str">
        <f>VLOOKUP(Tabela3[[#This Row],[ORDER]],Tabela2[#All],2,0)</f>
        <v>TYPE A</v>
      </c>
      <c r="C158" t="s">
        <v>1194</v>
      </c>
      <c r="D158" t="s">
        <v>1297</v>
      </c>
      <c r="E158" s="22">
        <v>43501</v>
      </c>
      <c r="F158">
        <v>808</v>
      </c>
    </row>
    <row r="159" spans="1:6" x14ac:dyDescent="0.25">
      <c r="A159" s="30" t="s">
        <v>1323</v>
      </c>
      <c r="B159" s="21" t="str">
        <f>VLOOKUP(Tabela3[[#This Row],[ORDER]],Tabela2[#All],2,0)</f>
        <v>TYPE A</v>
      </c>
      <c r="C159" t="s">
        <v>1195</v>
      </c>
      <c r="D159" t="s">
        <v>1297</v>
      </c>
      <c r="E159" s="22">
        <v>43504</v>
      </c>
      <c r="F159">
        <v>807</v>
      </c>
    </row>
    <row r="160" spans="1:6" x14ac:dyDescent="0.25">
      <c r="A160" s="30" t="s">
        <v>1323</v>
      </c>
      <c r="B160" s="21" t="str">
        <f>VLOOKUP(Tabela3[[#This Row],[ORDER]],Tabela2[#All],2,0)</f>
        <v>TYPE A</v>
      </c>
      <c r="C160" t="s">
        <v>1044</v>
      </c>
      <c r="D160" t="s">
        <v>1314</v>
      </c>
      <c r="E160" s="22">
        <v>43503</v>
      </c>
      <c r="F160">
        <v>808</v>
      </c>
    </row>
    <row r="161" spans="1:6" x14ac:dyDescent="0.25">
      <c r="A161" s="30" t="s">
        <v>1324</v>
      </c>
      <c r="B161" s="21" t="str">
        <f>VLOOKUP(Tabela3[[#This Row],[ORDER]],Tabela2[#All],2,0)</f>
        <v>TYPE C</v>
      </c>
      <c r="C161" t="s">
        <v>1196</v>
      </c>
      <c r="D161" t="s">
        <v>1306</v>
      </c>
      <c r="E161" s="22">
        <v>43505</v>
      </c>
      <c r="F161">
        <v>1031</v>
      </c>
    </row>
    <row r="162" spans="1:6" x14ac:dyDescent="0.25">
      <c r="A162" s="30" t="s">
        <v>1323</v>
      </c>
      <c r="B162" s="21" t="str">
        <f>VLOOKUP(Tabela3[[#This Row],[ORDER]],Tabela2[#All],2,0)</f>
        <v>TYPE A</v>
      </c>
      <c r="C162" t="s">
        <v>1197</v>
      </c>
      <c r="D162" t="s">
        <v>1315</v>
      </c>
      <c r="E162" s="22">
        <v>43502</v>
      </c>
      <c r="F162">
        <v>788</v>
      </c>
    </row>
    <row r="163" spans="1:6" x14ac:dyDescent="0.25">
      <c r="A163" s="30" t="s">
        <v>1323</v>
      </c>
      <c r="B163" s="21" t="str">
        <f>VLOOKUP(Tabela3[[#This Row],[ORDER]],Tabela2[#All],2,0)</f>
        <v>TYPE A</v>
      </c>
      <c r="C163" t="s">
        <v>1198</v>
      </c>
      <c r="D163" t="s">
        <v>1315</v>
      </c>
      <c r="E163" s="22">
        <v>43502</v>
      </c>
      <c r="F163">
        <v>788</v>
      </c>
    </row>
    <row r="164" spans="1:6" x14ac:dyDescent="0.25">
      <c r="A164" s="30" t="s">
        <v>1323</v>
      </c>
      <c r="B164" s="21" t="str">
        <f>VLOOKUP(Tabela3[[#This Row],[ORDER]],Tabela2[#All],2,0)</f>
        <v>TYPE A</v>
      </c>
      <c r="C164" t="s">
        <v>1045</v>
      </c>
      <c r="D164" t="s">
        <v>1315</v>
      </c>
      <c r="E164" s="22">
        <v>43505</v>
      </c>
      <c r="F164">
        <v>808</v>
      </c>
    </row>
    <row r="165" spans="1:6" x14ac:dyDescent="0.25">
      <c r="A165" s="30" t="s">
        <v>1323</v>
      </c>
      <c r="B165" s="21" t="str">
        <f>VLOOKUP(Tabela3[[#This Row],[ORDER]],Tabela2[#All],2,0)</f>
        <v>TYPE A</v>
      </c>
      <c r="C165" t="s">
        <v>1046</v>
      </c>
      <c r="D165" t="s">
        <v>1315</v>
      </c>
      <c r="E165" s="22">
        <v>43505</v>
      </c>
      <c r="F165">
        <v>808</v>
      </c>
    </row>
    <row r="166" spans="1:6" x14ac:dyDescent="0.25">
      <c r="A166" s="30" t="s">
        <v>1323</v>
      </c>
      <c r="B166" s="21" t="str">
        <f>VLOOKUP(Tabela3[[#This Row],[ORDER]],Tabela2[#All],2,0)</f>
        <v>TYPE A</v>
      </c>
      <c r="C166" t="s">
        <v>1047</v>
      </c>
      <c r="D166" t="s">
        <v>1315</v>
      </c>
      <c r="E166" s="22">
        <v>43500</v>
      </c>
      <c r="F166">
        <v>800</v>
      </c>
    </row>
    <row r="167" spans="1:6" x14ac:dyDescent="0.25">
      <c r="A167" s="30" t="s">
        <v>1323</v>
      </c>
      <c r="B167" s="21" t="str">
        <f>VLOOKUP(Tabela3[[#This Row],[ORDER]],Tabela2[#All],2,0)</f>
        <v>TYPE A</v>
      </c>
      <c r="C167" t="s">
        <v>1048</v>
      </c>
      <c r="D167" t="s">
        <v>1297</v>
      </c>
      <c r="E167" s="22">
        <v>43508</v>
      </c>
      <c r="F167">
        <v>808</v>
      </c>
    </row>
    <row r="168" spans="1:6" x14ac:dyDescent="0.25">
      <c r="A168" s="30" t="s">
        <v>1323</v>
      </c>
      <c r="B168" s="21" t="str">
        <f>VLOOKUP(Tabela3[[#This Row],[ORDER]],Tabela2[#All],2,0)</f>
        <v>TYPE A</v>
      </c>
      <c r="C168" t="s">
        <v>1049</v>
      </c>
      <c r="D168" t="s">
        <v>1314</v>
      </c>
      <c r="E168" s="22">
        <v>43507</v>
      </c>
      <c r="F168">
        <v>808</v>
      </c>
    </row>
    <row r="169" spans="1:6" x14ac:dyDescent="0.25">
      <c r="A169" s="30" t="s">
        <v>1323</v>
      </c>
      <c r="B169" s="21" t="str">
        <f>VLOOKUP(Tabela3[[#This Row],[ORDER]],Tabela2[#All],2,0)</f>
        <v>TYPE A</v>
      </c>
      <c r="C169" t="s">
        <v>1199</v>
      </c>
      <c r="D169" t="s">
        <v>1298</v>
      </c>
      <c r="E169" s="22">
        <v>43505</v>
      </c>
      <c r="F169">
        <v>395</v>
      </c>
    </row>
    <row r="170" spans="1:6" x14ac:dyDescent="0.25">
      <c r="A170" s="30" t="s">
        <v>1323</v>
      </c>
      <c r="B170" s="21" t="str">
        <f>VLOOKUP(Tabela3[[#This Row],[ORDER]],Tabela2[#All],2,0)</f>
        <v>TYPE A</v>
      </c>
      <c r="C170" t="s">
        <v>1200</v>
      </c>
      <c r="D170" t="s">
        <v>1314</v>
      </c>
      <c r="E170" s="22">
        <v>43504</v>
      </c>
      <c r="F170">
        <v>808</v>
      </c>
    </row>
    <row r="171" spans="1:6" x14ac:dyDescent="0.25">
      <c r="A171" s="30" t="s">
        <v>1323</v>
      </c>
      <c r="B171" s="21" t="str">
        <f>VLOOKUP(Tabela3[[#This Row],[ORDER]],Tabela2[#All],2,0)</f>
        <v>TYPE A</v>
      </c>
      <c r="C171" t="s">
        <v>1050</v>
      </c>
      <c r="D171" t="s">
        <v>1297</v>
      </c>
      <c r="E171" s="22">
        <v>43503</v>
      </c>
      <c r="F171">
        <v>808</v>
      </c>
    </row>
    <row r="172" spans="1:6" x14ac:dyDescent="0.25">
      <c r="A172" s="30" t="s">
        <v>1324</v>
      </c>
      <c r="B172" s="21" t="str">
        <f>VLOOKUP(Tabela3[[#This Row],[ORDER]],Tabela2[#All],2,0)</f>
        <v>TYPE C</v>
      </c>
      <c r="C172" t="s">
        <v>1201</v>
      </c>
      <c r="D172" t="s">
        <v>1303</v>
      </c>
      <c r="E172" s="22">
        <v>43506</v>
      </c>
      <c r="F172">
        <v>1203</v>
      </c>
    </row>
    <row r="173" spans="1:6" x14ac:dyDescent="0.25">
      <c r="A173" s="30" t="s">
        <v>1323</v>
      </c>
      <c r="B173" s="21" t="str">
        <f>VLOOKUP(Tabela3[[#This Row],[ORDER]],Tabela2[#All],2,0)</f>
        <v>TYPE A</v>
      </c>
      <c r="C173" t="s">
        <v>1051</v>
      </c>
      <c r="D173" t="s">
        <v>1315</v>
      </c>
      <c r="E173" s="22">
        <v>43500</v>
      </c>
      <c r="F173">
        <v>800</v>
      </c>
    </row>
    <row r="174" spans="1:6" x14ac:dyDescent="0.25">
      <c r="A174" s="30" t="s">
        <v>1323</v>
      </c>
      <c r="B174" s="21" t="str">
        <f>VLOOKUP(Tabela3[[#This Row],[ORDER]],Tabela2[#All],2,0)</f>
        <v>TYPE A</v>
      </c>
      <c r="C174" t="s">
        <v>1202</v>
      </c>
      <c r="D174" t="s">
        <v>1315</v>
      </c>
      <c r="E174" s="22">
        <v>43507</v>
      </c>
      <c r="F174">
        <v>421</v>
      </c>
    </row>
    <row r="175" spans="1:6" x14ac:dyDescent="0.25">
      <c r="A175" s="30" t="s">
        <v>1323</v>
      </c>
      <c r="B175" s="21" t="str">
        <f>VLOOKUP(Tabela3[[#This Row],[ORDER]],Tabela2[#All],2,0)</f>
        <v>TYPE A</v>
      </c>
      <c r="C175" t="s">
        <v>1203</v>
      </c>
      <c r="D175" t="s">
        <v>1315</v>
      </c>
      <c r="E175" s="22">
        <v>43507</v>
      </c>
      <c r="F175">
        <v>421</v>
      </c>
    </row>
    <row r="176" spans="1:6" x14ac:dyDescent="0.25">
      <c r="A176" s="30" t="s">
        <v>1359</v>
      </c>
      <c r="B176" s="21" t="str">
        <f>VLOOKUP(Tabela3[[#This Row],[ORDER]],Tabela2[#All],2,0)</f>
        <v>TYPE A</v>
      </c>
      <c r="C176" t="s">
        <v>1052</v>
      </c>
      <c r="D176" t="s">
        <v>1301</v>
      </c>
      <c r="E176" s="22">
        <v>43217</v>
      </c>
      <c r="F176">
        <v>808</v>
      </c>
    </row>
    <row r="177" spans="1:6" x14ac:dyDescent="0.25">
      <c r="A177" s="30" t="s">
        <v>1323</v>
      </c>
      <c r="B177" s="21" t="str">
        <f>VLOOKUP(Tabela3[[#This Row],[ORDER]],Tabela2[#All],2,0)</f>
        <v>TYPE A</v>
      </c>
      <c r="C177" t="s">
        <v>1204</v>
      </c>
      <c r="D177" t="s">
        <v>1314</v>
      </c>
      <c r="E177" s="22">
        <v>43501</v>
      </c>
      <c r="F177">
        <v>811</v>
      </c>
    </row>
    <row r="178" spans="1:6" x14ac:dyDescent="0.25">
      <c r="A178" s="30" t="s">
        <v>1323</v>
      </c>
      <c r="B178" s="21" t="str">
        <f>VLOOKUP(Tabela3[[#This Row],[ORDER]],Tabela2[#All],2,0)</f>
        <v>TYPE A</v>
      </c>
      <c r="C178" t="s">
        <v>1205</v>
      </c>
      <c r="D178" t="s">
        <v>1314</v>
      </c>
      <c r="E178" s="22">
        <v>43509</v>
      </c>
      <c r="F178">
        <v>801</v>
      </c>
    </row>
    <row r="179" spans="1:6" x14ac:dyDescent="0.25">
      <c r="A179" s="30" t="s">
        <v>1323</v>
      </c>
      <c r="B179" s="21" t="str">
        <f>VLOOKUP(Tabela3[[#This Row],[ORDER]],Tabela2[#All],2,0)</f>
        <v>TYPE A</v>
      </c>
      <c r="C179" t="s">
        <v>1206</v>
      </c>
      <c r="D179" t="s">
        <v>1315</v>
      </c>
      <c r="E179" s="22">
        <v>43514</v>
      </c>
      <c r="F179">
        <v>808</v>
      </c>
    </row>
    <row r="180" spans="1:6" x14ac:dyDescent="0.25">
      <c r="A180" s="30" t="s">
        <v>1323</v>
      </c>
      <c r="B180" s="21" t="str">
        <f>VLOOKUP(Tabela3[[#This Row],[ORDER]],Tabela2[#All],2,0)</f>
        <v>TYPE A</v>
      </c>
      <c r="C180" t="s">
        <v>1053</v>
      </c>
      <c r="D180" t="s">
        <v>1314</v>
      </c>
      <c r="E180" s="22">
        <v>43510</v>
      </c>
      <c r="F180">
        <v>808</v>
      </c>
    </row>
    <row r="181" spans="1:6" x14ac:dyDescent="0.25">
      <c r="A181" s="30" t="s">
        <v>1323</v>
      </c>
      <c r="B181" s="21" t="str">
        <f>VLOOKUP(Tabela3[[#This Row],[ORDER]],Tabela2[#All],2,0)</f>
        <v>TYPE A</v>
      </c>
      <c r="C181" t="s">
        <v>1054</v>
      </c>
      <c r="D181" t="s">
        <v>1315</v>
      </c>
      <c r="E181" s="22">
        <v>43511</v>
      </c>
      <c r="F181">
        <v>808</v>
      </c>
    </row>
    <row r="182" spans="1:6" x14ac:dyDescent="0.25">
      <c r="A182" s="30" t="s">
        <v>1323</v>
      </c>
      <c r="B182" s="21" t="str">
        <f>VLOOKUP(Tabela3[[#This Row],[ORDER]],Tabela2[#All],2,0)</f>
        <v>TYPE A</v>
      </c>
      <c r="C182" t="s">
        <v>1055</v>
      </c>
      <c r="D182" t="s">
        <v>1315</v>
      </c>
      <c r="E182" s="22">
        <v>43511</v>
      </c>
      <c r="F182">
        <v>808</v>
      </c>
    </row>
    <row r="183" spans="1:6" x14ac:dyDescent="0.25">
      <c r="A183" s="30" t="s">
        <v>1323</v>
      </c>
      <c r="B183" s="21" t="str">
        <f>VLOOKUP(Tabela3[[#This Row],[ORDER]],Tabela2[#All],2,0)</f>
        <v>TYPE A</v>
      </c>
      <c r="C183" t="s">
        <v>1269</v>
      </c>
      <c r="D183" t="s">
        <v>1315</v>
      </c>
      <c r="E183" s="22">
        <v>43508</v>
      </c>
      <c r="F183">
        <v>376</v>
      </c>
    </row>
    <row r="184" spans="1:6" x14ac:dyDescent="0.25">
      <c r="A184" s="30" t="s">
        <v>1323</v>
      </c>
      <c r="B184" s="21" t="str">
        <f>VLOOKUP(Tabela3[[#This Row],[ORDER]],Tabela2[#All],2,0)</f>
        <v>TYPE A</v>
      </c>
      <c r="C184" t="s">
        <v>1056</v>
      </c>
      <c r="D184" t="s">
        <v>1298</v>
      </c>
      <c r="E184" s="22">
        <v>43515</v>
      </c>
      <c r="F184">
        <v>808</v>
      </c>
    </row>
    <row r="185" spans="1:6" x14ac:dyDescent="0.25">
      <c r="A185" s="30" t="s">
        <v>1323</v>
      </c>
      <c r="B185" s="21" t="str">
        <f>VLOOKUP(Tabela3[[#This Row],[ORDER]],Tabela2[#All],2,0)</f>
        <v>TYPE A</v>
      </c>
      <c r="C185" t="s">
        <v>1207</v>
      </c>
      <c r="D185" t="s">
        <v>1315</v>
      </c>
      <c r="E185" s="22">
        <v>43514</v>
      </c>
      <c r="F185">
        <v>808</v>
      </c>
    </row>
    <row r="186" spans="1:6" x14ac:dyDescent="0.25">
      <c r="A186" s="30" t="s">
        <v>1323</v>
      </c>
      <c r="B186" s="21" t="str">
        <f>VLOOKUP(Tabela3[[#This Row],[ORDER]],Tabela2[#All],2,0)</f>
        <v>TYPE A</v>
      </c>
      <c r="C186" t="s">
        <v>1208</v>
      </c>
      <c r="D186" t="s">
        <v>1314</v>
      </c>
      <c r="E186" s="22">
        <v>43512</v>
      </c>
      <c r="F186">
        <v>806</v>
      </c>
    </row>
    <row r="187" spans="1:6" x14ac:dyDescent="0.25">
      <c r="A187" s="30" t="s">
        <v>1323</v>
      </c>
      <c r="B187" s="21" t="str">
        <f>VLOOKUP(Tabela3[[#This Row],[ORDER]],Tabela2[#All],2,0)</f>
        <v>TYPE A</v>
      </c>
      <c r="C187" t="s">
        <v>1057</v>
      </c>
      <c r="D187" t="s">
        <v>1314</v>
      </c>
      <c r="E187" s="22">
        <v>43516</v>
      </c>
      <c r="F187">
        <v>809</v>
      </c>
    </row>
    <row r="188" spans="1:6" x14ac:dyDescent="0.25">
      <c r="A188" s="30" t="s">
        <v>1323</v>
      </c>
      <c r="B188" s="21" t="str">
        <f>VLOOKUP(Tabela3[[#This Row],[ORDER]],Tabela2[#All],2,0)</f>
        <v>TYPE A</v>
      </c>
      <c r="C188" t="s">
        <v>1058</v>
      </c>
      <c r="D188" t="s">
        <v>1297</v>
      </c>
      <c r="E188" s="22">
        <v>43512</v>
      </c>
      <c r="F188">
        <v>808</v>
      </c>
    </row>
    <row r="189" spans="1:6" x14ac:dyDescent="0.25">
      <c r="A189" s="30" t="s">
        <v>1323</v>
      </c>
      <c r="B189" s="21" t="str">
        <f>VLOOKUP(Tabela3[[#This Row],[ORDER]],Tabela2[#All],2,0)</f>
        <v>TYPE A</v>
      </c>
      <c r="C189" t="s">
        <v>1209</v>
      </c>
      <c r="D189" t="s">
        <v>1298</v>
      </c>
      <c r="E189" s="22">
        <v>43517</v>
      </c>
      <c r="F189">
        <v>796</v>
      </c>
    </row>
    <row r="190" spans="1:6" x14ac:dyDescent="0.25">
      <c r="A190" s="30" t="s">
        <v>1325</v>
      </c>
      <c r="B190" s="21" t="str">
        <f>VLOOKUP(Tabela3[[#This Row],[ORDER]],Tabela2[#All],2,0)</f>
        <v>TYPE A</v>
      </c>
      <c r="C190" t="s">
        <v>1059</v>
      </c>
      <c r="D190" t="s">
        <v>1315</v>
      </c>
      <c r="E190" s="22">
        <v>43516</v>
      </c>
      <c r="F190">
        <v>808</v>
      </c>
    </row>
    <row r="191" spans="1:6" x14ac:dyDescent="0.25">
      <c r="A191" s="30" t="s">
        <v>1323</v>
      </c>
      <c r="B191" s="21" t="str">
        <f>VLOOKUP(Tabela3[[#This Row],[ORDER]],Tabela2[#All],2,0)</f>
        <v>TYPE A</v>
      </c>
      <c r="C191" t="s">
        <v>1270</v>
      </c>
      <c r="D191" t="s">
        <v>1315</v>
      </c>
      <c r="E191" s="22">
        <v>43508</v>
      </c>
      <c r="F191">
        <v>375</v>
      </c>
    </row>
    <row r="192" spans="1:6" x14ac:dyDescent="0.25">
      <c r="A192" s="30" t="s">
        <v>1325</v>
      </c>
      <c r="B192" s="21" t="str">
        <f>VLOOKUP(Tabela3[[#This Row],[ORDER]],Tabela2[#All],2,0)</f>
        <v>TYPE A</v>
      </c>
      <c r="C192" t="s">
        <v>1060</v>
      </c>
      <c r="D192" t="s">
        <v>1315</v>
      </c>
      <c r="E192" s="22">
        <v>43516</v>
      </c>
      <c r="F192">
        <v>808</v>
      </c>
    </row>
    <row r="193" spans="1:6" x14ac:dyDescent="0.25">
      <c r="A193" s="30" t="s">
        <v>1323</v>
      </c>
      <c r="B193" s="21" t="str">
        <f>VLOOKUP(Tabela3[[#This Row],[ORDER]],Tabela2[#All],2,0)</f>
        <v>TYPE A</v>
      </c>
      <c r="C193" t="s">
        <v>1210</v>
      </c>
      <c r="D193" t="s">
        <v>1297</v>
      </c>
      <c r="E193" s="22">
        <v>43507</v>
      </c>
      <c r="F193">
        <v>798</v>
      </c>
    </row>
    <row r="194" spans="1:6" x14ac:dyDescent="0.25">
      <c r="A194" s="30" t="s">
        <v>1325</v>
      </c>
      <c r="B194" s="21" t="str">
        <f>VLOOKUP(Tabela3[[#This Row],[ORDER]],Tabela2[#All],2,0)</f>
        <v>TYPE A</v>
      </c>
      <c r="C194" t="s">
        <v>1061</v>
      </c>
      <c r="D194" t="s">
        <v>1297</v>
      </c>
      <c r="E194" s="22">
        <v>43516</v>
      </c>
      <c r="F194">
        <v>808</v>
      </c>
    </row>
    <row r="195" spans="1:6" x14ac:dyDescent="0.25">
      <c r="A195" s="30" t="s">
        <v>1323</v>
      </c>
      <c r="B195" s="21" t="str">
        <f>VLOOKUP(Tabela3[[#This Row],[ORDER]],Tabela2[#All],2,0)</f>
        <v>TYPE A</v>
      </c>
      <c r="C195" t="s">
        <v>1211</v>
      </c>
      <c r="D195" t="s">
        <v>1297</v>
      </c>
      <c r="E195" s="22">
        <v>43514</v>
      </c>
      <c r="F195">
        <v>793</v>
      </c>
    </row>
    <row r="196" spans="1:6" x14ac:dyDescent="0.25">
      <c r="A196" s="30" t="s">
        <v>1326</v>
      </c>
      <c r="B196" s="21" t="str">
        <f>VLOOKUP(Tabela3[[#This Row],[ORDER]],Tabela2[#All],2,0)</f>
        <v>TYPE D1</v>
      </c>
      <c r="C196" t="s">
        <v>1062</v>
      </c>
      <c r="D196" t="s">
        <v>1298</v>
      </c>
      <c r="E196" s="22">
        <v>43512</v>
      </c>
      <c r="F196">
        <v>518</v>
      </c>
    </row>
    <row r="197" spans="1:6" x14ac:dyDescent="0.25">
      <c r="A197" s="30" t="s">
        <v>1393</v>
      </c>
      <c r="B197" s="21" t="str">
        <f>VLOOKUP(Tabela3[[#This Row],[ORDER]],Tabela2[#All],2,0)</f>
        <v>TYPE D2</v>
      </c>
      <c r="C197" t="s">
        <v>1063</v>
      </c>
      <c r="D197" t="s">
        <v>1314</v>
      </c>
      <c r="E197" s="22">
        <v>43517</v>
      </c>
      <c r="F197">
        <v>50</v>
      </c>
    </row>
    <row r="198" spans="1:6" x14ac:dyDescent="0.25">
      <c r="A198" s="30" t="s">
        <v>1325</v>
      </c>
      <c r="B198" s="21" t="str">
        <f>VLOOKUP(Tabela3[[#This Row],[ORDER]],Tabela2[#All],2,0)</f>
        <v>TYPE A</v>
      </c>
      <c r="C198" t="s">
        <v>1064</v>
      </c>
      <c r="D198" t="s">
        <v>1315</v>
      </c>
      <c r="E198" s="22">
        <v>43522</v>
      </c>
      <c r="F198">
        <v>808</v>
      </c>
    </row>
    <row r="199" spans="1:6" x14ac:dyDescent="0.25">
      <c r="A199" s="30" t="s">
        <v>1325</v>
      </c>
      <c r="B199" s="21" t="str">
        <f>VLOOKUP(Tabela3[[#This Row],[ORDER]],Tabela2[#All],2,0)</f>
        <v>TYPE A</v>
      </c>
      <c r="C199" t="s">
        <v>1212</v>
      </c>
      <c r="D199" t="s">
        <v>1315</v>
      </c>
      <c r="E199" s="22">
        <v>43518</v>
      </c>
      <c r="F199">
        <v>804</v>
      </c>
    </row>
    <row r="200" spans="1:6" x14ac:dyDescent="0.25">
      <c r="A200" s="30" t="s">
        <v>1323</v>
      </c>
      <c r="B200" s="21" t="str">
        <f>VLOOKUP(Tabela3[[#This Row],[ORDER]],Tabela2[#All],2,0)</f>
        <v>TYPE A</v>
      </c>
      <c r="C200" t="s">
        <v>1065</v>
      </c>
      <c r="D200" t="s">
        <v>1298</v>
      </c>
      <c r="E200" s="22">
        <v>43519</v>
      </c>
      <c r="F200">
        <v>808</v>
      </c>
    </row>
    <row r="201" spans="1:6" x14ac:dyDescent="0.25">
      <c r="A201" s="30" t="s">
        <v>1323</v>
      </c>
      <c r="B201" s="21" t="str">
        <f>VLOOKUP(Tabela3[[#This Row],[ORDER]],Tabela2[#All],2,0)</f>
        <v>TYPE A</v>
      </c>
      <c r="C201" t="s">
        <v>1213</v>
      </c>
      <c r="D201" t="s">
        <v>1298</v>
      </c>
      <c r="E201" s="22">
        <v>43522</v>
      </c>
      <c r="F201">
        <v>800</v>
      </c>
    </row>
    <row r="202" spans="1:6" x14ac:dyDescent="0.25">
      <c r="A202" s="30" t="s">
        <v>1325</v>
      </c>
      <c r="B202" s="21" t="str">
        <f>VLOOKUP(Tabela3[[#This Row],[ORDER]],Tabela2[#All],2,0)</f>
        <v>TYPE A</v>
      </c>
      <c r="C202" t="s">
        <v>1214</v>
      </c>
      <c r="D202" t="s">
        <v>1315</v>
      </c>
      <c r="E202" s="22">
        <v>43518</v>
      </c>
      <c r="F202">
        <v>804</v>
      </c>
    </row>
    <row r="203" spans="1:6" x14ac:dyDescent="0.25">
      <c r="A203" s="30" t="s">
        <v>1325</v>
      </c>
      <c r="B203" s="21" t="str">
        <f>VLOOKUP(Tabela3[[#This Row],[ORDER]],Tabela2[#All],2,0)</f>
        <v>TYPE A</v>
      </c>
      <c r="C203" t="s">
        <v>1215</v>
      </c>
      <c r="D203" t="s">
        <v>1297</v>
      </c>
      <c r="E203" s="22">
        <v>43523</v>
      </c>
      <c r="F203">
        <v>791</v>
      </c>
    </row>
    <row r="204" spans="1:6" x14ac:dyDescent="0.25">
      <c r="A204" s="30" t="s">
        <v>1325</v>
      </c>
      <c r="B204" s="21" t="str">
        <f>VLOOKUP(Tabela3[[#This Row],[ORDER]],Tabela2[#All],2,0)</f>
        <v>TYPE A</v>
      </c>
      <c r="C204" t="s">
        <v>1216</v>
      </c>
      <c r="D204" t="s">
        <v>1297</v>
      </c>
      <c r="E204" s="22">
        <v>43518</v>
      </c>
      <c r="F204">
        <v>791</v>
      </c>
    </row>
    <row r="205" spans="1:6" x14ac:dyDescent="0.25">
      <c r="A205" s="30" t="s">
        <v>1325</v>
      </c>
      <c r="B205" s="21" t="str">
        <f>VLOOKUP(Tabela3[[#This Row],[ORDER]],Tabela2[#All],2,0)</f>
        <v>TYPE A</v>
      </c>
      <c r="C205" t="s">
        <v>1066</v>
      </c>
      <c r="D205" t="s">
        <v>1315</v>
      </c>
      <c r="E205" s="22">
        <v>43522</v>
      </c>
      <c r="F205">
        <v>808</v>
      </c>
    </row>
    <row r="206" spans="1:6" x14ac:dyDescent="0.25">
      <c r="A206" s="30" t="s">
        <v>1325</v>
      </c>
      <c r="B206" s="21" t="str">
        <f>VLOOKUP(Tabela3[[#This Row],[ORDER]],Tabela2[#All],2,0)</f>
        <v>TYPE A</v>
      </c>
      <c r="C206" t="s">
        <v>1217</v>
      </c>
      <c r="D206" t="s">
        <v>1315</v>
      </c>
      <c r="E206" s="22">
        <v>43524</v>
      </c>
      <c r="F206">
        <v>790</v>
      </c>
    </row>
    <row r="207" spans="1:6" x14ac:dyDescent="0.25">
      <c r="A207" s="30" t="s">
        <v>1325</v>
      </c>
      <c r="B207" s="21" t="str">
        <f>VLOOKUP(Tabela3[[#This Row],[ORDER]],Tabela2[#All],2,0)</f>
        <v>TYPE A</v>
      </c>
      <c r="C207" t="s">
        <v>1218</v>
      </c>
      <c r="D207" t="s">
        <v>1315</v>
      </c>
      <c r="E207" s="22">
        <v>43524</v>
      </c>
      <c r="F207">
        <v>790</v>
      </c>
    </row>
    <row r="208" spans="1:6" x14ac:dyDescent="0.25">
      <c r="A208" s="30" t="s">
        <v>1325</v>
      </c>
      <c r="B208" s="21" t="str">
        <f>VLOOKUP(Tabela3[[#This Row],[ORDER]],Tabela2[#All],2,0)</f>
        <v>TYPE A</v>
      </c>
      <c r="C208" t="s">
        <v>1067</v>
      </c>
      <c r="D208" t="s">
        <v>1297</v>
      </c>
      <c r="E208" s="22">
        <v>43525</v>
      </c>
      <c r="F208">
        <v>808</v>
      </c>
    </row>
    <row r="209" spans="1:7" x14ac:dyDescent="0.25">
      <c r="A209" s="30" t="s">
        <v>1327</v>
      </c>
      <c r="B209" s="21" t="str">
        <f>VLOOKUP(Tabela3[[#This Row],[ORDER]],Tabela2[#All],2,0)</f>
        <v>TYPE A</v>
      </c>
      <c r="C209" t="s">
        <v>1068</v>
      </c>
      <c r="D209" t="s">
        <v>1304</v>
      </c>
      <c r="E209" s="22">
        <v>43524</v>
      </c>
      <c r="F209">
        <v>808</v>
      </c>
    </row>
    <row r="210" spans="1:7" x14ac:dyDescent="0.25">
      <c r="A210" s="30" t="s">
        <v>1325</v>
      </c>
      <c r="B210" s="21" t="str">
        <f>VLOOKUP(Tabela3[[#This Row],[ORDER]],Tabela2[#All],2,0)</f>
        <v>TYPE A</v>
      </c>
      <c r="C210" t="s">
        <v>1069</v>
      </c>
      <c r="D210" t="s">
        <v>1297</v>
      </c>
      <c r="E210" s="22">
        <v>43521</v>
      </c>
      <c r="F210">
        <v>808</v>
      </c>
    </row>
    <row r="211" spans="1:7" x14ac:dyDescent="0.25">
      <c r="A211" s="30" t="s">
        <v>1327</v>
      </c>
      <c r="B211" s="21" t="str">
        <f>VLOOKUP(Tabela3[[#This Row],[ORDER]],Tabela2[#All],2,0)</f>
        <v>TYPE A</v>
      </c>
      <c r="C211" t="s">
        <v>1219</v>
      </c>
      <c r="D211" t="s">
        <v>1304</v>
      </c>
      <c r="E211" s="22">
        <v>43521</v>
      </c>
      <c r="F211">
        <v>804</v>
      </c>
    </row>
    <row r="212" spans="1:7" x14ac:dyDescent="0.25">
      <c r="A212" s="30" t="s">
        <v>1325</v>
      </c>
      <c r="B212" s="21" t="str">
        <f>VLOOKUP(Tabela3[[#This Row],[ORDER]],Tabela2[#All],2,0)</f>
        <v>TYPE A</v>
      </c>
      <c r="C212" t="s">
        <v>1070</v>
      </c>
      <c r="D212" t="s">
        <v>1298</v>
      </c>
      <c r="E212" s="22">
        <v>43524</v>
      </c>
      <c r="F212">
        <v>808</v>
      </c>
    </row>
    <row r="213" spans="1:7" x14ac:dyDescent="0.25">
      <c r="A213" s="30" t="s">
        <v>1328</v>
      </c>
      <c r="B213" s="21" t="str">
        <f>VLOOKUP(Tabela3[[#This Row],[ORDER]],Tabela2[#All],2,0)</f>
        <v>TYPE B</v>
      </c>
      <c r="C213" t="s">
        <v>521</v>
      </c>
      <c r="D213" t="s">
        <v>1314</v>
      </c>
      <c r="E213" s="22">
        <v>43523</v>
      </c>
      <c r="F213">
        <v>136</v>
      </c>
      <c r="G213">
        <v>1</v>
      </c>
    </row>
    <row r="214" spans="1:7" x14ac:dyDescent="0.25">
      <c r="A214" s="30" t="s">
        <v>1328</v>
      </c>
      <c r="B214" s="21" t="str">
        <f>VLOOKUP(Tabela3[[#This Row],[ORDER]],Tabela2[#All],2,0)</f>
        <v>TYPE B</v>
      </c>
      <c r="C214" t="s">
        <v>1220</v>
      </c>
      <c r="D214" t="s">
        <v>1314</v>
      </c>
      <c r="E214" s="22">
        <v>43525</v>
      </c>
      <c r="F214">
        <v>884</v>
      </c>
      <c r="G214">
        <v>1</v>
      </c>
    </row>
    <row r="215" spans="1:7" x14ac:dyDescent="0.25">
      <c r="A215" s="30" t="s">
        <v>1328</v>
      </c>
      <c r="B215" s="21" t="str">
        <f>VLOOKUP(Tabela3[[#This Row],[ORDER]],Tabela2[#All],2,0)</f>
        <v>TYPE B</v>
      </c>
      <c r="C215" t="s">
        <v>1071</v>
      </c>
      <c r="D215" t="s">
        <v>1308</v>
      </c>
      <c r="E215" s="22">
        <v>43526</v>
      </c>
      <c r="F215">
        <v>1020</v>
      </c>
      <c r="G215">
        <v>1</v>
      </c>
    </row>
    <row r="216" spans="1:7" x14ac:dyDescent="0.25">
      <c r="A216" s="30" t="s">
        <v>1328</v>
      </c>
      <c r="B216" s="21" t="str">
        <f>VLOOKUP(Tabela3[[#This Row],[ORDER]],Tabela2[#All],2,0)</f>
        <v>TYPE B</v>
      </c>
      <c r="C216" t="s">
        <v>1271</v>
      </c>
      <c r="D216" t="s">
        <v>1314</v>
      </c>
      <c r="E216" s="22">
        <v>43528</v>
      </c>
      <c r="F216">
        <v>1020</v>
      </c>
      <c r="G216">
        <v>1</v>
      </c>
    </row>
    <row r="217" spans="1:7" x14ac:dyDescent="0.25">
      <c r="A217" s="30" t="s">
        <v>1327</v>
      </c>
      <c r="B217" s="21" t="str">
        <f>VLOOKUP(Tabela3[[#This Row],[ORDER]],Tabela2[#All],2,0)</f>
        <v>TYPE A</v>
      </c>
      <c r="C217" t="s">
        <v>1072</v>
      </c>
      <c r="D217" t="s">
        <v>1304</v>
      </c>
      <c r="E217" s="22">
        <v>43518</v>
      </c>
      <c r="F217">
        <v>808</v>
      </c>
    </row>
    <row r="218" spans="1:7" x14ac:dyDescent="0.25">
      <c r="A218" s="30" t="s">
        <v>1325</v>
      </c>
      <c r="B218" s="21" t="str">
        <f>VLOOKUP(Tabela3[[#This Row],[ORDER]],Tabela2[#All],2,0)</f>
        <v>TYPE A</v>
      </c>
      <c r="C218" t="s">
        <v>1221</v>
      </c>
      <c r="D218" t="s">
        <v>1298</v>
      </c>
      <c r="E218" s="22">
        <v>43526</v>
      </c>
      <c r="F218">
        <v>794</v>
      </c>
    </row>
    <row r="219" spans="1:7" x14ac:dyDescent="0.25">
      <c r="A219" s="30" t="s">
        <v>1325</v>
      </c>
      <c r="B219" s="21" t="str">
        <f>VLOOKUP(Tabela3[[#This Row],[ORDER]],Tabela2[#All],2,0)</f>
        <v>TYPE A</v>
      </c>
      <c r="C219" t="s">
        <v>1222</v>
      </c>
      <c r="D219" t="s">
        <v>1298</v>
      </c>
      <c r="E219" s="22">
        <v>43529</v>
      </c>
      <c r="F219">
        <v>789</v>
      </c>
      <c r="G219">
        <v>1</v>
      </c>
    </row>
    <row r="220" spans="1:7" x14ac:dyDescent="0.25">
      <c r="A220" s="30" t="s">
        <v>1325</v>
      </c>
      <c r="B220" s="21" t="str">
        <f>VLOOKUP(Tabela3[[#This Row],[ORDER]],Tabela2[#All],2,0)</f>
        <v>TYPE A</v>
      </c>
      <c r="C220" t="s">
        <v>1223</v>
      </c>
      <c r="D220" t="s">
        <v>1296</v>
      </c>
      <c r="E220" s="22">
        <v>43529</v>
      </c>
      <c r="F220">
        <v>785</v>
      </c>
    </row>
    <row r="221" spans="1:7" x14ac:dyDescent="0.25">
      <c r="A221" s="30" t="s">
        <v>1325</v>
      </c>
      <c r="B221" s="21" t="str">
        <f>VLOOKUP(Tabela3[[#This Row],[ORDER]],Tabela2[#All],2,0)</f>
        <v>TYPE A</v>
      </c>
      <c r="C221" t="s">
        <v>1224</v>
      </c>
      <c r="D221" t="s">
        <v>1315</v>
      </c>
      <c r="E221" s="22">
        <v>43530</v>
      </c>
      <c r="F221">
        <v>797</v>
      </c>
      <c r="G221">
        <v>1</v>
      </c>
    </row>
    <row r="222" spans="1:7" x14ac:dyDescent="0.25">
      <c r="A222" s="30" t="s">
        <v>1325</v>
      </c>
      <c r="B222" s="21" t="str">
        <f>VLOOKUP(Tabela3[[#This Row],[ORDER]],Tabela2[#All],2,0)</f>
        <v>TYPE A</v>
      </c>
      <c r="C222" t="s">
        <v>1073</v>
      </c>
      <c r="D222" t="s">
        <v>1297</v>
      </c>
      <c r="E222" s="22">
        <v>43529</v>
      </c>
      <c r="F222">
        <v>808</v>
      </c>
      <c r="G222">
        <v>1</v>
      </c>
    </row>
    <row r="223" spans="1:7" x14ac:dyDescent="0.25">
      <c r="A223" s="30" t="s">
        <v>1325</v>
      </c>
      <c r="B223" s="21" t="str">
        <f>VLOOKUP(Tabela3[[#This Row],[ORDER]],Tabela2[#All],2,0)</f>
        <v>TYPE A</v>
      </c>
      <c r="C223" t="s">
        <v>1074</v>
      </c>
      <c r="D223" t="s">
        <v>1315</v>
      </c>
      <c r="E223" s="22">
        <v>43528</v>
      </c>
      <c r="F223">
        <v>808</v>
      </c>
      <c r="G223">
        <v>1</v>
      </c>
    </row>
    <row r="224" spans="1:7" x14ac:dyDescent="0.25">
      <c r="A224" s="30" t="s">
        <v>1325</v>
      </c>
      <c r="B224" s="21" t="str">
        <f>VLOOKUP(Tabela3[[#This Row],[ORDER]],Tabela2[#All],2,0)</f>
        <v>TYPE A</v>
      </c>
      <c r="C224" t="s">
        <v>1075</v>
      </c>
      <c r="D224" t="s">
        <v>1304</v>
      </c>
      <c r="E224" s="22">
        <v>43529</v>
      </c>
      <c r="F224">
        <v>808</v>
      </c>
      <c r="G224">
        <v>1</v>
      </c>
    </row>
    <row r="225" spans="1:7" x14ac:dyDescent="0.25">
      <c r="A225" s="30" t="s">
        <v>1325</v>
      </c>
      <c r="B225" s="21" t="str">
        <f>VLOOKUP(Tabela3[[#This Row],[ORDER]],Tabela2[#All],2,0)</f>
        <v>TYPE A</v>
      </c>
      <c r="C225" t="s">
        <v>1225</v>
      </c>
      <c r="D225" t="s">
        <v>1315</v>
      </c>
      <c r="E225" s="22">
        <v>43165</v>
      </c>
      <c r="F225">
        <v>797</v>
      </c>
      <c r="G225">
        <v>1</v>
      </c>
    </row>
    <row r="226" spans="1:7" x14ac:dyDescent="0.25">
      <c r="A226" s="30" t="s">
        <v>1325</v>
      </c>
      <c r="B226" s="21" t="str">
        <f>VLOOKUP(Tabela3[[#This Row],[ORDER]],Tabela2[#All],2,0)</f>
        <v>TYPE A</v>
      </c>
      <c r="C226" t="s">
        <v>1076</v>
      </c>
      <c r="D226" t="s">
        <v>1296</v>
      </c>
      <c r="E226" s="22">
        <v>43530</v>
      </c>
      <c r="F226">
        <v>387</v>
      </c>
    </row>
    <row r="227" spans="1:7" x14ac:dyDescent="0.25">
      <c r="A227" s="30" t="s">
        <v>1325</v>
      </c>
      <c r="B227" s="21" t="str">
        <f>VLOOKUP(Tabela3[[#This Row],[ORDER]],Tabela2[#All],2,0)</f>
        <v>TYPE A</v>
      </c>
      <c r="C227" t="s">
        <v>1077</v>
      </c>
      <c r="D227" t="s">
        <v>1296</v>
      </c>
      <c r="E227" s="22">
        <v>43526</v>
      </c>
      <c r="F227">
        <v>808</v>
      </c>
    </row>
    <row r="228" spans="1:7" x14ac:dyDescent="0.25">
      <c r="A228" s="30" t="s">
        <v>1325</v>
      </c>
      <c r="B228" s="21" t="str">
        <f>VLOOKUP(Tabela3[[#This Row],[ORDER]],Tabela2[#All],2,0)</f>
        <v>TYPE A</v>
      </c>
      <c r="C228" t="s">
        <v>1226</v>
      </c>
      <c r="D228" t="s">
        <v>1297</v>
      </c>
      <c r="E228" s="22">
        <v>43526</v>
      </c>
      <c r="F228">
        <v>796</v>
      </c>
    </row>
    <row r="229" spans="1:7" x14ac:dyDescent="0.25">
      <c r="A229" s="30" t="s">
        <v>1325</v>
      </c>
      <c r="B229" s="21" t="str">
        <f>VLOOKUP(Tabela3[[#This Row],[ORDER]],Tabela2[#All],2,0)</f>
        <v>TYPE A</v>
      </c>
      <c r="C229" t="s">
        <v>1078</v>
      </c>
      <c r="D229" t="s">
        <v>1315</v>
      </c>
      <c r="E229" s="22">
        <v>43528</v>
      </c>
      <c r="F229">
        <v>808</v>
      </c>
      <c r="G229">
        <v>1</v>
      </c>
    </row>
    <row r="230" spans="1:7" x14ac:dyDescent="0.25">
      <c r="A230" s="30" t="s">
        <v>1325</v>
      </c>
      <c r="B230" s="21" t="str">
        <f>VLOOKUP(Tabela3[[#This Row],[ORDER]],Tabela2[#All],2,0)</f>
        <v>TYPE A</v>
      </c>
      <c r="C230" t="s">
        <v>1227</v>
      </c>
      <c r="D230" t="s">
        <v>1296</v>
      </c>
      <c r="E230" s="22">
        <v>43532</v>
      </c>
      <c r="F230">
        <v>808</v>
      </c>
    </row>
    <row r="231" spans="1:7" x14ac:dyDescent="0.25">
      <c r="A231" s="30" t="s">
        <v>1325</v>
      </c>
      <c r="B231" s="21" t="str">
        <f>VLOOKUP(Tabela3[[#This Row],[ORDER]],Tabela2[#All],2,0)</f>
        <v>TYPE A</v>
      </c>
      <c r="C231" t="s">
        <v>1228</v>
      </c>
      <c r="D231" t="s">
        <v>1304</v>
      </c>
      <c r="E231" s="22">
        <v>43531</v>
      </c>
      <c r="F231">
        <v>795</v>
      </c>
      <c r="G231">
        <v>1</v>
      </c>
    </row>
    <row r="232" spans="1:7" x14ac:dyDescent="0.25">
      <c r="A232" s="30" t="s">
        <v>1325</v>
      </c>
      <c r="B232" s="21" t="str">
        <f>VLOOKUP(Tabela3[[#This Row],[ORDER]],Tabela2[#All],2,0)</f>
        <v>TYPE A</v>
      </c>
      <c r="C232" t="s">
        <v>1079</v>
      </c>
      <c r="D232" t="s">
        <v>1295</v>
      </c>
      <c r="E232" s="22">
        <v>43525</v>
      </c>
      <c r="F232">
        <v>808</v>
      </c>
    </row>
    <row r="233" spans="1:7" x14ac:dyDescent="0.25">
      <c r="A233" s="30" t="s">
        <v>1327</v>
      </c>
      <c r="B233" s="21" t="str">
        <f>VLOOKUP(Tabela3[[#This Row],[ORDER]],Tabela2[#All],2,0)</f>
        <v>TYPE A</v>
      </c>
      <c r="C233" t="s">
        <v>1080</v>
      </c>
      <c r="D233" t="s">
        <v>1295</v>
      </c>
      <c r="E233" s="22">
        <v>43531</v>
      </c>
      <c r="F233">
        <v>1002</v>
      </c>
    </row>
    <row r="234" spans="1:7" x14ac:dyDescent="0.25">
      <c r="A234" s="30" t="s">
        <v>1325</v>
      </c>
      <c r="B234" s="21" t="str">
        <f>VLOOKUP(Tabela3[[#This Row],[ORDER]],Tabela2[#All],2,0)</f>
        <v>TYPE A</v>
      </c>
      <c r="C234" t="s">
        <v>1081</v>
      </c>
      <c r="D234" t="s">
        <v>1298</v>
      </c>
      <c r="E234" s="22">
        <v>43529</v>
      </c>
      <c r="F234">
        <v>808</v>
      </c>
      <c r="G234">
        <v>1</v>
      </c>
    </row>
    <row r="235" spans="1:7" x14ac:dyDescent="0.25">
      <c r="A235" s="30" t="s">
        <v>1327</v>
      </c>
      <c r="B235" s="21" t="str">
        <f>VLOOKUP(Tabela3[[#This Row],[ORDER]],Tabela2[#All],2,0)</f>
        <v>TYPE A</v>
      </c>
      <c r="C235" t="s">
        <v>1229</v>
      </c>
      <c r="D235" t="s">
        <v>1304</v>
      </c>
      <c r="E235" s="22">
        <v>43526</v>
      </c>
      <c r="F235">
        <v>803</v>
      </c>
      <c r="G235">
        <v>1</v>
      </c>
    </row>
    <row r="236" spans="1:7" x14ac:dyDescent="0.25">
      <c r="A236" s="30" t="s">
        <v>1325</v>
      </c>
      <c r="B236" s="21" t="str">
        <f>VLOOKUP(Tabela3[[#This Row],[ORDER]],Tabela2[#All],2,0)</f>
        <v>TYPE A</v>
      </c>
      <c r="C236" t="s">
        <v>1230</v>
      </c>
      <c r="D236" t="s">
        <v>1295</v>
      </c>
      <c r="E236" s="22">
        <v>43528</v>
      </c>
      <c r="F236">
        <v>808</v>
      </c>
    </row>
    <row r="237" spans="1:7" x14ac:dyDescent="0.25">
      <c r="A237" s="30" t="s">
        <v>1325</v>
      </c>
      <c r="B237" s="21" t="str">
        <f>VLOOKUP(Tabela3[[#This Row],[ORDER]],Tabela2[#All],2,0)</f>
        <v>TYPE A</v>
      </c>
      <c r="C237" t="s">
        <v>1231</v>
      </c>
      <c r="D237" t="s">
        <v>1297</v>
      </c>
      <c r="E237" s="22">
        <v>43531</v>
      </c>
      <c r="F237">
        <v>801</v>
      </c>
      <c r="G237">
        <v>1</v>
      </c>
    </row>
    <row r="238" spans="1:7" x14ac:dyDescent="0.25">
      <c r="A238" s="30" t="s">
        <v>1328</v>
      </c>
      <c r="B238" s="21" t="str">
        <f>VLOOKUP(Tabela3[[#This Row],[ORDER]],Tabela2[#All],2,0)</f>
        <v>TYPE B</v>
      </c>
      <c r="C238" t="s">
        <v>1082</v>
      </c>
      <c r="D238" t="s">
        <v>1308</v>
      </c>
      <c r="E238" s="22">
        <v>43536</v>
      </c>
      <c r="F238">
        <v>1020</v>
      </c>
    </row>
    <row r="239" spans="1:7" x14ac:dyDescent="0.25">
      <c r="A239" s="30" t="s">
        <v>1329</v>
      </c>
      <c r="B239" s="21" t="str">
        <f>VLOOKUP(Tabela3[[#This Row],[ORDER]],Tabela2[#All],2,0)</f>
        <v>TYPE C</v>
      </c>
      <c r="C239" t="s">
        <v>1083</v>
      </c>
      <c r="D239" t="s">
        <v>1309</v>
      </c>
      <c r="E239" s="22">
        <v>43536</v>
      </c>
      <c r="F239">
        <v>1020</v>
      </c>
      <c r="G239">
        <v>1</v>
      </c>
    </row>
    <row r="240" spans="1:7" x14ac:dyDescent="0.25">
      <c r="A240" s="30" t="s">
        <v>1328</v>
      </c>
      <c r="B240" s="21" t="str">
        <f>VLOOKUP(Tabela3[[#This Row],[ORDER]],Tabela2[#All],2,0)</f>
        <v>TYPE B</v>
      </c>
      <c r="C240" t="s">
        <v>1279</v>
      </c>
      <c r="D240" t="s">
        <v>1314</v>
      </c>
      <c r="E240" s="22">
        <v>43531</v>
      </c>
      <c r="F240">
        <v>1526</v>
      </c>
      <c r="G240">
        <v>1</v>
      </c>
    </row>
    <row r="241" spans="1:7" x14ac:dyDescent="0.25">
      <c r="A241" s="30" t="s">
        <v>1328</v>
      </c>
      <c r="B241" s="21" t="str">
        <f>VLOOKUP(Tabela3[[#This Row],[ORDER]],Tabela2[#All],2,0)</f>
        <v>TYPE B</v>
      </c>
      <c r="C241" t="s">
        <v>1232</v>
      </c>
      <c r="D241" t="s">
        <v>1308</v>
      </c>
      <c r="E241" s="22">
        <v>43530</v>
      </c>
      <c r="F241">
        <v>1006</v>
      </c>
      <c r="G241">
        <v>1</v>
      </c>
    </row>
    <row r="242" spans="1:7" x14ac:dyDescent="0.25">
      <c r="A242" s="30" t="s">
        <v>1328</v>
      </c>
      <c r="B242" s="21" t="str">
        <f>VLOOKUP(Tabela3[[#This Row],[ORDER]],Tabela2[#All],2,0)</f>
        <v>TYPE B</v>
      </c>
      <c r="C242" t="s">
        <v>1084</v>
      </c>
      <c r="D242" t="s">
        <v>1314</v>
      </c>
      <c r="E242" s="22">
        <v>43535</v>
      </c>
      <c r="F242">
        <v>940</v>
      </c>
      <c r="G242">
        <v>1</v>
      </c>
    </row>
    <row r="243" spans="1:7" x14ac:dyDescent="0.25">
      <c r="A243" s="30" t="s">
        <v>1329</v>
      </c>
      <c r="B243" s="21" t="str">
        <f>VLOOKUP(Tabela3[[#This Row],[ORDER]],Tabela2[#All],2,0)</f>
        <v>TYPE C</v>
      </c>
      <c r="C243" t="s">
        <v>1085</v>
      </c>
      <c r="D243" t="s">
        <v>1307</v>
      </c>
      <c r="E243" s="22">
        <v>43535</v>
      </c>
      <c r="F243">
        <v>1020</v>
      </c>
      <c r="G243">
        <v>1</v>
      </c>
    </row>
    <row r="244" spans="1:7" x14ac:dyDescent="0.25">
      <c r="A244" s="30" t="s">
        <v>1329</v>
      </c>
      <c r="B244" s="21" t="str">
        <f>VLOOKUP(Tabela3[[#This Row],[ORDER]],Tabela2[#All],2,0)</f>
        <v>TYPE C</v>
      </c>
      <c r="C244" t="s">
        <v>1086</v>
      </c>
      <c r="D244" t="s">
        <v>1311</v>
      </c>
      <c r="E244" s="22">
        <v>43536</v>
      </c>
      <c r="F244">
        <v>1020</v>
      </c>
      <c r="G244">
        <v>1</v>
      </c>
    </row>
    <row r="245" spans="1:7" x14ac:dyDescent="0.25">
      <c r="A245" s="30" t="s">
        <v>1328</v>
      </c>
      <c r="B245" s="21" t="str">
        <f>VLOOKUP(Tabela3[[#This Row],[ORDER]],Tabela2[#All],2,0)</f>
        <v>TYPE B</v>
      </c>
      <c r="C245" t="s">
        <v>1233</v>
      </c>
      <c r="D245" t="s">
        <v>1299</v>
      </c>
      <c r="E245" s="22">
        <v>43537</v>
      </c>
      <c r="F245">
        <v>1020</v>
      </c>
      <c r="G245">
        <v>1</v>
      </c>
    </row>
    <row r="246" spans="1:7" x14ac:dyDescent="0.25">
      <c r="A246" s="30" t="s">
        <v>1325</v>
      </c>
      <c r="B246" s="21" t="str">
        <f>VLOOKUP(Tabela3[[#This Row],[ORDER]],Tabela2[#All],2,0)</f>
        <v>TYPE A</v>
      </c>
      <c r="C246" t="s">
        <v>1087</v>
      </c>
      <c r="D246" t="s">
        <v>1315</v>
      </c>
      <c r="E246" s="22">
        <v>43533</v>
      </c>
      <c r="F246">
        <v>808</v>
      </c>
      <c r="G246">
        <v>1</v>
      </c>
    </row>
    <row r="247" spans="1:7" x14ac:dyDescent="0.25">
      <c r="A247" s="30" t="s">
        <v>1325</v>
      </c>
      <c r="B247" s="21" t="str">
        <f>VLOOKUP(Tabela3[[#This Row],[ORDER]],Tabela2[#All],2,0)</f>
        <v>TYPE A</v>
      </c>
      <c r="C247" t="s">
        <v>1234</v>
      </c>
      <c r="D247" t="s">
        <v>1315</v>
      </c>
      <c r="E247" s="22">
        <v>43536</v>
      </c>
      <c r="F247">
        <v>793</v>
      </c>
      <c r="G247">
        <v>1</v>
      </c>
    </row>
    <row r="248" spans="1:7" x14ac:dyDescent="0.25">
      <c r="A248" s="30" t="s">
        <v>1328</v>
      </c>
      <c r="B248" s="21" t="str">
        <f>VLOOKUP(Tabela3[[#This Row],[ORDER]],Tabela2[#All],2,0)</f>
        <v>TYPE B</v>
      </c>
      <c r="C248" t="s">
        <v>1235</v>
      </c>
      <c r="D248" t="s">
        <v>1314</v>
      </c>
      <c r="E248" s="22">
        <v>43538</v>
      </c>
      <c r="F248">
        <v>1020</v>
      </c>
      <c r="G248">
        <v>1</v>
      </c>
    </row>
    <row r="249" spans="1:7" x14ac:dyDescent="0.25">
      <c r="A249" s="30" t="s">
        <v>1325</v>
      </c>
      <c r="B249" s="21" t="str">
        <f>VLOOKUP(Tabela3[[#This Row],[ORDER]],Tabela2[#All],2,0)</f>
        <v>TYPE A</v>
      </c>
      <c r="C249" t="s">
        <v>1236</v>
      </c>
      <c r="D249" t="s">
        <v>1298</v>
      </c>
      <c r="E249" s="22">
        <v>43534</v>
      </c>
      <c r="F249">
        <v>798</v>
      </c>
      <c r="G249">
        <v>1</v>
      </c>
    </row>
    <row r="250" spans="1:7" x14ac:dyDescent="0.25">
      <c r="A250" s="30" t="s">
        <v>1325</v>
      </c>
      <c r="B250" s="21" t="str">
        <f>VLOOKUP(Tabela3[[#This Row],[ORDER]],Tabela2[#All],2,0)</f>
        <v>TYPE A</v>
      </c>
      <c r="C250" t="s">
        <v>1088</v>
      </c>
      <c r="D250" t="s">
        <v>1315</v>
      </c>
      <c r="E250" s="22">
        <v>43533</v>
      </c>
      <c r="F250">
        <v>808</v>
      </c>
      <c r="G250">
        <v>1</v>
      </c>
    </row>
    <row r="251" spans="1:7" x14ac:dyDescent="0.25">
      <c r="A251" s="30" t="s">
        <v>1327</v>
      </c>
      <c r="B251" s="21" t="str">
        <f>VLOOKUP(Tabela3[[#This Row],[ORDER]],Tabela2[#All],2,0)</f>
        <v>TYPE A</v>
      </c>
      <c r="C251" t="s">
        <v>1089</v>
      </c>
      <c r="D251" t="s">
        <v>1304</v>
      </c>
      <c r="E251" s="22">
        <v>43533</v>
      </c>
      <c r="F251">
        <v>808</v>
      </c>
      <c r="G251">
        <v>1</v>
      </c>
    </row>
    <row r="252" spans="1:7" x14ac:dyDescent="0.25">
      <c r="A252" s="30" t="s">
        <v>1328</v>
      </c>
      <c r="B252" s="21" t="str">
        <f>VLOOKUP(Tabela3[[#This Row],[ORDER]],Tabela2[#All],2,0)</f>
        <v>TYPE B</v>
      </c>
      <c r="C252" t="s">
        <v>1090</v>
      </c>
      <c r="D252" t="s">
        <v>1299</v>
      </c>
      <c r="E252" s="22">
        <v>43533</v>
      </c>
      <c r="F252">
        <v>1020</v>
      </c>
      <c r="G252">
        <v>1</v>
      </c>
    </row>
    <row r="253" spans="1:7" x14ac:dyDescent="0.25">
      <c r="A253" s="30" t="s">
        <v>1325</v>
      </c>
      <c r="B253" s="21" t="str">
        <f>VLOOKUP(Tabela3[[#This Row],[ORDER]],Tabela2[#All],2,0)</f>
        <v>TYPE A</v>
      </c>
      <c r="C253" t="s">
        <v>1272</v>
      </c>
      <c r="D253" t="s">
        <v>1296</v>
      </c>
      <c r="E253" s="22">
        <v>43532</v>
      </c>
      <c r="F253">
        <v>387</v>
      </c>
    </row>
    <row r="254" spans="1:7" x14ac:dyDescent="0.25">
      <c r="A254" s="30" t="s">
        <v>1325</v>
      </c>
      <c r="B254" s="21" t="str">
        <f>VLOOKUP(Tabela3[[#This Row],[ORDER]],Tabela2[#All],2,0)</f>
        <v>TYPE A</v>
      </c>
      <c r="C254" t="s">
        <v>1237</v>
      </c>
      <c r="D254" t="s">
        <v>1315</v>
      </c>
      <c r="E254" s="22">
        <v>43536</v>
      </c>
      <c r="F254">
        <v>793</v>
      </c>
      <c r="G254">
        <v>1</v>
      </c>
    </row>
    <row r="255" spans="1:7" x14ac:dyDescent="0.25">
      <c r="A255" s="30" t="s">
        <v>1327</v>
      </c>
      <c r="B255" s="21" t="str">
        <f>VLOOKUP(Tabela3[[#This Row],[ORDER]],Tabela2[#All],2,0)</f>
        <v>TYPE A</v>
      </c>
      <c r="C255" t="s">
        <v>1238</v>
      </c>
      <c r="D255" t="s">
        <v>1304</v>
      </c>
      <c r="E255" s="22">
        <v>43536</v>
      </c>
      <c r="F255">
        <v>805</v>
      </c>
      <c r="G255">
        <v>1</v>
      </c>
    </row>
    <row r="256" spans="1:7" x14ac:dyDescent="0.25">
      <c r="A256" s="30" t="s">
        <v>1325</v>
      </c>
      <c r="B256" s="21" t="str">
        <f>VLOOKUP(Tabela3[[#This Row],[ORDER]],Tabela2[#All],2,0)</f>
        <v>TYPE A</v>
      </c>
      <c r="C256" t="s">
        <v>1239</v>
      </c>
      <c r="D256" t="s">
        <v>1297</v>
      </c>
      <c r="E256" s="22">
        <v>43536</v>
      </c>
      <c r="F256">
        <v>808</v>
      </c>
      <c r="G256">
        <v>1</v>
      </c>
    </row>
    <row r="257" spans="1:7" x14ac:dyDescent="0.25">
      <c r="A257" s="30" t="s">
        <v>1325</v>
      </c>
      <c r="B257" s="21" t="str">
        <f>VLOOKUP(Tabela3[[#This Row],[ORDER]],Tabela2[#All],2,0)</f>
        <v>TYPE A</v>
      </c>
      <c r="C257" t="s">
        <v>1091</v>
      </c>
      <c r="D257" t="s">
        <v>1297</v>
      </c>
      <c r="E257" s="22">
        <v>43538</v>
      </c>
      <c r="F257">
        <v>808</v>
      </c>
      <c r="G257">
        <v>1</v>
      </c>
    </row>
    <row r="258" spans="1:7" x14ac:dyDescent="0.25">
      <c r="A258" s="30" t="s">
        <v>1325</v>
      </c>
      <c r="B258" s="21" t="str">
        <f>VLOOKUP(Tabela3[[#This Row],[ORDER]],Tabela2[#All],2,0)</f>
        <v>TYPE A</v>
      </c>
      <c r="C258" t="s">
        <v>1092</v>
      </c>
      <c r="D258" t="s">
        <v>1298</v>
      </c>
      <c r="E258" s="22">
        <v>43537</v>
      </c>
      <c r="F258">
        <v>808</v>
      </c>
      <c r="G258">
        <v>1</v>
      </c>
    </row>
    <row r="259" spans="1:7" x14ac:dyDescent="0.25">
      <c r="A259" s="30" t="s">
        <v>1325</v>
      </c>
      <c r="B259" s="21" t="str">
        <f>VLOOKUP(Tabela3[[#This Row],[ORDER]],Tabela2[#All],2,0)</f>
        <v>TYPE A</v>
      </c>
      <c r="C259" t="s">
        <v>1240</v>
      </c>
      <c r="D259" t="s">
        <v>1301</v>
      </c>
      <c r="E259" s="22">
        <v>43538</v>
      </c>
      <c r="F259">
        <v>808</v>
      </c>
      <c r="G259">
        <v>1</v>
      </c>
    </row>
    <row r="260" spans="1:7" x14ac:dyDescent="0.25">
      <c r="A260" s="30" t="s">
        <v>1327</v>
      </c>
      <c r="B260" s="21" t="str">
        <f>VLOOKUP(Tabela3[[#This Row],[ORDER]],Tabela2[#All],2,0)</f>
        <v>TYPE A</v>
      </c>
      <c r="C260" t="s">
        <v>1093</v>
      </c>
      <c r="D260" t="s">
        <v>1304</v>
      </c>
      <c r="E260" s="22">
        <v>43538</v>
      </c>
      <c r="F260">
        <v>808</v>
      </c>
    </row>
    <row r="261" spans="1:7" x14ac:dyDescent="0.25">
      <c r="A261" s="30" t="s">
        <v>1325</v>
      </c>
      <c r="B261" s="21" t="str">
        <f>VLOOKUP(Tabela3[[#This Row],[ORDER]],Tabela2[#All],2,0)</f>
        <v>TYPE A</v>
      </c>
      <c r="C261" t="s">
        <v>1094</v>
      </c>
      <c r="D261" t="s">
        <v>1298</v>
      </c>
      <c r="E261" s="22">
        <v>43533</v>
      </c>
      <c r="F261">
        <v>808</v>
      </c>
      <c r="G261">
        <v>1</v>
      </c>
    </row>
    <row r="262" spans="1:7" x14ac:dyDescent="0.25">
      <c r="A262" s="30" t="s">
        <v>1325</v>
      </c>
      <c r="B262" s="21" t="str">
        <f>VLOOKUP(Tabela3[[#This Row],[ORDER]],Tabela2[#All],2,0)</f>
        <v>TYPE A</v>
      </c>
      <c r="C262" t="s">
        <v>1095</v>
      </c>
      <c r="D262" t="s">
        <v>1301</v>
      </c>
      <c r="E262" s="22">
        <v>43536</v>
      </c>
      <c r="F262">
        <v>808</v>
      </c>
      <c r="G262">
        <v>1</v>
      </c>
    </row>
    <row r="263" spans="1:7" x14ac:dyDescent="0.25">
      <c r="A263" s="30" t="s">
        <v>1325</v>
      </c>
      <c r="B263" s="21" t="str">
        <f>VLOOKUP(Tabela3[[#This Row],[ORDER]],Tabela2[#All],2,0)</f>
        <v>TYPE A</v>
      </c>
      <c r="C263" t="s">
        <v>1096</v>
      </c>
      <c r="D263" t="s">
        <v>1315</v>
      </c>
      <c r="E263" s="22">
        <v>43539</v>
      </c>
      <c r="F263">
        <v>808</v>
      </c>
      <c r="G263">
        <v>1</v>
      </c>
    </row>
    <row r="264" spans="1:7" x14ac:dyDescent="0.25">
      <c r="A264" s="30" t="s">
        <v>1325</v>
      </c>
      <c r="B264" s="21" t="str">
        <f>VLOOKUP(Tabela3[[#This Row],[ORDER]],Tabela2[#All],2,0)</f>
        <v>TYPE A</v>
      </c>
      <c r="C264" t="s">
        <v>1097</v>
      </c>
      <c r="D264" t="s">
        <v>1315</v>
      </c>
      <c r="E264" s="22">
        <v>43539</v>
      </c>
      <c r="F264">
        <v>808</v>
      </c>
      <c r="G264">
        <v>1</v>
      </c>
    </row>
    <row r="265" spans="1:7" x14ac:dyDescent="0.25">
      <c r="A265" s="30" t="s">
        <v>1325</v>
      </c>
      <c r="B265" s="21" t="str">
        <f>VLOOKUP(Tabela3[[#This Row],[ORDER]],Tabela2[#All],2,0)</f>
        <v>TYPE A</v>
      </c>
      <c r="C265" t="s">
        <v>1098</v>
      </c>
      <c r="D265" t="s">
        <v>1297</v>
      </c>
      <c r="E265" s="22">
        <v>43533</v>
      </c>
      <c r="F265">
        <v>808</v>
      </c>
      <c r="G265">
        <v>1</v>
      </c>
    </row>
    <row r="266" spans="1:7" x14ac:dyDescent="0.25">
      <c r="A266" s="30" t="s">
        <v>1328</v>
      </c>
      <c r="B266" s="21" t="str">
        <f>VLOOKUP(Tabela3[[#This Row],[ORDER]],Tabela2[#All],2,0)</f>
        <v>TYPE B</v>
      </c>
      <c r="C266" t="s">
        <v>1241</v>
      </c>
      <c r="D266" t="s">
        <v>1308</v>
      </c>
      <c r="E266" s="22">
        <v>43539</v>
      </c>
      <c r="F266">
        <v>1020</v>
      </c>
    </row>
    <row r="267" spans="1:7" x14ac:dyDescent="0.25">
      <c r="A267" s="30" t="s">
        <v>1328</v>
      </c>
      <c r="B267" s="21" t="str">
        <f>VLOOKUP(Tabela3[[#This Row],[ORDER]],Tabela2[#All],2,0)</f>
        <v>TYPE B</v>
      </c>
      <c r="C267" t="s">
        <v>1099</v>
      </c>
      <c r="D267" t="s">
        <v>1310</v>
      </c>
      <c r="E267" s="22">
        <v>43540</v>
      </c>
      <c r="F267">
        <v>1020</v>
      </c>
      <c r="G267">
        <v>1</v>
      </c>
    </row>
    <row r="268" spans="1:7" x14ac:dyDescent="0.25">
      <c r="A268" s="30" t="s">
        <v>1328</v>
      </c>
      <c r="B268" s="21" t="str">
        <f>VLOOKUP(Tabela3[[#This Row],[ORDER]],Tabela2[#All],2,0)</f>
        <v>TYPE B</v>
      </c>
      <c r="C268" t="s">
        <v>1273</v>
      </c>
      <c r="D268" t="s">
        <v>1299</v>
      </c>
      <c r="E268" s="22">
        <v>43539</v>
      </c>
      <c r="F268">
        <v>1020</v>
      </c>
      <c r="G268">
        <v>1</v>
      </c>
    </row>
    <row r="269" spans="1:7" x14ac:dyDescent="0.25">
      <c r="A269" s="30" t="s">
        <v>1328</v>
      </c>
      <c r="B269" s="21" t="str">
        <f>VLOOKUP(Tabela3[[#This Row],[ORDER]],Tabela2[#All],2,0)</f>
        <v>TYPE B</v>
      </c>
      <c r="C269" t="s">
        <v>1100</v>
      </c>
      <c r="D269" t="s">
        <v>1300</v>
      </c>
      <c r="E269" s="22">
        <v>43539</v>
      </c>
      <c r="F269">
        <v>1020</v>
      </c>
    </row>
    <row r="270" spans="1:7" x14ac:dyDescent="0.25">
      <c r="A270" s="30" t="s">
        <v>1329</v>
      </c>
      <c r="B270" s="21" t="str">
        <f>VLOOKUP(Tabela3[[#This Row],[ORDER]],Tabela2[#All],2,0)</f>
        <v>TYPE C</v>
      </c>
      <c r="C270" t="s">
        <v>1242</v>
      </c>
      <c r="D270" t="s">
        <v>1309</v>
      </c>
      <c r="E270" s="22">
        <v>43539</v>
      </c>
      <c r="F270">
        <v>1175</v>
      </c>
      <c r="G270">
        <v>1</v>
      </c>
    </row>
    <row r="271" spans="1:7" x14ac:dyDescent="0.25">
      <c r="A271" s="30" t="s">
        <v>1328</v>
      </c>
      <c r="B271" s="21" t="str">
        <f>VLOOKUP(Tabela3[[#This Row],[ORDER]],Tabela2[#All],2,0)</f>
        <v>TYPE B</v>
      </c>
      <c r="C271" t="s">
        <v>1101</v>
      </c>
      <c r="D271" t="s">
        <v>1308</v>
      </c>
      <c r="E271" s="22">
        <v>43542</v>
      </c>
      <c r="F271">
        <v>480</v>
      </c>
    </row>
    <row r="272" spans="1:7" x14ac:dyDescent="0.25">
      <c r="A272" s="30" t="s">
        <v>1328</v>
      </c>
      <c r="B272" s="21" t="str">
        <f>VLOOKUP(Tabela3[[#This Row],[ORDER]],Tabela2[#All],2,0)</f>
        <v>TYPE B</v>
      </c>
      <c r="C272" t="s">
        <v>1280</v>
      </c>
      <c r="D272" t="s">
        <v>1298</v>
      </c>
      <c r="E272" s="22">
        <v>43541</v>
      </c>
      <c r="F272">
        <v>513</v>
      </c>
      <c r="G272">
        <v>1</v>
      </c>
    </row>
    <row r="273" spans="1:7" x14ac:dyDescent="0.25">
      <c r="A273" s="30" t="s">
        <v>1328</v>
      </c>
      <c r="B273" s="21" t="str">
        <f>VLOOKUP(Tabela3[[#This Row],[ORDER]],Tabela2[#All],2,0)</f>
        <v>TYPE B</v>
      </c>
      <c r="C273" t="s">
        <v>1243</v>
      </c>
      <c r="D273" t="s">
        <v>1300</v>
      </c>
      <c r="E273" s="22">
        <v>43542</v>
      </c>
      <c r="F273">
        <v>1020</v>
      </c>
      <c r="G273">
        <v>1</v>
      </c>
    </row>
    <row r="274" spans="1:7" x14ac:dyDescent="0.25">
      <c r="A274" s="30" t="s">
        <v>1328</v>
      </c>
      <c r="B274" s="21" t="str">
        <f>VLOOKUP(Tabela3[[#This Row],[ORDER]],Tabela2[#All],2,0)</f>
        <v>TYPE B</v>
      </c>
      <c r="C274" t="s">
        <v>1281</v>
      </c>
      <c r="D274" t="s">
        <v>1314</v>
      </c>
      <c r="E274" s="22">
        <v>43542</v>
      </c>
      <c r="F274">
        <v>587</v>
      </c>
      <c r="G274">
        <v>1</v>
      </c>
    </row>
    <row r="275" spans="1:7" x14ac:dyDescent="0.25">
      <c r="A275" s="30" t="s">
        <v>1329</v>
      </c>
      <c r="B275" s="21" t="str">
        <f>VLOOKUP(Tabela3[[#This Row],[ORDER]],Tabela2[#All],2,0)</f>
        <v>TYPE C</v>
      </c>
      <c r="C275" t="s">
        <v>1274</v>
      </c>
      <c r="D275" t="s">
        <v>1311</v>
      </c>
      <c r="E275" s="22">
        <v>43540</v>
      </c>
      <c r="F275">
        <v>1195</v>
      </c>
      <c r="G275">
        <v>1</v>
      </c>
    </row>
    <row r="276" spans="1:7" x14ac:dyDescent="0.25">
      <c r="A276" s="30" t="s">
        <v>1328</v>
      </c>
      <c r="B276" s="21" t="str">
        <f>VLOOKUP(Tabela3[[#This Row],[ORDER]],Tabela2[#All],2,0)</f>
        <v>TYPE B</v>
      </c>
      <c r="C276" t="s">
        <v>1102</v>
      </c>
      <c r="D276" t="s">
        <v>1302</v>
      </c>
      <c r="E276" s="22">
        <v>43543</v>
      </c>
      <c r="F276">
        <v>1020</v>
      </c>
    </row>
    <row r="277" spans="1:7" x14ac:dyDescent="0.25">
      <c r="A277" s="30" t="s">
        <v>1328</v>
      </c>
      <c r="B277" s="21" t="str">
        <f>VLOOKUP(Tabela3[[#This Row],[ORDER]],Tabela2[#All],2,0)</f>
        <v>TYPE B</v>
      </c>
      <c r="C277" t="s">
        <v>1275</v>
      </c>
      <c r="D277" t="s">
        <v>1314</v>
      </c>
      <c r="E277" s="22">
        <v>43540</v>
      </c>
      <c r="F277">
        <v>1020</v>
      </c>
      <c r="G277">
        <v>1</v>
      </c>
    </row>
    <row r="278" spans="1:7" x14ac:dyDescent="0.25">
      <c r="A278" s="30" t="s">
        <v>1328</v>
      </c>
      <c r="B278" s="21" t="str">
        <f>VLOOKUP(Tabela3[[#This Row],[ORDER]],Tabela2[#All],2,0)</f>
        <v>TYPE B</v>
      </c>
      <c r="C278" t="s">
        <v>1103</v>
      </c>
      <c r="D278" t="s">
        <v>1293</v>
      </c>
      <c r="E278" s="22">
        <v>43542</v>
      </c>
      <c r="F278">
        <v>1020</v>
      </c>
      <c r="G278">
        <v>1</v>
      </c>
    </row>
    <row r="279" spans="1:7" x14ac:dyDescent="0.25">
      <c r="A279" s="30" t="s">
        <v>1325</v>
      </c>
      <c r="B279" s="21" t="str">
        <f>VLOOKUP(Tabela3[[#This Row],[ORDER]],Tabela2[#All],2,0)</f>
        <v>TYPE A</v>
      </c>
      <c r="C279" t="s">
        <v>1104</v>
      </c>
      <c r="D279" t="s">
        <v>1315</v>
      </c>
      <c r="E279" s="22">
        <v>43544</v>
      </c>
      <c r="F279">
        <v>808</v>
      </c>
    </row>
    <row r="280" spans="1:7" x14ac:dyDescent="0.25">
      <c r="A280" s="30" t="s">
        <v>1329</v>
      </c>
      <c r="B280" s="21" t="str">
        <f>VLOOKUP(Tabela3[[#This Row],[ORDER]],Tabela2[#All],2,0)</f>
        <v>TYPE C</v>
      </c>
      <c r="C280" t="s">
        <v>1244</v>
      </c>
      <c r="D280" t="s">
        <v>1307</v>
      </c>
      <c r="E280" s="22">
        <v>43539</v>
      </c>
      <c r="F280">
        <v>1137</v>
      </c>
      <c r="G280">
        <v>1</v>
      </c>
    </row>
    <row r="281" spans="1:7" x14ac:dyDescent="0.25">
      <c r="A281" s="30" t="s">
        <v>1328</v>
      </c>
      <c r="B281" s="21" t="str">
        <f>VLOOKUP(Tabela3[[#This Row],[ORDER]],Tabela2[#All],2,0)</f>
        <v>TYPE B</v>
      </c>
      <c r="C281" t="s">
        <v>1105</v>
      </c>
      <c r="D281" t="s">
        <v>1309</v>
      </c>
      <c r="E281" s="22">
        <v>43544</v>
      </c>
      <c r="F281">
        <v>1020</v>
      </c>
    </row>
    <row r="282" spans="1:7" x14ac:dyDescent="0.25">
      <c r="A282" s="30" t="s">
        <v>1327</v>
      </c>
      <c r="B282" s="21" t="str">
        <f>VLOOKUP(Tabela3[[#This Row],[ORDER]],Tabela2[#All],2,0)</f>
        <v>TYPE A</v>
      </c>
      <c r="C282" t="s">
        <v>1245</v>
      </c>
      <c r="D282" t="s">
        <v>1304</v>
      </c>
      <c r="E282" s="22">
        <v>43540</v>
      </c>
      <c r="F282">
        <v>800</v>
      </c>
      <c r="G282">
        <v>1</v>
      </c>
    </row>
    <row r="283" spans="1:7" x14ac:dyDescent="0.25">
      <c r="A283" s="30" t="s">
        <v>1325</v>
      </c>
      <c r="B283" s="21" t="str">
        <f>VLOOKUP(Tabela3[[#This Row],[ORDER]],Tabela2[#All],2,0)</f>
        <v>TYPE A</v>
      </c>
      <c r="C283" t="s">
        <v>1106</v>
      </c>
      <c r="D283" t="s">
        <v>1301</v>
      </c>
      <c r="E283" s="22">
        <v>43543</v>
      </c>
      <c r="F283">
        <v>808</v>
      </c>
      <c r="G283">
        <v>1</v>
      </c>
    </row>
    <row r="284" spans="1:7" x14ac:dyDescent="0.25">
      <c r="A284" s="30" t="s">
        <v>1325</v>
      </c>
      <c r="B284" s="21" t="str">
        <f>VLOOKUP(Tabela3[[#This Row],[ORDER]],Tabela2[#All],2,0)</f>
        <v>TYPE A</v>
      </c>
      <c r="C284" t="s">
        <v>1107</v>
      </c>
      <c r="D284" t="s">
        <v>1301</v>
      </c>
      <c r="E284" s="22">
        <v>43539</v>
      </c>
      <c r="F284">
        <v>808</v>
      </c>
    </row>
    <row r="285" spans="1:7" x14ac:dyDescent="0.25">
      <c r="A285" s="30" t="s">
        <v>1325</v>
      </c>
      <c r="B285" s="21" t="str">
        <f>VLOOKUP(Tabela3[[#This Row],[ORDER]],Tabela2[#All],2,0)</f>
        <v>TYPE A</v>
      </c>
      <c r="C285" t="s">
        <v>1246</v>
      </c>
      <c r="D285" t="s">
        <v>1315</v>
      </c>
      <c r="E285" s="22">
        <v>43541</v>
      </c>
      <c r="F285">
        <v>764</v>
      </c>
      <c r="G285">
        <v>1</v>
      </c>
    </row>
    <row r="286" spans="1:7" x14ac:dyDescent="0.25">
      <c r="A286" s="30" t="s">
        <v>1330</v>
      </c>
      <c r="B286" s="21" t="str">
        <f>VLOOKUP(Tabela3[[#This Row],[ORDER]],Tabela2[#All],2,0)</f>
        <v>TYPE B</v>
      </c>
      <c r="C286" t="s">
        <v>1108</v>
      </c>
      <c r="D286" t="s">
        <v>1299</v>
      </c>
      <c r="E286" s="22">
        <v>43544</v>
      </c>
      <c r="F286">
        <v>1122</v>
      </c>
      <c r="G286">
        <v>1</v>
      </c>
    </row>
    <row r="287" spans="1:7" x14ac:dyDescent="0.25">
      <c r="A287" s="30" t="s">
        <v>1330</v>
      </c>
      <c r="B287" s="21" t="str">
        <f>VLOOKUP(Tabela3[[#This Row],[ORDER]],Tabela2[#All],2,0)</f>
        <v>TYPE B</v>
      </c>
      <c r="C287" t="s">
        <v>1109</v>
      </c>
      <c r="D287" t="s">
        <v>1307</v>
      </c>
      <c r="E287" s="22">
        <v>43544</v>
      </c>
      <c r="F287">
        <v>1122</v>
      </c>
    </row>
    <row r="288" spans="1:7" x14ac:dyDescent="0.25">
      <c r="A288" s="30" t="s">
        <v>1328</v>
      </c>
      <c r="B288" s="21" t="str">
        <f>VLOOKUP(Tabela3[[#This Row],[ORDER]],Tabela2[#All],2,0)</f>
        <v>TYPE B</v>
      </c>
      <c r="C288" t="s">
        <v>1247</v>
      </c>
      <c r="D288" t="s">
        <v>1308</v>
      </c>
      <c r="E288" s="22">
        <v>43544</v>
      </c>
      <c r="F288">
        <v>916</v>
      </c>
    </row>
    <row r="289" spans="1:7" x14ac:dyDescent="0.25">
      <c r="A289" s="30" t="s">
        <v>1327</v>
      </c>
      <c r="B289" s="21" t="str">
        <f>VLOOKUP(Tabela3[[#This Row],[ORDER]],Tabela2[#All],2,0)</f>
        <v>TYPE A</v>
      </c>
      <c r="C289" t="s">
        <v>1248</v>
      </c>
      <c r="D289" t="s">
        <v>1298</v>
      </c>
      <c r="E289" s="22">
        <v>43544</v>
      </c>
      <c r="F289">
        <v>874</v>
      </c>
      <c r="G289">
        <v>1</v>
      </c>
    </row>
    <row r="290" spans="1:7" x14ac:dyDescent="0.25">
      <c r="A290" s="30" t="s">
        <v>1327</v>
      </c>
      <c r="B290" s="21" t="str">
        <f>VLOOKUP(Tabela3[[#This Row],[ORDER]],Tabela2[#All],2,0)</f>
        <v>TYPE A</v>
      </c>
      <c r="C290" t="s">
        <v>1110</v>
      </c>
      <c r="D290" t="s">
        <v>1298</v>
      </c>
      <c r="E290" s="22">
        <v>43541</v>
      </c>
      <c r="F290">
        <v>735</v>
      </c>
      <c r="G290">
        <v>1</v>
      </c>
    </row>
    <row r="291" spans="1:7" x14ac:dyDescent="0.25">
      <c r="A291" s="30" t="s">
        <v>1325</v>
      </c>
      <c r="B291" s="21" t="str">
        <f>VLOOKUP(Tabela3[[#This Row],[ORDER]],Tabela2[#All],2,0)</f>
        <v>TYPE A</v>
      </c>
      <c r="C291" t="s">
        <v>1249</v>
      </c>
      <c r="D291" t="s">
        <v>1301</v>
      </c>
      <c r="E291" s="22">
        <v>43545</v>
      </c>
      <c r="F291">
        <v>788</v>
      </c>
      <c r="G291">
        <v>1</v>
      </c>
    </row>
    <row r="292" spans="1:7" x14ac:dyDescent="0.25">
      <c r="A292" s="30" t="s">
        <v>1325</v>
      </c>
      <c r="B292" s="21" t="str">
        <f>VLOOKUP(Tabela3[[#This Row],[ORDER]],Tabela2[#All],2,0)</f>
        <v>TYPE A</v>
      </c>
      <c r="C292" t="s">
        <v>1111</v>
      </c>
      <c r="D292" t="s">
        <v>1297</v>
      </c>
      <c r="E292" s="22">
        <v>43542</v>
      </c>
      <c r="F292">
        <v>808</v>
      </c>
    </row>
    <row r="293" spans="1:7" x14ac:dyDescent="0.25">
      <c r="A293" s="30" t="s">
        <v>1330</v>
      </c>
      <c r="B293" s="21" t="str">
        <f>VLOOKUP(Tabela3[[#This Row],[ORDER]],Tabela2[#All],2,0)</f>
        <v>TYPE B</v>
      </c>
      <c r="C293" t="s">
        <v>1112</v>
      </c>
      <c r="D293" t="s">
        <v>1311</v>
      </c>
      <c r="E293" s="22">
        <v>43545</v>
      </c>
      <c r="F293">
        <v>1122</v>
      </c>
      <c r="G293">
        <v>1</v>
      </c>
    </row>
    <row r="294" spans="1:7" x14ac:dyDescent="0.25">
      <c r="A294" s="30" t="s">
        <v>1330</v>
      </c>
      <c r="B294" s="21" t="str">
        <f>VLOOKUP(Tabela3[[#This Row],[ORDER]],Tabela2[#All],2,0)</f>
        <v>TYPE B</v>
      </c>
      <c r="C294" t="s">
        <v>1250</v>
      </c>
      <c r="D294" t="s">
        <v>1299</v>
      </c>
      <c r="E294" s="22">
        <v>43547</v>
      </c>
      <c r="F294">
        <v>1032</v>
      </c>
      <c r="G294">
        <v>1</v>
      </c>
    </row>
    <row r="295" spans="1:7" x14ac:dyDescent="0.25">
      <c r="A295" s="30" t="s">
        <v>1330</v>
      </c>
      <c r="B295" s="21" t="str">
        <f>VLOOKUP(Tabela3[[#This Row],[ORDER]],Tabela2[#All],2,0)</f>
        <v>TYPE B</v>
      </c>
      <c r="C295" t="s">
        <v>1251</v>
      </c>
      <c r="D295" t="s">
        <v>1307</v>
      </c>
      <c r="E295" s="22">
        <v>43546</v>
      </c>
      <c r="F295">
        <v>1077</v>
      </c>
      <c r="G295">
        <v>1</v>
      </c>
    </row>
    <row r="296" spans="1:7" x14ac:dyDescent="0.25">
      <c r="A296" s="30" t="s">
        <v>1328</v>
      </c>
      <c r="B296" s="21" t="str">
        <f>VLOOKUP(Tabela3[[#This Row],[ORDER]],Tabela2[#All],2,0)</f>
        <v>TYPE B</v>
      </c>
      <c r="C296" t="s">
        <v>1252</v>
      </c>
      <c r="D296" t="s">
        <v>1302</v>
      </c>
      <c r="E296" s="22">
        <v>43546</v>
      </c>
      <c r="F296">
        <v>1007</v>
      </c>
      <c r="G296">
        <v>1</v>
      </c>
    </row>
    <row r="297" spans="1:7" x14ac:dyDescent="0.25">
      <c r="A297" s="30" t="s">
        <v>1328</v>
      </c>
      <c r="B297" s="21" t="str">
        <f>VLOOKUP(Tabela3[[#This Row],[ORDER]],Tabela2[#All],2,0)</f>
        <v>TYPE B</v>
      </c>
      <c r="C297" t="s">
        <v>1253</v>
      </c>
      <c r="D297" t="s">
        <v>1309</v>
      </c>
      <c r="E297" s="22">
        <v>43546</v>
      </c>
      <c r="F297">
        <v>989</v>
      </c>
    </row>
    <row r="298" spans="1:7" x14ac:dyDescent="0.25">
      <c r="A298" s="30" t="s">
        <v>1325</v>
      </c>
      <c r="B298" s="21" t="str">
        <f>VLOOKUP(Tabela3[[#This Row],[ORDER]],Tabela2[#All],2,0)</f>
        <v>TYPE A</v>
      </c>
      <c r="C298" t="s">
        <v>1113</v>
      </c>
      <c r="D298" t="s">
        <v>1315</v>
      </c>
      <c r="E298" s="22">
        <v>43544</v>
      </c>
      <c r="F298">
        <v>808</v>
      </c>
    </row>
    <row r="299" spans="1:7" x14ac:dyDescent="0.25">
      <c r="A299" s="30" t="s">
        <v>1394</v>
      </c>
      <c r="B299" s="21" t="str">
        <f>VLOOKUP(Tabela3[[#This Row],[ORDER]],Tabela2[#All],2,0)</f>
        <v>TYPE E</v>
      </c>
      <c r="C299" t="s">
        <v>1114</v>
      </c>
      <c r="D299" t="s">
        <v>1303</v>
      </c>
      <c r="E299" s="22">
        <v>43544</v>
      </c>
      <c r="F299">
        <v>600</v>
      </c>
      <c r="G299">
        <v>1</v>
      </c>
    </row>
    <row r="300" spans="1:7" x14ac:dyDescent="0.25">
      <c r="A300" s="30" t="s">
        <v>1394</v>
      </c>
      <c r="B300" s="21" t="str">
        <f>VLOOKUP(Tabela3[[#This Row],[ORDER]],Tabela2[#All],2,0)</f>
        <v>TYPE E</v>
      </c>
      <c r="C300" t="s">
        <v>1276</v>
      </c>
      <c r="D300" t="s">
        <v>1304</v>
      </c>
      <c r="E300" s="22">
        <v>43544</v>
      </c>
      <c r="F300">
        <v>500</v>
      </c>
      <c r="G300">
        <v>1</v>
      </c>
    </row>
    <row r="301" spans="1:7" x14ac:dyDescent="0.25">
      <c r="A301" s="30" t="s">
        <v>1394</v>
      </c>
      <c r="B301" s="21" t="str">
        <f>VLOOKUP(Tabela3[[#This Row],[ORDER]],Tabela2[#All],2,0)</f>
        <v>TYPE E</v>
      </c>
      <c r="C301" t="s">
        <v>1277</v>
      </c>
      <c r="D301" t="s">
        <v>1303</v>
      </c>
      <c r="E301" s="22">
        <v>43546</v>
      </c>
      <c r="F301">
        <v>422</v>
      </c>
      <c r="G301">
        <v>1</v>
      </c>
    </row>
    <row r="302" spans="1:7" x14ac:dyDescent="0.25">
      <c r="A302" s="30" t="s">
        <v>1394</v>
      </c>
      <c r="B302" s="21" t="str">
        <f>VLOOKUP(Tabela3[[#This Row],[ORDER]],Tabela2[#All],2,0)</f>
        <v>TYPE E</v>
      </c>
      <c r="C302" t="s">
        <v>1282</v>
      </c>
      <c r="D302" t="s">
        <v>1304</v>
      </c>
      <c r="E302" s="22">
        <v>43545</v>
      </c>
      <c r="F302">
        <v>524</v>
      </c>
      <c r="G302">
        <v>1</v>
      </c>
    </row>
    <row r="303" spans="1:7" x14ac:dyDescent="0.25">
      <c r="A303" s="30" t="s">
        <v>1394</v>
      </c>
      <c r="B303" s="21" t="str">
        <f>VLOOKUP(Tabela3[[#This Row],[ORDER]],Tabela2[#All],2,0)</f>
        <v>TYPE E</v>
      </c>
      <c r="C303" t="s">
        <v>1254</v>
      </c>
      <c r="D303" t="s">
        <v>1303</v>
      </c>
      <c r="E303" s="22">
        <v>43545</v>
      </c>
      <c r="F303">
        <v>500</v>
      </c>
      <c r="G303">
        <v>1</v>
      </c>
    </row>
    <row r="304" spans="1:7" x14ac:dyDescent="0.25">
      <c r="A304" s="30" t="s">
        <v>1327</v>
      </c>
      <c r="B304" s="21" t="str">
        <f>VLOOKUP(Tabela3[[#This Row],[ORDER]],Tabela2[#All],2,0)</f>
        <v>TYPE A</v>
      </c>
      <c r="C304" t="s">
        <v>1115</v>
      </c>
      <c r="D304" t="s">
        <v>1298</v>
      </c>
      <c r="E304" s="22">
        <v>43546</v>
      </c>
      <c r="F304">
        <v>882</v>
      </c>
    </row>
    <row r="305" spans="1:7" x14ac:dyDescent="0.25">
      <c r="A305" s="30" t="s">
        <v>1331</v>
      </c>
      <c r="B305" s="21" t="str">
        <f>VLOOKUP(Tabela3[[#This Row],[ORDER]],Tabela2[#All],2,0)</f>
        <v>TYPE C</v>
      </c>
      <c r="C305" t="s">
        <v>1116</v>
      </c>
      <c r="D305" t="s">
        <v>1305</v>
      </c>
      <c r="E305" s="22">
        <v>43549</v>
      </c>
      <c r="F305">
        <v>1043</v>
      </c>
      <c r="G305">
        <v>1</v>
      </c>
    </row>
    <row r="306" spans="1:7" x14ac:dyDescent="0.25">
      <c r="A306" s="30" t="s">
        <v>1332</v>
      </c>
      <c r="B306" s="21" t="str">
        <f>VLOOKUP(Tabela3[[#This Row],[ORDER]],Tabela2[#All],2,0)</f>
        <v>TYPE C</v>
      </c>
      <c r="C306" t="s">
        <v>1117</v>
      </c>
      <c r="D306" t="s">
        <v>1314</v>
      </c>
      <c r="E306" s="22">
        <v>43545</v>
      </c>
      <c r="F306">
        <v>825</v>
      </c>
    </row>
    <row r="307" spans="1:7" x14ac:dyDescent="0.25">
      <c r="A307" s="30" t="s">
        <v>1325</v>
      </c>
      <c r="B307" s="21" t="str">
        <f>VLOOKUP(Tabela3[[#This Row],[ORDER]],Tabela2[#All],2,0)</f>
        <v>TYPE A</v>
      </c>
      <c r="C307" t="s">
        <v>1255</v>
      </c>
      <c r="D307" t="s">
        <v>1315</v>
      </c>
      <c r="E307" s="22">
        <v>43541</v>
      </c>
      <c r="F307">
        <v>764</v>
      </c>
      <c r="G307">
        <v>1</v>
      </c>
    </row>
    <row r="308" spans="1:7" x14ac:dyDescent="0.25">
      <c r="A308" s="30" t="s">
        <v>1325</v>
      </c>
      <c r="B308" s="21" t="str">
        <f>VLOOKUP(Tabela3[[#This Row],[ORDER]],Tabela2[#All],2,0)</f>
        <v>TYPE A</v>
      </c>
      <c r="C308" t="s">
        <v>1256</v>
      </c>
      <c r="D308" t="s">
        <v>1315</v>
      </c>
      <c r="E308" s="22">
        <v>43545</v>
      </c>
      <c r="F308">
        <v>789</v>
      </c>
    </row>
    <row r="309" spans="1:7" x14ac:dyDescent="0.25">
      <c r="A309" s="30" t="s">
        <v>1331</v>
      </c>
      <c r="B309" s="21" t="str">
        <f>VLOOKUP(Tabela3[[#This Row],[ORDER]],Tabela2[#All],2,0)</f>
        <v>TYPE C</v>
      </c>
      <c r="C309" t="s">
        <v>1118</v>
      </c>
      <c r="D309" t="s">
        <v>1314</v>
      </c>
      <c r="E309" s="22">
        <v>43549</v>
      </c>
      <c r="F309">
        <v>1136</v>
      </c>
    </row>
    <row r="310" spans="1:7" x14ac:dyDescent="0.25">
      <c r="A310" s="30" t="s">
        <v>1328</v>
      </c>
      <c r="B310" s="21" t="str">
        <f>VLOOKUP(Tabela3[[#This Row],[ORDER]],Tabela2[#All],2,0)</f>
        <v>TYPE B</v>
      </c>
      <c r="C310" t="s">
        <v>1283</v>
      </c>
      <c r="D310" t="s">
        <v>1300</v>
      </c>
      <c r="E310" s="22">
        <v>43550</v>
      </c>
      <c r="F310">
        <v>547</v>
      </c>
    </row>
    <row r="311" spans="1:7" x14ac:dyDescent="0.25">
      <c r="A311" s="30" t="s">
        <v>1330</v>
      </c>
      <c r="B311" s="21" t="str">
        <f>VLOOKUP(Tabela3[[#This Row],[ORDER]],Tabela2[#All],2,0)</f>
        <v>TYPE B</v>
      </c>
      <c r="C311" t="s">
        <v>1257</v>
      </c>
      <c r="D311" t="s">
        <v>1311</v>
      </c>
      <c r="E311" s="22">
        <v>43549</v>
      </c>
      <c r="F311">
        <v>892</v>
      </c>
      <c r="G311">
        <v>1</v>
      </c>
    </row>
    <row r="312" spans="1:7" x14ac:dyDescent="0.25">
      <c r="A312" s="30" t="s">
        <v>1328</v>
      </c>
      <c r="B312" s="21" t="str">
        <f>VLOOKUP(Tabela3[[#This Row],[ORDER]],Tabela2[#All],2,0)</f>
        <v>TYPE B</v>
      </c>
      <c r="C312" t="s">
        <v>1278</v>
      </c>
      <c r="D312" t="s">
        <v>1300</v>
      </c>
      <c r="E312" s="22">
        <v>43546</v>
      </c>
      <c r="F312">
        <v>1020</v>
      </c>
    </row>
    <row r="313" spans="1:7" x14ac:dyDescent="0.25">
      <c r="A313" s="30" t="s">
        <v>1394</v>
      </c>
      <c r="B313" s="21" t="str">
        <f>VLOOKUP(Tabela3[[#This Row],[ORDER]],Tabela2[#All],2,0)</f>
        <v>TYPE E</v>
      </c>
      <c r="C313" t="s">
        <v>1258</v>
      </c>
      <c r="D313" t="s">
        <v>1304</v>
      </c>
      <c r="E313" s="22">
        <v>43543</v>
      </c>
      <c r="F313">
        <v>500</v>
      </c>
      <c r="G313">
        <v>1</v>
      </c>
    </row>
    <row r="314" spans="1:7" x14ac:dyDescent="0.25">
      <c r="A314" s="30" t="s">
        <v>1394</v>
      </c>
      <c r="B314" s="21" t="str">
        <f>VLOOKUP(Tabela3[[#This Row],[ORDER]],Tabela2[#All],2,0)</f>
        <v>TYPE E</v>
      </c>
      <c r="C314" t="s">
        <v>1119</v>
      </c>
      <c r="D314" t="s">
        <v>1304</v>
      </c>
      <c r="E314" s="22">
        <v>43542</v>
      </c>
      <c r="F314">
        <v>500</v>
      </c>
      <c r="G314">
        <v>1</v>
      </c>
    </row>
    <row r="315" spans="1:7" x14ac:dyDescent="0.25">
      <c r="A315" s="30" t="s">
        <v>1325</v>
      </c>
      <c r="B315" s="21" t="str">
        <f>VLOOKUP(Tabela3[[#This Row],[ORDER]],Tabela2[#All],2,0)</f>
        <v>TYPE A</v>
      </c>
      <c r="C315" t="s">
        <v>1120</v>
      </c>
      <c r="D315" t="s">
        <v>1297</v>
      </c>
      <c r="E315" s="22">
        <v>43545</v>
      </c>
      <c r="F315">
        <v>808</v>
      </c>
    </row>
    <row r="316" spans="1:7" x14ac:dyDescent="0.25">
      <c r="A316" s="30" t="s">
        <v>1325</v>
      </c>
      <c r="B316" s="21" t="str">
        <f>VLOOKUP(Tabela3[[#This Row],[ORDER]],Tabela2[#All],2,0)</f>
        <v>TYPE A</v>
      </c>
      <c r="C316" t="s">
        <v>1259</v>
      </c>
      <c r="D316" t="s">
        <v>1301</v>
      </c>
      <c r="E316" s="22">
        <v>43541</v>
      </c>
      <c r="F316">
        <v>780</v>
      </c>
      <c r="G316">
        <v>1</v>
      </c>
    </row>
    <row r="317" spans="1:7" x14ac:dyDescent="0.25">
      <c r="A317" s="30" t="s">
        <v>1325</v>
      </c>
      <c r="B317" s="21" t="str">
        <f>VLOOKUP(Tabela3[[#This Row],[ORDER]],Tabela2[#All],2,0)</f>
        <v>TYPE A</v>
      </c>
      <c r="C317" t="s">
        <v>1260</v>
      </c>
      <c r="D317" t="s">
        <v>1297</v>
      </c>
      <c r="E317" s="22">
        <v>43543</v>
      </c>
      <c r="F317">
        <v>796</v>
      </c>
    </row>
    <row r="318" spans="1:7" x14ac:dyDescent="0.25">
      <c r="A318" s="30" t="s">
        <v>1328</v>
      </c>
      <c r="B318" s="21" t="str">
        <f>VLOOKUP(Tabela3[[#This Row],[ORDER]],Tabela2[#All],2,0)</f>
        <v>TYPE B</v>
      </c>
      <c r="C318" t="s">
        <v>1261</v>
      </c>
      <c r="D318" t="s">
        <v>1310</v>
      </c>
      <c r="E318" s="22">
        <v>43544</v>
      </c>
      <c r="F318">
        <v>1025</v>
      </c>
    </row>
    <row r="319" spans="1:7" x14ac:dyDescent="0.25">
      <c r="A319" s="30" t="s">
        <v>1325</v>
      </c>
      <c r="B319" s="21" t="str">
        <f>VLOOKUP(Tabela3[[#This Row],[ORDER]],Tabela2[#All],2,0)</f>
        <v>TYPE A</v>
      </c>
      <c r="C319" t="s">
        <v>1262</v>
      </c>
      <c r="D319" t="s">
        <v>1298</v>
      </c>
      <c r="E319" s="22">
        <v>43540</v>
      </c>
      <c r="F319">
        <v>806</v>
      </c>
      <c r="G319">
        <v>1</v>
      </c>
    </row>
    <row r="320" spans="1:7" x14ac:dyDescent="0.25">
      <c r="A320" s="30" t="s">
        <v>1328</v>
      </c>
      <c r="B320" s="21" t="str">
        <f>VLOOKUP(Tabela3[[#This Row],[ORDER]],Tabela2[#All],2,0)</f>
        <v>TYPE B</v>
      </c>
      <c r="C320" t="s">
        <v>1263</v>
      </c>
      <c r="D320" t="s">
        <v>1293</v>
      </c>
      <c r="E320" s="22">
        <v>43545</v>
      </c>
      <c r="F320">
        <v>1014</v>
      </c>
      <c r="G320">
        <v>1</v>
      </c>
    </row>
    <row r="321" spans="1:7" x14ac:dyDescent="0.25">
      <c r="A321" s="30" t="s">
        <v>1325</v>
      </c>
      <c r="B321" s="21" t="str">
        <f>VLOOKUP(Tabela3[[#This Row],[ORDER]],Tabela2[#All],2,0)</f>
        <v>TYPE A</v>
      </c>
      <c r="C321" t="s">
        <v>1264</v>
      </c>
      <c r="D321" t="s">
        <v>1297</v>
      </c>
      <c r="E321" s="22">
        <v>43540</v>
      </c>
      <c r="F321">
        <v>808</v>
      </c>
    </row>
    <row r="322" spans="1:7" x14ac:dyDescent="0.25">
      <c r="A322" s="30" t="s">
        <v>1325</v>
      </c>
      <c r="B322" s="21" t="str">
        <f>VLOOKUP(Tabela3[[#This Row],[ORDER]],Tabela2[#All],2,0)</f>
        <v>TYPE A</v>
      </c>
      <c r="C322" t="s">
        <v>1265</v>
      </c>
      <c r="D322" t="s">
        <v>1315</v>
      </c>
      <c r="E322" s="22">
        <v>43606</v>
      </c>
      <c r="F322">
        <v>789</v>
      </c>
    </row>
    <row r="323" spans="1:7" x14ac:dyDescent="0.25">
      <c r="A323" s="30" t="s">
        <v>1333</v>
      </c>
      <c r="B323" s="21" t="str">
        <f>VLOOKUP(Tabela3[[#This Row],[ORDER]],Tabela2[#All],2,0)</f>
        <v>TYPE A</v>
      </c>
      <c r="C323" t="s">
        <v>1121</v>
      </c>
      <c r="D323" t="s">
        <v>1298</v>
      </c>
      <c r="E323" s="22">
        <v>43550</v>
      </c>
      <c r="F323">
        <v>808</v>
      </c>
      <c r="G323">
        <v>1</v>
      </c>
    </row>
    <row r="324" spans="1:7" x14ac:dyDescent="0.25">
      <c r="A324" s="30" t="s">
        <v>1333</v>
      </c>
      <c r="B324" s="21" t="str">
        <f>VLOOKUP(Tabela3[[#This Row],[ORDER]],Tabela2[#All],2,0)</f>
        <v>TYPE A</v>
      </c>
      <c r="C324" t="s">
        <v>1122</v>
      </c>
      <c r="D324" t="s">
        <v>1304</v>
      </c>
      <c r="E324" s="22">
        <v>43551</v>
      </c>
      <c r="F324">
        <v>808</v>
      </c>
    </row>
    <row r="325" spans="1:7" x14ac:dyDescent="0.25">
      <c r="A325" s="30" t="s">
        <v>1333</v>
      </c>
      <c r="B325" s="21" t="str">
        <f>VLOOKUP(Tabela3[[#This Row],[ORDER]],Tabela2[#All],2,0)</f>
        <v>TYPE A</v>
      </c>
      <c r="C325" t="s">
        <v>1123</v>
      </c>
      <c r="D325" t="s">
        <v>1315</v>
      </c>
      <c r="E325" s="22">
        <v>43551</v>
      </c>
      <c r="F325">
        <v>808</v>
      </c>
      <c r="G325">
        <v>1</v>
      </c>
    </row>
    <row r="326" spans="1:7" x14ac:dyDescent="0.25">
      <c r="A326" s="30" t="s">
        <v>1333</v>
      </c>
      <c r="B326" s="21" t="str">
        <f>VLOOKUP(Tabela3[[#This Row],[ORDER]],Tabela2[#All],2,0)</f>
        <v>TYPE A</v>
      </c>
      <c r="C326" t="s">
        <v>1124</v>
      </c>
      <c r="D326" t="s">
        <v>1315</v>
      </c>
      <c r="E326" s="22">
        <v>43551</v>
      </c>
      <c r="F326">
        <v>808</v>
      </c>
      <c r="G326">
        <v>1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FAILURES</vt:lpstr>
      <vt:lpstr>ORDERS</vt:lpstr>
      <vt:lpstr>PRODUCTION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Diego Donizeti de Lima</dc:creator>
  <cp:lastModifiedBy>Diego Donizeti de Lima</cp:lastModifiedBy>
  <cp:lastPrinted>2019-03-27T09:05:59Z</cp:lastPrinted>
  <dcterms:created xsi:type="dcterms:W3CDTF">2018-12-05T09:35:48Z</dcterms:created>
  <dcterms:modified xsi:type="dcterms:W3CDTF">2019-03-29T18:11:29Z</dcterms:modified>
</cp:coreProperties>
</file>